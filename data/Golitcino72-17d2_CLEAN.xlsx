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1972" sheetId="1" r:id="rId4"/>
    <sheet state="visible" name="G1973" sheetId="2" r:id="rId5"/>
    <sheet state="visible" name="1977" sheetId="3" r:id="rId6"/>
    <sheet state="visible" name="1982" sheetId="4" r:id="rId7"/>
    <sheet state="visible" name="1983" sheetId="5" r:id="rId8"/>
    <sheet state="visible" name="1984" sheetId="6" r:id="rId9"/>
    <sheet state="visible" name="G1987" sheetId="7" r:id="rId10"/>
    <sheet state="visible" name="G1991" sheetId="8" r:id="rId11"/>
    <sheet state="visible" name="G1992" sheetId="9" r:id="rId12"/>
    <sheet state="visible" name="G1993" sheetId="10" r:id="rId13"/>
    <sheet state="visible" name="G1994" sheetId="11" r:id="rId14"/>
    <sheet state="visible" name="G1995" sheetId="12" r:id="rId15"/>
    <sheet state="visible" name="G1996" sheetId="13" r:id="rId16"/>
    <sheet state="visible" name="G1997" sheetId="14" r:id="rId17"/>
    <sheet state="visible" name="G1998" sheetId="15" r:id="rId18"/>
    <sheet state="visible" name="G2002" sheetId="16" r:id="rId19"/>
    <sheet state="visible" name="G2004" sheetId="17" r:id="rId20"/>
    <sheet state="visible" name="G2005" sheetId="18" r:id="rId21"/>
    <sheet state="visible" name="G2006" sheetId="19" r:id="rId22"/>
    <sheet state="visible" name="G2007" sheetId="20" r:id="rId23"/>
    <sheet state="visible" name="G2008" sheetId="21" r:id="rId24"/>
    <sheet state="visible" name="G2009" sheetId="22" r:id="rId25"/>
    <sheet state="visible" name="G2010" sheetId="23" r:id="rId26"/>
    <sheet state="visible" name="G2011" sheetId="24" r:id="rId27"/>
    <sheet state="visible" name="G2012" sheetId="25" r:id="rId28"/>
    <sheet state="visible" name="G2013" sheetId="26" r:id="rId29"/>
    <sheet state="visible" name="G2014" sheetId="27" r:id="rId30"/>
    <sheet state="visible" name="G2015" sheetId="28" r:id="rId31"/>
    <sheet state="visible" name="G2016" sheetId="29" r:id="rId32"/>
    <sheet state="visible" name="G2017" sheetId="30" r:id="rId33"/>
    <sheet state="visible" name="Summ3" sheetId="31" r:id="rId34"/>
    <sheet state="visible" name="Summ5" sheetId="32" r:id="rId35"/>
    <sheet state="visible" name="Y-y" sheetId="33" r:id="rId36"/>
    <sheet state="visible" name="корреляция" sheetId="34" r:id="rId37"/>
    <sheet state="visible" name="Лист1" sheetId="35" r:id="rId38"/>
    <sheet state="visible" name="Лист2" sheetId="36" r:id="rId39"/>
    <sheet state="visible" name="Лист3" sheetId="37" r:id="rId40"/>
    <sheet state="visible" name="Лист4" sheetId="38" r:id="rId41"/>
    <sheet state="visible" name="Лист5" sheetId="39" r:id="rId42"/>
  </sheets>
  <definedNames/>
  <calcPr/>
</workbook>
</file>

<file path=xl/sharedStrings.xml><?xml version="1.0" encoding="utf-8"?>
<sst xmlns="http://schemas.openxmlformats.org/spreadsheetml/2006/main" count="2613" uniqueCount="100">
  <si>
    <t>day</t>
  </si>
  <si>
    <t>T_min</t>
  </si>
  <si>
    <t>T_max</t>
  </si>
  <si>
    <t>Is_rain</t>
  </si>
  <si>
    <t>Target_Favorable</t>
  </si>
  <si>
    <t>Y2</t>
  </si>
  <si>
    <t>Y1</t>
  </si>
  <si>
    <t>Y2-Y1</t>
  </si>
  <si>
    <t>Precipitation</t>
  </si>
  <si>
    <t>T_avg</t>
  </si>
  <si>
    <t>Cloudiness</t>
  </si>
  <si>
    <t>Y3</t>
  </si>
  <si>
    <t>Y4</t>
  </si>
  <si>
    <t>Precipitation_T_gt_10</t>
  </si>
  <si>
    <t>T&gt;10</t>
  </si>
  <si>
    <t>ГТК</t>
  </si>
  <si>
    <t>ГТК1</t>
  </si>
  <si>
    <t>ГТК2</t>
  </si>
  <si>
    <t>ГТК3</t>
  </si>
  <si>
    <t>1б,4</t>
  </si>
  <si>
    <t>Год</t>
  </si>
  <si>
    <t>Гидротермич.коеффициент</t>
  </si>
  <si>
    <t>Голицыно</t>
  </si>
  <si>
    <t>Период учета с июня по август</t>
  </si>
  <si>
    <t>15по05</t>
  </si>
  <si>
    <t>15по15</t>
  </si>
  <si>
    <t>15по25</t>
  </si>
  <si>
    <t>01по25</t>
  </si>
  <si>
    <t xml:space="preserve">Площадь </t>
  </si>
  <si>
    <t>Потери</t>
  </si>
  <si>
    <t xml:space="preserve">Трехсуточный прогноз благоприятности </t>
  </si>
  <si>
    <t>1- погода благоприятна развитию фитофтороза</t>
  </si>
  <si>
    <t>0- погода не благоприятна для развития фитофтороза</t>
  </si>
  <si>
    <t>15по04</t>
  </si>
  <si>
    <t>5по24</t>
  </si>
  <si>
    <t>25по14</t>
  </si>
  <si>
    <t>15по14</t>
  </si>
  <si>
    <t>сумм</t>
  </si>
  <si>
    <t xml:space="preserve">Пятисуточный прогноз благоприятности </t>
  </si>
  <si>
    <t>ГТК за период с 1июн по 25 авг</t>
  </si>
  <si>
    <t>ГТК с 15июн по 14авг по 29 дней</t>
  </si>
  <si>
    <t>ГТК-1</t>
  </si>
  <si>
    <t>Гтк-2</t>
  </si>
  <si>
    <t>ГТК-3</t>
  </si>
  <si>
    <t xml:space="preserve"> </t>
  </si>
  <si>
    <r>
      <rPr>
        <rFont val="Calibri"/>
        <color theme="1"/>
      </rPr>
      <t xml:space="preserve">Корреляция между </t>
    </r>
    <r>
      <rPr>
        <rFont val="Calibri"/>
        <b/>
        <color rgb="FF000000"/>
        <sz val="11.0"/>
      </rPr>
      <t>количетвом благоприятных дней</t>
    </r>
    <r>
      <rPr>
        <rFont val="Calibri"/>
        <color theme="1"/>
        <sz val="11.0"/>
      </rPr>
      <t xml:space="preserve"> и потерями, ГТК, площадью п к</t>
    </r>
  </si>
  <si>
    <t>Пл.кр.</t>
  </si>
  <si>
    <t>корреляция</t>
  </si>
  <si>
    <t>июнь</t>
  </si>
  <si>
    <t>июль</t>
  </si>
  <si>
    <t>август</t>
  </si>
  <si>
    <t>ГТК-потери</t>
  </si>
  <si>
    <t>ГТК-площадь</t>
  </si>
  <si>
    <t>C 15июн по 15авг по 20 дней</t>
  </si>
  <si>
    <t>3 периода</t>
  </si>
  <si>
    <t>ГТК1-потери</t>
  </si>
  <si>
    <t>ГТК1-площадь</t>
  </si>
  <si>
    <t>благо-потери 1</t>
  </si>
  <si>
    <t>%благо-потери 1</t>
  </si>
  <si>
    <t>ГТК2-потери</t>
  </si>
  <si>
    <t>ГТК2-площадь</t>
  </si>
  <si>
    <t>благо-потери 2</t>
  </si>
  <si>
    <t>%благо-потери 2</t>
  </si>
  <si>
    <t>ГТК3-потери</t>
  </si>
  <si>
    <t>ГТК3-площадь</t>
  </si>
  <si>
    <t>благо-потери 3</t>
  </si>
  <si>
    <t>%благо-потери 3</t>
  </si>
  <si>
    <t>Число дней с реинфекцией за 20 дней</t>
  </si>
  <si>
    <t>5 суточный прогноз</t>
  </si>
  <si>
    <t>через 20 дней</t>
  </si>
  <si>
    <t>В % к сумме</t>
  </si>
  <si>
    <t>в%</t>
  </si>
  <si>
    <t>ГТК в %</t>
  </si>
  <si>
    <t>%бл-3-потери 1</t>
  </si>
  <si>
    <t>%бл-3-потери 2</t>
  </si>
  <si>
    <t>%бл-3-потери 3</t>
  </si>
  <si>
    <t>% благопр</t>
  </si>
  <si>
    <t xml:space="preserve">% июля </t>
  </si>
  <si>
    <t>Расчетн 1</t>
  </si>
  <si>
    <t>Расчетн 2</t>
  </si>
  <si>
    <t>Расчетн 3</t>
  </si>
  <si>
    <t>Расчетн 4</t>
  </si>
  <si>
    <t>1972г.</t>
  </si>
  <si>
    <t>1973г.</t>
  </si>
  <si>
    <t>1977г.</t>
  </si>
  <si>
    <t>1984</t>
  </si>
  <si>
    <t>2002</t>
  </si>
  <si>
    <t>2004</t>
  </si>
  <si>
    <t>2008</t>
  </si>
  <si>
    <t>Lelystad</t>
  </si>
  <si>
    <t>Фактич потери</t>
  </si>
  <si>
    <t>Расчетн-2</t>
  </si>
  <si>
    <t>Доля в июле</t>
  </si>
  <si>
    <t>Всего за сезон</t>
  </si>
  <si>
    <t>Факт</t>
  </si>
  <si>
    <t>y</t>
  </si>
  <si>
    <t>z</t>
  </si>
  <si>
    <t>x</t>
  </si>
  <si>
    <t>y=0,95x+0,0224</t>
  </si>
  <si>
    <t>y=2,37+0,49x+97z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</si>
</sst>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ABF8F"/>
        <bgColor rgb="FFFABF8F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164" xfId="0" applyFont="1" applyNumberFormat="1"/>
    <xf borderId="0" fillId="0" fontId="1" numFmtId="17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0" xfId="0" applyFont="1"/>
    <xf borderId="0" fillId="0" fontId="3" numFmtId="0" xfId="0" applyFont="1"/>
    <xf borderId="1" fillId="2" fontId="1" numFmtId="49" xfId="0" applyAlignment="1" applyBorder="1" applyFill="1" applyFont="1" applyNumberFormat="1">
      <alignment horizontal="center" vertical="center"/>
    </xf>
    <xf borderId="1" fillId="2" fontId="1" numFmtId="0" xfId="0" applyBorder="1" applyFont="1"/>
    <xf borderId="1" fillId="2" fontId="3" numFmtId="0" xfId="0" applyBorder="1" applyFont="1"/>
    <xf borderId="1" fillId="3" fontId="1" numFmtId="49" xfId="0" applyAlignment="1" applyBorder="1" applyFill="1" applyFont="1" applyNumberFormat="1">
      <alignment horizontal="center" vertical="center"/>
    </xf>
    <xf borderId="1" fillId="3" fontId="1" numFmtId="0" xfId="0" applyBorder="1" applyFont="1"/>
    <xf borderId="1" fillId="3" fontId="1" numFmtId="0" xfId="0" applyAlignment="1" applyBorder="1" applyFont="1">
      <alignment horizontal="center" vertical="center"/>
    </xf>
    <xf borderId="0" fillId="0" fontId="1" numFmtId="17" xfId="0" applyFont="1" applyNumberFormat="1"/>
    <xf borderId="0" fillId="0" fontId="1" numFmtId="49" xfId="0" applyFont="1" applyNumberFormat="1"/>
    <xf borderId="1" fillId="2" fontId="1" numFmtId="49" xfId="0" applyBorder="1" applyFont="1" applyNumberFormat="1"/>
    <xf borderId="1" fillId="3" fontId="1" numFmtId="49" xfId="0" applyBorder="1" applyFont="1" applyNumberFormat="1"/>
    <xf borderId="0" fillId="0" fontId="1" numFmtId="9" xfId="0" applyFont="1" applyNumberFormat="1"/>
    <xf borderId="0" fillId="0" fontId="1" numFmtId="16" xfId="0" applyFont="1" applyNumberFormat="1"/>
    <xf borderId="1" fillId="4" fontId="1" numFmtId="0" xfId="0" applyBorder="1" applyFill="1" applyFont="1"/>
    <xf borderId="1" fillId="2" fontId="1" numFmtId="2" xfId="0" applyBorder="1" applyFont="1" applyNumberFormat="1"/>
    <xf borderId="0" fillId="0" fontId="4" numFmtId="0" xfId="0" applyFont="1"/>
    <xf borderId="1" fillId="5" fontId="3" numFmtId="0" xfId="0" applyBorder="1" applyFill="1" applyFont="1"/>
    <xf borderId="1" fillId="5" fontId="1" numFmtId="0" xfId="0" applyBorder="1" applyFont="1"/>
    <xf borderId="1" fillId="6" fontId="3" numFmtId="0" xfId="0" applyBorder="1" applyFill="1" applyFont="1"/>
    <xf borderId="1" fillId="7" fontId="1" numFmtId="9" xfId="0" applyBorder="1" applyFill="1" applyFont="1" applyNumberFormat="1"/>
    <xf borderId="1" fillId="3" fontId="1" numFmtId="9" xfId="0" applyBorder="1" applyFont="1" applyNumberFormat="1"/>
    <xf borderId="1" fillId="7" fontId="1" numFmtId="0" xfId="0" applyBorder="1" applyFon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Влияние реинфекций фитофтороза в июле на потери урожая </a:t>
            </a:r>
          </a:p>
        </c:rich>
      </c:tx>
      <c:layout>
        <c:manualLayout>
          <c:xMode val="edge"/>
          <c:yMode val="edge"/>
          <c:x val="0.13876013023124584"/>
          <c:y val="0.015528028508631542"/>
        </c:manualLayout>
      </c:layout>
      <c:overlay val="0"/>
    </c:title>
    <c:plotArea>
      <c:layout>
        <c:manualLayout>
          <c:xMode val="edge"/>
          <c:yMode val="edge"/>
          <c:x val="0.12793697817475785"/>
          <c:y val="0.15732390158547255"/>
          <c:w val="0.8260822595195403"/>
          <c:h val="0.7173192070503384"/>
        </c:manualLayout>
      </c:layout>
      <c:scatterChart>
        <c:scatterStyle val="lineMarker"/>
        <c:varyColors val="0"/>
        <c:ser>
          <c:idx val="0"/>
          <c:order val="0"/>
          <c:tx>
            <c:strRef>
              <c:f>'Лист1'!$D$1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'Лист1'!$B$2:$B$30</c:f>
            </c:numRef>
          </c:xVal>
          <c:yVal>
            <c:numRef>
              <c:f>'Лист1'!$D$2:$D$30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503188"/>
        <c:axId val="448671379"/>
      </c:scatterChart>
      <c:valAx>
        <c:axId val="253503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Потери урожая в 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448671379"/>
      </c:valAx>
      <c:valAx>
        <c:axId val="4486713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Доля реинфекци фитофтороза  в июле в 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3503188"/>
      </c:valAx>
    </c:plotArea>
    <c:legend>
      <c:legendPos val="r"/>
      <c:layout>
        <c:manualLayout>
          <c:xMode val="edge"/>
          <c:yMode val="edge"/>
          <c:x val="0.14989846566208934"/>
          <c:y val="0.17720504449138985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Влияние ГТК в июле на потери урожая от фитофтороза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ГТК2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(ГТК2)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'Лист2'!$B$2:$B$26</c:f>
            </c:numRef>
          </c:xVal>
          <c:yVal>
            <c:numRef>
              <c:f>'Лист2'!$C$2:$C$26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7481624"/>
        <c:axId val="1648896897"/>
      </c:scatterChart>
      <c:valAx>
        <c:axId val="2017481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Потери в 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48896897"/>
      </c:valAx>
      <c:valAx>
        <c:axId val="16488968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ГТК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7481624"/>
      </c:valAx>
    </c:plotArea>
    <c:legend>
      <c:legendPos val="r"/>
      <c:layout>
        <c:manualLayout>
          <c:xMode val="edge"/>
          <c:yMode val="edge"/>
          <c:x val="0.7385791219560452"/>
          <c:y val="0.17519601451092498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'Лист3'!$B$2:$B$30</c:f>
            </c:numRef>
          </c:xVal>
          <c:yVal>
            <c:numRef>
              <c:f>'Лист3'!$G$2:$G$31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8348319"/>
        <c:axId val="1332630429"/>
      </c:scatterChart>
      <c:valAx>
        <c:axId val="1738348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Фактические потери урожая от фитофтороза в 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2630429"/>
      </c:valAx>
      <c:valAx>
        <c:axId val="13326304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Расчетные потери урожая в 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8348319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'Лист3'!$B$2:$B$30</c:f>
            </c:numRef>
          </c:xVal>
          <c:yVal>
            <c:numRef>
              <c:f>'Лист3'!$H$2:$H$31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259885"/>
        <c:axId val="1187283403"/>
      </c:scatterChart>
      <c:valAx>
        <c:axId val="1833259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7283403"/>
      </c:valAx>
      <c:valAx>
        <c:axId val="1187283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3259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13429396325459317"/>
          <c:y val="0.04677092446777486"/>
          <c:w val="0.8210671478565179"/>
          <c:h val="0.7287769757946924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'Лист3'!$B$2:$B$30</c:f>
            </c:numRef>
          </c:xVal>
          <c:yVal>
            <c:numRef>
              <c:f>'Лист3'!$I$2:$I$31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2760166"/>
        <c:axId val="1929320031"/>
      </c:scatterChart>
      <c:valAx>
        <c:axId val="1122760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Фактические потери урожая от фитофтороза в %</a:t>
                </a:r>
              </a:p>
            </c:rich>
          </c:tx>
          <c:layout>
            <c:manualLayout>
              <c:xMode val="edge"/>
              <c:yMode val="edge"/>
              <c:x val="0.18394553805774277"/>
              <c:y val="0.853472222222222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9320031"/>
      </c:valAx>
      <c:valAx>
        <c:axId val="1929320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Расчетные потери урожая в 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2760166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7198840769903762"/>
          <c:y val="0.0375116652085156"/>
          <c:w val="0.8806227034120735"/>
          <c:h val="0.8465084572761739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1"/>
            <c:dispEq val="0"/>
          </c:trendline>
          <c:xVal>
            <c:numRef>
              <c:f>'Лист3'!$B$2:$B$30</c:f>
            </c:numRef>
          </c:xVal>
          <c:yVal>
            <c:numRef>
              <c:f>'Лист3'!$J$2:$J$31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372208"/>
        <c:axId val="928071368"/>
      </c:scatterChart>
      <c:valAx>
        <c:axId val="352372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8071368"/>
      </c:valAx>
      <c:valAx>
        <c:axId val="9280713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2372208"/>
      </c:valAx>
    </c:plotArea>
    <c:legend>
      <c:legendPos val="r"/>
      <c:layout>
        <c:manualLayout>
          <c:xMode val="edge"/>
          <c:yMode val="edge"/>
          <c:x val="0.41947222222222225"/>
          <c:y val="0.7727642898804317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6659951881014874"/>
          <c:y val="0.07454870224555263"/>
          <c:w val="0.7539295713035871"/>
          <c:h val="0.897198891805191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'Лист3'!$F$2:$F$31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7568493"/>
        <c:axId val="1056397766"/>
      </c:scatterChart>
      <c:valAx>
        <c:axId val="1817568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6397766"/>
      </c:valAx>
      <c:valAx>
        <c:axId val="10563977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75684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Потери урожая картофеля
Моск.обл. </a:t>
            </a:r>
          </a:p>
        </c:rich>
      </c:tx>
      <c:layout>
        <c:manualLayout>
          <c:xMode val="edge"/>
          <c:yMode val="edge"/>
          <c:x val="0.15241366151497807"/>
          <c:y val="0.01949317738791423"/>
        </c:manualLayout>
      </c:layout>
      <c:overlay val="0"/>
    </c:title>
    <c:plotArea>
      <c:layout>
        <c:manualLayout>
          <c:xMode val="edge"/>
          <c:yMode val="edge"/>
          <c:x val="0.07933436194662218"/>
          <c:y val="0.03503664235965885"/>
          <c:w val="0.8941532254238286"/>
          <c:h val="0.7724718590314779"/>
        </c:manualLayout>
      </c:layout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'Лист4'!$A$1:$A$30</c:f>
            </c:strRef>
          </c:cat>
          <c:val>
            <c:numRef>
              <c:f>'Лист4'!$B$1:$B$30</c:f>
              <c:numCache/>
            </c:numRef>
          </c:val>
        </c:ser>
        <c:axId val="399907761"/>
        <c:axId val="2129102873"/>
      </c:barChart>
      <c:catAx>
        <c:axId val="399907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Год</a:t>
                </a:r>
              </a:p>
            </c:rich>
          </c:tx>
          <c:layout>
            <c:manualLayout>
              <c:xMode val="edge"/>
              <c:yMode val="edge"/>
              <c:x val="0.9475786784786392"/>
              <c:y val="0.9029829123553551"/>
            </c:manualLayout>
          </c:layout>
          <c:overlay val="0"/>
        </c:title>
        <c:numFmt formatCode="General" sourceLinked="0"/>
        <c:majorTickMark val="out"/>
        <c:minorTickMark val="none"/>
        <c:spPr/>
        <c:txPr>
          <a:bodyPr rot="-390000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2129102873"/>
      </c:catAx>
      <c:valAx>
        <c:axId val="2129102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Потери урожая в %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9907761"/>
      </c:valAx>
    </c:plotArea>
    <c:plotVisOnly val="1"/>
  </c:chart>
</c:chartSpace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276225</xdr:colOff>
      <xdr:row>1</xdr:row>
      <xdr:rowOff>76200</xdr:rowOff>
    </xdr:from>
    <xdr:ext cx="5133975" cy="51339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342900</xdr:colOff>
      <xdr:row>1</xdr:row>
      <xdr:rowOff>133350</xdr:rowOff>
    </xdr:from>
    <xdr:ext cx="5124450" cy="47529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31</xdr:row>
      <xdr:rowOff>76200</xdr:rowOff>
    </xdr:from>
    <xdr:ext cx="4562475" cy="30003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409575</xdr:colOff>
      <xdr:row>0</xdr:row>
      <xdr:rowOff>66675</xdr:rowOff>
    </xdr:from>
    <xdr:ext cx="4343400" cy="300037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323850</xdr:colOff>
      <xdr:row>31</xdr:row>
      <xdr:rowOff>114300</xdr:rowOff>
    </xdr:from>
    <xdr:ext cx="4343400" cy="300037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323850</xdr:colOff>
      <xdr:row>15</xdr:row>
      <xdr:rowOff>171450</xdr:rowOff>
    </xdr:from>
    <xdr:ext cx="4343400" cy="300037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95250</xdr:colOff>
      <xdr:row>47</xdr:row>
      <xdr:rowOff>57150</xdr:rowOff>
    </xdr:from>
    <xdr:ext cx="4410075" cy="300037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285750</xdr:colOff>
      <xdr:row>3</xdr:row>
      <xdr:rowOff>161925</xdr:rowOff>
    </xdr:from>
    <xdr:ext cx="6343650" cy="448627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1" t="s">
        <v>8</v>
      </c>
      <c r="K1" s="1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1972.0</v>
      </c>
      <c r="B2" s="4">
        <v>152.0</v>
      </c>
      <c r="C2" s="5">
        <v>9.5</v>
      </c>
      <c r="D2" s="5">
        <v>20.3</v>
      </c>
      <c r="E2" s="4">
        <f t="shared" ref="E2:E93" si="1">IF(J2&gt;0,1,0)</f>
        <v>1</v>
      </c>
      <c r="F2" s="4">
        <f t="shared" ref="F2:F87" si="2">IF(H2&gt;G2,1,0)</f>
        <v>1</v>
      </c>
      <c r="G2" s="4">
        <f t="shared" ref="G2:G87" si="3"> 0.75 * C2 + 0.41 * C3 + 0.41 * C4 + 0.27 * C5 + 0.74 *C6 + 0.3 *D2 - 0.07 * D3 - 0.16 * D4 + 0.06 * D5 + 0.01 * D6 + 2.88 * E2 + 1.98 * E3 + 1.98 * E4 + 1.79 * E5 + 0.53 * E6-32.47</f>
        <v>2.393</v>
      </c>
      <c r="H2" s="4">
        <f t="shared" ref="H2:H87" si="4">0.63 * C2 + 0.37 * C3 + 0.49 * C4 + 0.22 * C5 + 0.65 * C6 + 0.24 *D2 - 0.06 * D3- 0.15 * D4 - 0.135 * D5 + 0.15 * D6 + 4.88 * E2 + 3.55 * E3 + 3.34 *E4 + 2.5 * E5 + 2.29 *E6-31.34</f>
        <v>6.0155</v>
      </c>
      <c r="I2" s="4">
        <f t="shared" ref="I2:I87" si="5">IF((H2-G2)&gt;0,H2-G2," ")</f>
        <v>3.6225</v>
      </c>
      <c r="J2" s="5">
        <v>0.8</v>
      </c>
      <c r="K2" s="5">
        <v>15.7</v>
      </c>
      <c r="L2" s="4">
        <f t="shared" ref="L2:L93" si="6">IF(E2&gt;0,8,3)</f>
        <v>8</v>
      </c>
      <c r="M2" s="4">
        <f t="shared" ref="M2:M87" si="7">IF(N2&gt;=0,1,0)</f>
        <v>1</v>
      </c>
      <c r="N2" s="4">
        <f t="shared" ref="N2:N87" si="8">-0.216*D2-0.191*D3-0.119*D4+0.004*C2-0.171*C3+0.628*C4-0.479*L2+0.513*L3+0.046*L4+5.947*E2+6.699*E3+4.328*E4-1.788</f>
        <v>13.5231</v>
      </c>
      <c r="O2" s="4">
        <f t="shared" ref="O2:O93" si="9">IF(K2&gt;10,J2,0)</f>
        <v>0.8</v>
      </c>
      <c r="P2" s="4">
        <f t="shared" ref="P2:P93" si="10">IF(K2&gt;10,K2,0)</f>
        <v>15.7</v>
      </c>
    </row>
    <row r="3">
      <c r="A3" s="4">
        <v>1972.0</v>
      </c>
      <c r="B3" s="4">
        <v>153.0</v>
      </c>
      <c r="C3" s="5">
        <v>7.8</v>
      </c>
      <c r="D3" s="5">
        <v>20.5</v>
      </c>
      <c r="E3" s="4">
        <f t="shared" si="1"/>
        <v>1</v>
      </c>
      <c r="F3" s="4">
        <f t="shared" si="2"/>
        <v>1</v>
      </c>
      <c r="G3" s="4">
        <f t="shared" si="3"/>
        <v>-0.719</v>
      </c>
      <c r="H3" s="4">
        <f t="shared" si="4"/>
        <v>2.4505</v>
      </c>
      <c r="I3" s="4">
        <f t="shared" si="5"/>
        <v>3.1695</v>
      </c>
      <c r="J3" s="5">
        <v>0.1</v>
      </c>
      <c r="K3" s="5">
        <v>18.7</v>
      </c>
      <c r="L3" s="4">
        <f t="shared" si="6"/>
        <v>8</v>
      </c>
      <c r="M3" s="4">
        <f t="shared" si="7"/>
        <v>1</v>
      </c>
      <c r="N3" s="4">
        <f t="shared" si="8"/>
        <v>8.7746</v>
      </c>
      <c r="O3" s="4">
        <f t="shared" si="9"/>
        <v>0.1</v>
      </c>
      <c r="P3" s="4">
        <f t="shared" si="10"/>
        <v>18.7</v>
      </c>
    </row>
    <row r="4">
      <c r="A4" s="4">
        <v>1972.0</v>
      </c>
      <c r="B4" s="4">
        <v>154.0</v>
      </c>
      <c r="C4" s="5">
        <v>15.1</v>
      </c>
      <c r="D4" s="5">
        <v>18.4</v>
      </c>
      <c r="E4" s="4">
        <f t="shared" si="1"/>
        <v>1</v>
      </c>
      <c r="F4" s="4">
        <f t="shared" si="2"/>
        <v>0</v>
      </c>
      <c r="G4" s="4">
        <f t="shared" si="3"/>
        <v>2.96</v>
      </c>
      <c r="H4" s="4">
        <f t="shared" si="4"/>
        <v>2.716</v>
      </c>
      <c r="I4" s="4" t="str">
        <f t="shared" si="5"/>
        <v> </v>
      </c>
      <c r="J4" s="5">
        <v>0.4</v>
      </c>
      <c r="K4" s="5">
        <v>16.4</v>
      </c>
      <c r="L4" s="4">
        <f t="shared" si="6"/>
        <v>8</v>
      </c>
      <c r="M4" s="4">
        <f t="shared" si="7"/>
        <v>1</v>
      </c>
      <c r="N4" s="4">
        <f t="shared" si="8"/>
        <v>3.5041</v>
      </c>
      <c r="O4" s="4">
        <f t="shared" si="9"/>
        <v>0.4</v>
      </c>
      <c r="P4" s="4">
        <f t="shared" si="10"/>
        <v>16.4</v>
      </c>
    </row>
    <row r="5">
      <c r="A5" s="4">
        <v>1972.0</v>
      </c>
      <c r="B5" s="4">
        <v>155.0</v>
      </c>
      <c r="C5" s="5">
        <v>9.1</v>
      </c>
      <c r="D5" s="5">
        <v>19.1</v>
      </c>
      <c r="E5" s="4">
        <f t="shared" si="1"/>
        <v>1</v>
      </c>
      <c r="F5" s="4">
        <f t="shared" si="2"/>
        <v>0</v>
      </c>
      <c r="G5" s="4">
        <f t="shared" si="3"/>
        <v>-4.875</v>
      </c>
      <c r="H5" s="4">
        <f t="shared" si="4"/>
        <v>-6.767</v>
      </c>
      <c r="I5" s="4" t="str">
        <f t="shared" si="5"/>
        <v> </v>
      </c>
      <c r="J5" s="5">
        <v>0.5</v>
      </c>
      <c r="K5" s="5">
        <v>15.4</v>
      </c>
      <c r="L5" s="4">
        <f t="shared" si="6"/>
        <v>8</v>
      </c>
      <c r="M5" s="4">
        <f t="shared" si="7"/>
        <v>0</v>
      </c>
      <c r="N5" s="4">
        <f t="shared" si="8"/>
        <v>-5.6244</v>
      </c>
      <c r="O5" s="4">
        <f t="shared" si="9"/>
        <v>0.5</v>
      </c>
      <c r="P5" s="4">
        <f t="shared" si="10"/>
        <v>15.4</v>
      </c>
    </row>
    <row r="6">
      <c r="A6" s="4">
        <v>1972.0</v>
      </c>
      <c r="B6" s="4">
        <v>156.0</v>
      </c>
      <c r="C6" s="5">
        <v>5.7</v>
      </c>
      <c r="D6" s="5">
        <v>18.7</v>
      </c>
      <c r="E6" s="4">
        <f t="shared" si="1"/>
        <v>0</v>
      </c>
      <c r="F6" s="4">
        <f t="shared" si="2"/>
        <v>0</v>
      </c>
      <c r="G6" s="4">
        <f t="shared" si="3"/>
        <v>-11.861</v>
      </c>
      <c r="H6" s="4">
        <f t="shared" si="4"/>
        <v>-13.935</v>
      </c>
      <c r="I6" s="4" t="str">
        <f t="shared" si="5"/>
        <v> </v>
      </c>
      <c r="J6" s="5"/>
      <c r="K6" s="5">
        <v>13.4</v>
      </c>
      <c r="L6" s="4">
        <f t="shared" si="6"/>
        <v>3</v>
      </c>
      <c r="M6" s="4">
        <f t="shared" si="7"/>
        <v>0</v>
      </c>
      <c r="N6" s="4">
        <f t="shared" si="8"/>
        <v>-6.491</v>
      </c>
      <c r="O6" s="4" t="str">
        <f t="shared" si="9"/>
        <v/>
      </c>
      <c r="P6" s="4">
        <f t="shared" si="10"/>
        <v>13.4</v>
      </c>
    </row>
    <row r="7">
      <c r="A7" s="4">
        <v>1972.0</v>
      </c>
      <c r="B7" s="4">
        <v>157.0</v>
      </c>
      <c r="C7" s="5">
        <v>6.0</v>
      </c>
      <c r="D7" s="5">
        <v>23.2</v>
      </c>
      <c r="E7" s="4">
        <f t="shared" si="1"/>
        <v>0</v>
      </c>
      <c r="F7" s="4">
        <f t="shared" si="2"/>
        <v>0</v>
      </c>
      <c r="G7" s="4">
        <f t="shared" si="3"/>
        <v>-5.259</v>
      </c>
      <c r="H7" s="4">
        <f t="shared" si="4"/>
        <v>-6.255</v>
      </c>
      <c r="I7" s="4" t="str">
        <f t="shared" si="5"/>
        <v> </v>
      </c>
      <c r="J7" s="5"/>
      <c r="K7" s="5">
        <v>16.9</v>
      </c>
      <c r="L7" s="4">
        <f t="shared" si="6"/>
        <v>3</v>
      </c>
      <c r="M7" s="4">
        <f t="shared" si="7"/>
        <v>0</v>
      </c>
      <c r="N7" s="4">
        <f t="shared" si="8"/>
        <v>-9.1258</v>
      </c>
      <c r="O7" s="4" t="str">
        <f t="shared" si="9"/>
        <v/>
      </c>
      <c r="P7" s="4">
        <f t="shared" si="10"/>
        <v>16.9</v>
      </c>
    </row>
    <row r="8">
      <c r="A8" s="4">
        <v>1972.0</v>
      </c>
      <c r="B8" s="4">
        <v>158.0</v>
      </c>
      <c r="C8" s="5">
        <v>11.8</v>
      </c>
      <c r="D8" s="5">
        <v>24.2</v>
      </c>
      <c r="E8" s="4">
        <f t="shared" si="1"/>
        <v>0</v>
      </c>
      <c r="F8" s="4">
        <f t="shared" si="2"/>
        <v>0</v>
      </c>
      <c r="G8" s="4">
        <f t="shared" si="3"/>
        <v>-2.85</v>
      </c>
      <c r="H8" s="4">
        <f t="shared" si="4"/>
        <v>-5.155</v>
      </c>
      <c r="I8" s="4" t="str">
        <f t="shared" si="5"/>
        <v> </v>
      </c>
      <c r="J8" s="5"/>
      <c r="K8" s="5">
        <v>19.7</v>
      </c>
      <c r="L8" s="4">
        <f t="shared" si="6"/>
        <v>3</v>
      </c>
      <c r="M8" s="4">
        <f t="shared" si="7"/>
        <v>0</v>
      </c>
      <c r="N8" s="4">
        <f t="shared" si="8"/>
        <v>-10.195</v>
      </c>
      <c r="O8" s="4" t="str">
        <f t="shared" si="9"/>
        <v/>
      </c>
      <c r="P8" s="4">
        <f t="shared" si="10"/>
        <v>19.7</v>
      </c>
    </row>
    <row r="9">
      <c r="A9" s="4">
        <v>1972.0</v>
      </c>
      <c r="B9" s="4">
        <v>159.0</v>
      </c>
      <c r="C9" s="5">
        <v>10.2</v>
      </c>
      <c r="D9" s="5">
        <v>19.8</v>
      </c>
      <c r="E9" s="4">
        <f t="shared" si="1"/>
        <v>0</v>
      </c>
      <c r="F9" s="4">
        <f t="shared" si="2"/>
        <v>0</v>
      </c>
      <c r="G9" s="4">
        <f t="shared" si="3"/>
        <v>-6.312</v>
      </c>
      <c r="H9" s="4">
        <f t="shared" si="4"/>
        <v>-6.6635</v>
      </c>
      <c r="I9" s="4" t="str">
        <f t="shared" si="5"/>
        <v> </v>
      </c>
      <c r="J9" s="5"/>
      <c r="K9" s="5">
        <v>16.8</v>
      </c>
      <c r="L9" s="4">
        <f t="shared" si="6"/>
        <v>3</v>
      </c>
      <c r="M9" s="4">
        <f t="shared" si="7"/>
        <v>0</v>
      </c>
      <c r="N9" s="4">
        <f t="shared" si="8"/>
        <v>-0.4377</v>
      </c>
      <c r="O9" s="4" t="str">
        <f t="shared" si="9"/>
        <v/>
      </c>
      <c r="P9" s="4">
        <f t="shared" si="10"/>
        <v>16.8</v>
      </c>
    </row>
    <row r="10">
      <c r="A10" s="4">
        <v>1972.0</v>
      </c>
      <c r="B10" s="4">
        <v>160.0</v>
      </c>
      <c r="C10" s="5">
        <v>6.5</v>
      </c>
      <c r="D10" s="5">
        <v>17.0</v>
      </c>
      <c r="E10" s="4">
        <f t="shared" si="1"/>
        <v>0</v>
      </c>
      <c r="F10" s="4">
        <f t="shared" si="2"/>
        <v>0</v>
      </c>
      <c r="G10" s="4">
        <f t="shared" si="3"/>
        <v>-5.872</v>
      </c>
      <c r="H10" s="4">
        <f t="shared" si="4"/>
        <v>-6.28</v>
      </c>
      <c r="I10" s="4" t="str">
        <f t="shared" si="5"/>
        <v> </v>
      </c>
      <c r="J10" s="5"/>
      <c r="K10" s="5">
        <v>13.5</v>
      </c>
      <c r="L10" s="4">
        <f t="shared" si="6"/>
        <v>3</v>
      </c>
      <c r="M10" s="4">
        <f t="shared" si="7"/>
        <v>1</v>
      </c>
      <c r="N10" s="4">
        <f t="shared" si="8"/>
        <v>1.6301</v>
      </c>
      <c r="O10" s="4" t="str">
        <f t="shared" si="9"/>
        <v/>
      </c>
      <c r="P10" s="4">
        <f t="shared" si="10"/>
        <v>13.5</v>
      </c>
    </row>
    <row r="11">
      <c r="A11" s="4">
        <v>1972.0</v>
      </c>
      <c r="B11" s="4">
        <v>161.0</v>
      </c>
      <c r="C11" s="5">
        <v>11.0</v>
      </c>
      <c r="D11" s="5">
        <v>14.8</v>
      </c>
      <c r="E11" s="4">
        <f t="shared" si="1"/>
        <v>1</v>
      </c>
      <c r="F11" s="4">
        <f t="shared" si="2"/>
        <v>0</v>
      </c>
      <c r="G11" s="4">
        <f t="shared" si="3"/>
        <v>-3.614</v>
      </c>
      <c r="H11" s="4">
        <f t="shared" si="4"/>
        <v>-4.629</v>
      </c>
      <c r="I11" s="4" t="str">
        <f t="shared" si="5"/>
        <v> </v>
      </c>
      <c r="J11" s="5">
        <v>0.1</v>
      </c>
      <c r="K11" s="5">
        <v>12.3</v>
      </c>
      <c r="L11" s="4">
        <f t="shared" si="6"/>
        <v>8</v>
      </c>
      <c r="M11" s="4">
        <f t="shared" si="7"/>
        <v>0</v>
      </c>
      <c r="N11" s="4">
        <f t="shared" si="8"/>
        <v>-4.2538</v>
      </c>
      <c r="O11" s="4">
        <f t="shared" si="9"/>
        <v>0.1</v>
      </c>
      <c r="P11" s="4">
        <f t="shared" si="10"/>
        <v>12.3</v>
      </c>
    </row>
    <row r="12">
      <c r="A12" s="4">
        <v>1972.0</v>
      </c>
      <c r="B12" s="4">
        <v>162.0</v>
      </c>
      <c r="C12" s="5">
        <v>6.7</v>
      </c>
      <c r="D12" s="5">
        <v>16.3</v>
      </c>
      <c r="E12" s="4">
        <f t="shared" si="1"/>
        <v>0</v>
      </c>
      <c r="F12" s="4">
        <f t="shared" si="2"/>
        <v>0</v>
      </c>
      <c r="G12" s="4">
        <f t="shared" si="3"/>
        <v>-5.004</v>
      </c>
      <c r="H12" s="4">
        <f t="shared" si="4"/>
        <v>-7.1515</v>
      </c>
      <c r="I12" s="4" t="str">
        <f t="shared" si="5"/>
        <v> </v>
      </c>
      <c r="J12" s="5"/>
      <c r="K12" s="5">
        <v>11.6</v>
      </c>
      <c r="L12" s="4">
        <f t="shared" si="6"/>
        <v>3</v>
      </c>
      <c r="M12" s="4">
        <f t="shared" si="7"/>
        <v>0</v>
      </c>
      <c r="N12" s="4">
        <f t="shared" si="8"/>
        <v>-5.3224</v>
      </c>
      <c r="O12" s="4" t="str">
        <f t="shared" si="9"/>
        <v/>
      </c>
      <c r="P12" s="4">
        <f t="shared" si="10"/>
        <v>11.6</v>
      </c>
    </row>
    <row r="13">
      <c r="A13" s="4">
        <v>1972.0</v>
      </c>
      <c r="B13" s="4">
        <v>163.0</v>
      </c>
      <c r="C13" s="5">
        <v>5.4</v>
      </c>
      <c r="D13" s="5">
        <v>18.8</v>
      </c>
      <c r="E13" s="4">
        <f t="shared" si="1"/>
        <v>0</v>
      </c>
      <c r="F13" s="4">
        <f t="shared" si="2"/>
        <v>0</v>
      </c>
      <c r="G13" s="4">
        <f t="shared" si="3"/>
        <v>0.099</v>
      </c>
      <c r="H13" s="4">
        <f t="shared" si="4"/>
        <v>-1.942</v>
      </c>
      <c r="I13" s="4" t="str">
        <f t="shared" si="5"/>
        <v> </v>
      </c>
      <c r="J13" s="5"/>
      <c r="K13" s="5">
        <v>13.4</v>
      </c>
      <c r="L13" s="4">
        <f t="shared" si="6"/>
        <v>3</v>
      </c>
      <c r="M13" s="4">
        <f t="shared" si="7"/>
        <v>0</v>
      </c>
      <c r="N13" s="4">
        <f t="shared" si="8"/>
        <v>-8.2322</v>
      </c>
      <c r="O13" s="4" t="str">
        <f t="shared" si="9"/>
        <v/>
      </c>
      <c r="P13" s="4">
        <f t="shared" si="10"/>
        <v>13.4</v>
      </c>
    </row>
    <row r="14">
      <c r="A14" s="4">
        <v>1972.0</v>
      </c>
      <c r="B14" s="4">
        <v>164.0</v>
      </c>
      <c r="C14" s="5">
        <v>11.1</v>
      </c>
      <c r="D14" s="5">
        <v>23.0</v>
      </c>
      <c r="E14" s="4">
        <f t="shared" si="1"/>
        <v>0</v>
      </c>
      <c r="F14" s="4">
        <f t="shared" si="2"/>
        <v>0</v>
      </c>
      <c r="G14" s="4">
        <f t="shared" si="3"/>
        <v>7.413</v>
      </c>
      <c r="H14" s="4">
        <f t="shared" si="4"/>
        <v>4.884</v>
      </c>
      <c r="I14" s="4" t="str">
        <f t="shared" si="5"/>
        <v> </v>
      </c>
      <c r="J14" s="5"/>
      <c r="K14" s="5">
        <v>17.2</v>
      </c>
      <c r="L14" s="4">
        <f t="shared" si="6"/>
        <v>3</v>
      </c>
      <c r="M14" s="4">
        <f t="shared" si="7"/>
        <v>0</v>
      </c>
      <c r="N14" s="4">
        <f t="shared" si="8"/>
        <v>-7.2903</v>
      </c>
      <c r="O14" s="4" t="str">
        <f t="shared" si="9"/>
        <v/>
      </c>
      <c r="P14" s="4">
        <f t="shared" si="10"/>
        <v>17.2</v>
      </c>
    </row>
    <row r="15">
      <c r="A15" s="4">
        <v>1972.0</v>
      </c>
      <c r="B15" s="4">
        <v>165.0</v>
      </c>
      <c r="C15" s="5">
        <v>10.6</v>
      </c>
      <c r="D15" s="5">
        <v>25.3</v>
      </c>
      <c r="E15" s="4">
        <f t="shared" si="1"/>
        <v>0</v>
      </c>
      <c r="F15" s="4">
        <f t="shared" si="2"/>
        <v>0</v>
      </c>
      <c r="G15" s="4">
        <f t="shared" si="3"/>
        <v>7.109</v>
      </c>
      <c r="H15" s="4">
        <f t="shared" si="4"/>
        <v>5.314</v>
      </c>
      <c r="I15" s="4" t="str">
        <f t="shared" si="5"/>
        <v> </v>
      </c>
      <c r="J15" s="5"/>
      <c r="K15" s="5">
        <v>19.3</v>
      </c>
      <c r="L15" s="4">
        <f t="shared" si="6"/>
        <v>3</v>
      </c>
      <c r="M15" s="4">
        <f t="shared" si="7"/>
        <v>0</v>
      </c>
      <c r="N15" s="4">
        <f t="shared" si="8"/>
        <v>-3.3018</v>
      </c>
      <c r="O15" s="4" t="str">
        <f t="shared" si="9"/>
        <v/>
      </c>
      <c r="P15" s="4">
        <f t="shared" si="10"/>
        <v>19.3</v>
      </c>
    </row>
    <row r="16">
      <c r="A16" s="4">
        <v>1972.0</v>
      </c>
      <c r="B16" s="4">
        <v>166.0</v>
      </c>
      <c r="C16" s="5">
        <v>15.0</v>
      </c>
      <c r="D16" s="5">
        <v>30.2</v>
      </c>
      <c r="E16" s="4">
        <f t="shared" si="1"/>
        <v>0</v>
      </c>
      <c r="F16" s="4">
        <f t="shared" si="2"/>
        <v>1</v>
      </c>
      <c r="G16" s="4">
        <f t="shared" si="3"/>
        <v>10.554</v>
      </c>
      <c r="H16" s="4">
        <f t="shared" si="4"/>
        <v>11.154</v>
      </c>
      <c r="I16" s="4">
        <f t="shared" si="5"/>
        <v>0.6</v>
      </c>
      <c r="J16" s="5"/>
      <c r="K16" s="5">
        <v>23.0</v>
      </c>
      <c r="L16" s="4">
        <f t="shared" si="6"/>
        <v>3</v>
      </c>
      <c r="M16" s="4">
        <f t="shared" si="7"/>
        <v>1</v>
      </c>
      <c r="N16" s="4">
        <f t="shared" si="8"/>
        <v>4.1929</v>
      </c>
      <c r="O16" s="4" t="str">
        <f t="shared" si="9"/>
        <v/>
      </c>
      <c r="P16" s="4">
        <f t="shared" si="10"/>
        <v>23</v>
      </c>
    </row>
    <row r="17">
      <c r="A17" s="4">
        <v>1972.0</v>
      </c>
      <c r="B17" s="4">
        <v>167.0</v>
      </c>
      <c r="C17" s="5">
        <v>17.5</v>
      </c>
      <c r="D17" s="5">
        <v>29.8</v>
      </c>
      <c r="E17" s="4">
        <f t="shared" si="1"/>
        <v>1</v>
      </c>
      <c r="F17" s="4">
        <f t="shared" si="2"/>
        <v>1</v>
      </c>
      <c r="G17" s="4">
        <f t="shared" si="3"/>
        <v>14.207</v>
      </c>
      <c r="H17" s="4">
        <f t="shared" si="4"/>
        <v>14.589</v>
      </c>
      <c r="I17" s="4">
        <f t="shared" si="5"/>
        <v>0.382</v>
      </c>
      <c r="J17" s="5">
        <v>2.2</v>
      </c>
      <c r="K17" s="5">
        <v>23.4</v>
      </c>
      <c r="L17" s="4">
        <f t="shared" si="6"/>
        <v>8</v>
      </c>
      <c r="M17" s="4">
        <f t="shared" si="7"/>
        <v>1</v>
      </c>
      <c r="N17" s="4">
        <f t="shared" si="8"/>
        <v>1.9312</v>
      </c>
      <c r="O17" s="4">
        <f t="shared" si="9"/>
        <v>2.2</v>
      </c>
      <c r="P17" s="4">
        <f t="shared" si="10"/>
        <v>23.4</v>
      </c>
    </row>
    <row r="18">
      <c r="A18" s="4">
        <v>1972.0</v>
      </c>
      <c r="B18" s="4">
        <v>168.0</v>
      </c>
      <c r="C18" s="5">
        <v>15.8</v>
      </c>
      <c r="D18" s="5">
        <v>24.0</v>
      </c>
      <c r="E18" s="4">
        <f t="shared" si="1"/>
        <v>1</v>
      </c>
      <c r="F18" s="4">
        <f t="shared" si="2"/>
        <v>1</v>
      </c>
      <c r="G18" s="4">
        <f t="shared" si="3"/>
        <v>10.036</v>
      </c>
      <c r="H18" s="4">
        <f t="shared" si="4"/>
        <v>11.0475</v>
      </c>
      <c r="I18" s="4">
        <f t="shared" si="5"/>
        <v>1.0115</v>
      </c>
      <c r="J18" s="5">
        <v>5.3</v>
      </c>
      <c r="K18" s="5">
        <v>19.7</v>
      </c>
      <c r="L18" s="4">
        <f t="shared" si="6"/>
        <v>8</v>
      </c>
      <c r="M18" s="4">
        <f t="shared" si="7"/>
        <v>0</v>
      </c>
      <c r="N18" s="4">
        <f t="shared" si="8"/>
        <v>-1.1135</v>
      </c>
      <c r="O18" s="4">
        <f t="shared" si="9"/>
        <v>5.3</v>
      </c>
      <c r="P18" s="4">
        <f t="shared" si="10"/>
        <v>19.7</v>
      </c>
    </row>
    <row r="19">
      <c r="A19" s="4">
        <v>1972.0</v>
      </c>
      <c r="B19" s="4">
        <v>169.0</v>
      </c>
      <c r="C19" s="5">
        <v>10.7</v>
      </c>
      <c r="D19" s="5">
        <v>20.2</v>
      </c>
      <c r="E19" s="4">
        <f t="shared" si="1"/>
        <v>0</v>
      </c>
      <c r="F19" s="4">
        <f t="shared" si="2"/>
        <v>0</v>
      </c>
      <c r="G19" s="4">
        <f t="shared" si="3"/>
        <v>5.031</v>
      </c>
      <c r="H19" s="4">
        <f t="shared" si="4"/>
        <v>2.9075</v>
      </c>
      <c r="I19" s="4" t="str">
        <f t="shared" si="5"/>
        <v> </v>
      </c>
      <c r="J19" s="5"/>
      <c r="K19" s="5">
        <v>16.6</v>
      </c>
      <c r="L19" s="4">
        <f t="shared" si="6"/>
        <v>3</v>
      </c>
      <c r="M19" s="4">
        <f t="shared" si="7"/>
        <v>1</v>
      </c>
      <c r="N19" s="4">
        <f t="shared" si="8"/>
        <v>3.0029</v>
      </c>
      <c r="O19" s="4" t="str">
        <f t="shared" si="9"/>
        <v/>
      </c>
      <c r="P19" s="4">
        <f t="shared" si="10"/>
        <v>16.6</v>
      </c>
    </row>
    <row r="20">
      <c r="A20" s="4">
        <v>1972.0</v>
      </c>
      <c r="B20" s="4">
        <v>170.0</v>
      </c>
      <c r="C20" s="5">
        <v>8.4</v>
      </c>
      <c r="D20" s="5">
        <v>18.0</v>
      </c>
      <c r="E20" s="4">
        <f t="shared" si="1"/>
        <v>1</v>
      </c>
      <c r="F20" s="4">
        <f t="shared" si="2"/>
        <v>1</v>
      </c>
      <c r="G20" s="4">
        <f t="shared" si="3"/>
        <v>3.366</v>
      </c>
      <c r="H20" s="4">
        <f t="shared" si="4"/>
        <v>3.8155</v>
      </c>
      <c r="I20" s="4">
        <f t="shared" si="5"/>
        <v>0.4495</v>
      </c>
      <c r="J20" s="5">
        <v>0.7</v>
      </c>
      <c r="K20" s="5">
        <v>14.2</v>
      </c>
      <c r="L20" s="4">
        <f t="shared" si="6"/>
        <v>8</v>
      </c>
      <c r="M20" s="4">
        <f t="shared" si="7"/>
        <v>1</v>
      </c>
      <c r="N20" s="4">
        <f t="shared" si="8"/>
        <v>1.731</v>
      </c>
      <c r="O20" s="4">
        <f t="shared" si="9"/>
        <v>0.7</v>
      </c>
      <c r="P20" s="4">
        <f t="shared" si="10"/>
        <v>14.2</v>
      </c>
    </row>
    <row r="21" ht="15.75" customHeight="1">
      <c r="A21" s="4">
        <v>1972.0</v>
      </c>
      <c r="B21" s="4">
        <v>171.0</v>
      </c>
      <c r="C21" s="5">
        <v>11.4</v>
      </c>
      <c r="D21" s="5">
        <v>22.5</v>
      </c>
      <c r="E21" s="4">
        <f t="shared" si="1"/>
        <v>0</v>
      </c>
      <c r="F21" s="4">
        <f t="shared" si="2"/>
        <v>1</v>
      </c>
      <c r="G21" s="4">
        <f t="shared" si="3"/>
        <v>6.29</v>
      </c>
      <c r="H21" s="4">
        <f t="shared" si="4"/>
        <v>6.7705</v>
      </c>
      <c r="I21" s="4">
        <f t="shared" si="5"/>
        <v>0.4805</v>
      </c>
      <c r="J21" s="5"/>
      <c r="K21" s="5">
        <v>18.1</v>
      </c>
      <c r="L21" s="4">
        <f t="shared" si="6"/>
        <v>3</v>
      </c>
      <c r="M21" s="4">
        <f t="shared" si="7"/>
        <v>1</v>
      </c>
      <c r="N21" s="4">
        <f t="shared" si="8"/>
        <v>2.4553</v>
      </c>
      <c r="O21" s="4" t="str">
        <f t="shared" si="9"/>
        <v/>
      </c>
      <c r="P21" s="4">
        <f t="shared" si="10"/>
        <v>18.1</v>
      </c>
    </row>
    <row r="22" ht="15.75" customHeight="1">
      <c r="A22" s="4">
        <v>1972.0</v>
      </c>
      <c r="B22" s="4">
        <v>172.0</v>
      </c>
      <c r="C22" s="5">
        <v>13.3</v>
      </c>
      <c r="D22" s="5">
        <v>25.9</v>
      </c>
      <c r="E22" s="4">
        <f t="shared" si="1"/>
        <v>1</v>
      </c>
      <c r="F22" s="4">
        <f t="shared" si="2"/>
        <v>0</v>
      </c>
      <c r="G22" s="4">
        <f t="shared" si="3"/>
        <v>14.762</v>
      </c>
      <c r="H22" s="4">
        <f t="shared" si="4"/>
        <v>12.8065</v>
      </c>
      <c r="I22" s="4" t="str">
        <f t="shared" si="5"/>
        <v> </v>
      </c>
      <c r="J22" s="5">
        <v>41.3</v>
      </c>
      <c r="K22" s="5">
        <v>20.5</v>
      </c>
      <c r="L22" s="4">
        <f t="shared" si="6"/>
        <v>8</v>
      </c>
      <c r="M22" s="4">
        <f t="shared" si="7"/>
        <v>0</v>
      </c>
      <c r="N22" s="4">
        <f t="shared" si="8"/>
        <v>-4.9231</v>
      </c>
      <c r="O22" s="4">
        <f t="shared" si="9"/>
        <v>41.3</v>
      </c>
      <c r="P22" s="4">
        <f t="shared" si="10"/>
        <v>20.5</v>
      </c>
    </row>
    <row r="23" ht="15.75" customHeight="1">
      <c r="A23" s="4">
        <v>1972.0</v>
      </c>
      <c r="B23" s="4">
        <v>173.0</v>
      </c>
      <c r="C23" s="5">
        <v>14.9</v>
      </c>
      <c r="D23" s="5">
        <v>21.7</v>
      </c>
      <c r="E23" s="4">
        <f t="shared" si="1"/>
        <v>0</v>
      </c>
      <c r="F23" s="4">
        <f t="shared" si="2"/>
        <v>0</v>
      </c>
      <c r="G23" s="4">
        <f t="shared" si="3"/>
        <v>10.135</v>
      </c>
      <c r="H23" s="4">
        <f t="shared" si="4"/>
        <v>6.7</v>
      </c>
      <c r="I23" s="4" t="str">
        <f t="shared" si="5"/>
        <v> </v>
      </c>
      <c r="J23" s="5"/>
      <c r="K23" s="5">
        <v>17.9</v>
      </c>
      <c r="L23" s="4">
        <f t="shared" si="6"/>
        <v>3</v>
      </c>
      <c r="M23" s="4">
        <f t="shared" si="7"/>
        <v>0</v>
      </c>
      <c r="N23" s="4">
        <f t="shared" si="8"/>
        <v>-2.858</v>
      </c>
      <c r="O23" s="4" t="str">
        <f t="shared" si="9"/>
        <v/>
      </c>
      <c r="P23" s="4">
        <f t="shared" si="10"/>
        <v>17.9</v>
      </c>
    </row>
    <row r="24" ht="15.75" customHeight="1">
      <c r="A24" s="4">
        <v>1972.0</v>
      </c>
      <c r="B24" s="4">
        <v>174.0</v>
      </c>
      <c r="C24" s="5">
        <v>12.6</v>
      </c>
      <c r="D24" s="5">
        <v>21.9</v>
      </c>
      <c r="E24" s="4">
        <f t="shared" si="1"/>
        <v>0</v>
      </c>
      <c r="F24" s="4">
        <f t="shared" si="2"/>
        <v>0</v>
      </c>
      <c r="G24" s="4">
        <f t="shared" si="3"/>
        <v>7.435</v>
      </c>
      <c r="H24" s="4">
        <f t="shared" si="4"/>
        <v>4.999</v>
      </c>
      <c r="I24" s="4" t="str">
        <f t="shared" si="5"/>
        <v> </v>
      </c>
      <c r="J24" s="5"/>
      <c r="K24" s="5">
        <v>17.3</v>
      </c>
      <c r="L24" s="4">
        <f t="shared" si="6"/>
        <v>3</v>
      </c>
      <c r="M24" s="4">
        <f t="shared" si="7"/>
        <v>1</v>
      </c>
      <c r="N24" s="4">
        <f t="shared" si="8"/>
        <v>3.6428</v>
      </c>
      <c r="O24" s="4" t="str">
        <f t="shared" si="9"/>
        <v/>
      </c>
      <c r="P24" s="4">
        <f t="shared" si="10"/>
        <v>17.3</v>
      </c>
    </row>
    <row r="25" ht="15.75" customHeight="1">
      <c r="A25" s="4">
        <v>1972.0</v>
      </c>
      <c r="B25" s="4">
        <v>175.0</v>
      </c>
      <c r="C25" s="5">
        <v>13.1</v>
      </c>
      <c r="D25" s="5">
        <v>26.3</v>
      </c>
      <c r="E25" s="4">
        <f t="shared" si="1"/>
        <v>1</v>
      </c>
      <c r="F25" s="4">
        <f t="shared" si="2"/>
        <v>0</v>
      </c>
      <c r="G25" s="4">
        <f t="shared" si="3"/>
        <v>11.054</v>
      </c>
      <c r="H25" s="4">
        <f t="shared" si="4"/>
        <v>8.8165</v>
      </c>
      <c r="I25" s="4" t="str">
        <f t="shared" si="5"/>
        <v> </v>
      </c>
      <c r="J25" s="5">
        <v>0.6</v>
      </c>
      <c r="K25" s="5">
        <v>20.6</v>
      </c>
      <c r="L25" s="4">
        <f t="shared" si="6"/>
        <v>8</v>
      </c>
      <c r="M25" s="4">
        <f t="shared" si="7"/>
        <v>0</v>
      </c>
      <c r="N25" s="4">
        <f t="shared" si="8"/>
        <v>-5.5674</v>
      </c>
      <c r="O25" s="4">
        <f t="shared" si="9"/>
        <v>0.6</v>
      </c>
      <c r="P25" s="4">
        <f t="shared" si="10"/>
        <v>20.6</v>
      </c>
    </row>
    <row r="26" ht="15.75" customHeight="1">
      <c r="A26" s="4">
        <v>1972.0</v>
      </c>
      <c r="B26" s="4">
        <v>176.0</v>
      </c>
      <c r="C26" s="5">
        <v>17.8</v>
      </c>
      <c r="D26" s="5">
        <v>27.8</v>
      </c>
      <c r="E26" s="4">
        <f t="shared" si="1"/>
        <v>0</v>
      </c>
      <c r="F26" s="4">
        <f t="shared" si="2"/>
        <v>0</v>
      </c>
      <c r="G26" s="4">
        <f t="shared" si="3"/>
        <v>10.865</v>
      </c>
      <c r="H26" s="4">
        <f t="shared" si="4"/>
        <v>7.6905</v>
      </c>
      <c r="I26" s="4" t="str">
        <f t="shared" si="5"/>
        <v> </v>
      </c>
      <c r="J26" s="5"/>
      <c r="K26" s="5">
        <v>23.1</v>
      </c>
      <c r="L26" s="4">
        <f t="shared" si="6"/>
        <v>3</v>
      </c>
      <c r="M26" s="4">
        <f t="shared" si="7"/>
        <v>0</v>
      </c>
      <c r="N26" s="4">
        <f t="shared" si="8"/>
        <v>-10.2969</v>
      </c>
      <c r="O26" s="4" t="str">
        <f t="shared" si="9"/>
        <v/>
      </c>
      <c r="P26" s="4">
        <f t="shared" si="10"/>
        <v>23.1</v>
      </c>
    </row>
    <row r="27" ht="15.75" customHeight="1">
      <c r="A27" s="4">
        <v>1972.0</v>
      </c>
      <c r="B27" s="4">
        <v>177.0</v>
      </c>
      <c r="C27" s="5">
        <v>15.4</v>
      </c>
      <c r="D27" s="5">
        <v>27.4</v>
      </c>
      <c r="E27" s="4">
        <f t="shared" si="1"/>
        <v>0</v>
      </c>
      <c r="F27" s="4">
        <f t="shared" si="2"/>
        <v>0</v>
      </c>
      <c r="G27" s="4">
        <f t="shared" si="3"/>
        <v>10.776</v>
      </c>
      <c r="H27" s="4">
        <f t="shared" si="4"/>
        <v>6.532</v>
      </c>
      <c r="I27" s="4" t="str">
        <f t="shared" si="5"/>
        <v> </v>
      </c>
      <c r="J27" s="5"/>
      <c r="K27" s="5">
        <v>22.1</v>
      </c>
      <c r="L27" s="4">
        <f t="shared" si="6"/>
        <v>3</v>
      </c>
      <c r="M27" s="4">
        <f t="shared" si="7"/>
        <v>0</v>
      </c>
      <c r="N27" s="4">
        <f t="shared" si="8"/>
        <v>-8.5198</v>
      </c>
      <c r="O27" s="4" t="str">
        <f t="shared" si="9"/>
        <v/>
      </c>
      <c r="P27" s="4">
        <f t="shared" si="10"/>
        <v>22.1</v>
      </c>
    </row>
    <row r="28" ht="15.75" customHeight="1">
      <c r="A28" s="4">
        <v>1972.0</v>
      </c>
      <c r="B28" s="4">
        <v>178.0</v>
      </c>
      <c r="C28" s="5">
        <v>12.8</v>
      </c>
      <c r="D28" s="5">
        <v>25.1</v>
      </c>
      <c r="E28" s="4">
        <f t="shared" si="1"/>
        <v>0</v>
      </c>
      <c r="F28" s="4">
        <f t="shared" si="2"/>
        <v>0</v>
      </c>
      <c r="G28" s="4">
        <f t="shared" si="3"/>
        <v>8.899</v>
      </c>
      <c r="H28" s="4">
        <f t="shared" si="4"/>
        <v>6.035</v>
      </c>
      <c r="I28" s="4" t="str">
        <f t="shared" si="5"/>
        <v> </v>
      </c>
      <c r="J28" s="5"/>
      <c r="K28" s="5">
        <v>20.4</v>
      </c>
      <c r="L28" s="4">
        <f t="shared" si="6"/>
        <v>3</v>
      </c>
      <c r="M28" s="4">
        <f t="shared" si="7"/>
        <v>0</v>
      </c>
      <c r="N28" s="4">
        <f t="shared" si="8"/>
        <v>-4.2206</v>
      </c>
      <c r="O28" s="4" t="str">
        <f t="shared" si="9"/>
        <v/>
      </c>
      <c r="P28" s="4">
        <f t="shared" si="10"/>
        <v>20.4</v>
      </c>
    </row>
    <row r="29" ht="15.75" customHeight="1">
      <c r="A29" s="4">
        <v>1972.0</v>
      </c>
      <c r="B29" s="4">
        <v>179.0</v>
      </c>
      <c r="C29" s="5">
        <v>14.1</v>
      </c>
      <c r="D29" s="5">
        <v>25.1</v>
      </c>
      <c r="E29" s="4">
        <f t="shared" si="1"/>
        <v>0</v>
      </c>
      <c r="F29" s="4">
        <f t="shared" si="2"/>
        <v>0</v>
      </c>
      <c r="G29" s="4">
        <f t="shared" si="3"/>
        <v>12.35</v>
      </c>
      <c r="H29" s="4">
        <f t="shared" si="4"/>
        <v>11.141</v>
      </c>
      <c r="I29" s="4" t="str">
        <f t="shared" si="5"/>
        <v> </v>
      </c>
      <c r="J29" s="5"/>
      <c r="K29" s="5">
        <v>20.2</v>
      </c>
      <c r="L29" s="4">
        <f t="shared" si="6"/>
        <v>3</v>
      </c>
      <c r="M29" s="4">
        <f t="shared" si="7"/>
        <v>1</v>
      </c>
      <c r="N29" s="4">
        <f t="shared" si="8"/>
        <v>1.6566</v>
      </c>
      <c r="O29" s="4" t="str">
        <f t="shared" si="9"/>
        <v/>
      </c>
      <c r="P29" s="4">
        <f t="shared" si="10"/>
        <v>20.2</v>
      </c>
    </row>
    <row r="30" ht="15.75" customHeight="1">
      <c r="A30" s="4">
        <v>1972.0</v>
      </c>
      <c r="B30" s="4">
        <v>180.0</v>
      </c>
      <c r="C30" s="5">
        <v>13.4</v>
      </c>
      <c r="D30" s="5">
        <v>25.8</v>
      </c>
      <c r="E30" s="4">
        <f t="shared" si="1"/>
        <v>1</v>
      </c>
      <c r="F30" s="4">
        <f t="shared" si="2"/>
        <v>0</v>
      </c>
      <c r="G30" s="4">
        <f t="shared" si="3"/>
        <v>15.179</v>
      </c>
      <c r="H30" s="4">
        <f t="shared" si="4"/>
        <v>15.1185</v>
      </c>
      <c r="I30" s="4" t="str">
        <f t="shared" si="5"/>
        <v> </v>
      </c>
      <c r="J30" s="5">
        <v>1.8</v>
      </c>
      <c r="K30" s="5">
        <v>21.2</v>
      </c>
      <c r="L30" s="4">
        <f t="shared" si="6"/>
        <v>8</v>
      </c>
      <c r="M30" s="4">
        <f t="shared" si="7"/>
        <v>0</v>
      </c>
      <c r="N30" s="4">
        <f t="shared" si="8"/>
        <v>-4.0297</v>
      </c>
      <c r="O30" s="4">
        <f t="shared" si="9"/>
        <v>1.8</v>
      </c>
      <c r="P30" s="4">
        <f t="shared" si="10"/>
        <v>21.2</v>
      </c>
    </row>
    <row r="31" ht="15.75" customHeight="1">
      <c r="A31" s="4">
        <v>1972.0</v>
      </c>
      <c r="B31" s="4">
        <v>181.0</v>
      </c>
      <c r="C31" s="5">
        <v>14.9</v>
      </c>
      <c r="D31" s="5">
        <v>23.8</v>
      </c>
      <c r="E31" s="4">
        <f t="shared" si="1"/>
        <v>0</v>
      </c>
      <c r="F31" s="4">
        <f t="shared" si="2"/>
        <v>0</v>
      </c>
      <c r="G31" s="4">
        <f t="shared" si="3"/>
        <v>15.368</v>
      </c>
      <c r="H31" s="4">
        <f t="shared" si="4"/>
        <v>13.2245</v>
      </c>
      <c r="I31" s="4" t="str">
        <f t="shared" si="5"/>
        <v> </v>
      </c>
      <c r="J31" s="5"/>
      <c r="K31" s="5">
        <v>19.4</v>
      </c>
      <c r="L31" s="4">
        <f t="shared" si="6"/>
        <v>3</v>
      </c>
      <c r="M31" s="4">
        <f t="shared" si="7"/>
        <v>0</v>
      </c>
      <c r="N31" s="4">
        <f t="shared" si="8"/>
        <v>-1.655</v>
      </c>
      <c r="O31" s="4" t="str">
        <f t="shared" si="9"/>
        <v/>
      </c>
      <c r="P31" s="4">
        <f t="shared" si="10"/>
        <v>19.4</v>
      </c>
    </row>
    <row r="32" ht="15.75" customHeight="1">
      <c r="A32" s="4">
        <v>1972.0</v>
      </c>
      <c r="B32" s="4">
        <v>182.0</v>
      </c>
      <c r="C32" s="5">
        <v>15.1</v>
      </c>
      <c r="D32" s="5">
        <v>24.4</v>
      </c>
      <c r="E32" s="4">
        <f t="shared" si="1"/>
        <v>0</v>
      </c>
      <c r="F32" s="4">
        <f t="shared" si="2"/>
        <v>0</v>
      </c>
      <c r="G32" s="4">
        <f t="shared" si="3"/>
        <v>16.395</v>
      </c>
      <c r="H32" s="4">
        <f t="shared" si="4"/>
        <v>15.554</v>
      </c>
      <c r="I32" s="4" t="str">
        <f t="shared" si="5"/>
        <v> </v>
      </c>
      <c r="J32" s="5"/>
      <c r="K32" s="5">
        <v>21.0</v>
      </c>
      <c r="L32" s="4">
        <f t="shared" si="6"/>
        <v>3</v>
      </c>
      <c r="M32" s="4">
        <f t="shared" si="7"/>
        <v>1</v>
      </c>
      <c r="N32" s="4">
        <f t="shared" si="8"/>
        <v>6.5806</v>
      </c>
      <c r="O32" s="4" t="str">
        <f t="shared" si="9"/>
        <v/>
      </c>
      <c r="P32" s="4">
        <f t="shared" si="10"/>
        <v>21</v>
      </c>
    </row>
    <row r="33" ht="15.75" customHeight="1">
      <c r="A33" s="4">
        <v>1972.0</v>
      </c>
      <c r="B33" s="4">
        <v>183.0</v>
      </c>
      <c r="C33" s="5">
        <v>16.8</v>
      </c>
      <c r="D33" s="5">
        <v>24.3</v>
      </c>
      <c r="E33" s="4">
        <f t="shared" si="1"/>
        <v>1</v>
      </c>
      <c r="F33" s="4">
        <f t="shared" si="2"/>
        <v>1</v>
      </c>
      <c r="G33" s="4">
        <f t="shared" si="3"/>
        <v>18.723</v>
      </c>
      <c r="H33" s="4">
        <f t="shared" si="4"/>
        <v>19.6145</v>
      </c>
      <c r="I33" s="4">
        <f t="shared" si="5"/>
        <v>0.8915</v>
      </c>
      <c r="J33" s="5">
        <v>3.2</v>
      </c>
      <c r="K33" s="5">
        <v>21.1</v>
      </c>
      <c r="L33" s="4">
        <f t="shared" si="6"/>
        <v>8</v>
      </c>
      <c r="M33" s="4">
        <f t="shared" si="7"/>
        <v>1</v>
      </c>
      <c r="N33" s="4">
        <f t="shared" si="8"/>
        <v>6.0503</v>
      </c>
      <c r="O33" s="4">
        <f t="shared" si="9"/>
        <v>3.2</v>
      </c>
      <c r="P33" s="4">
        <f t="shared" si="10"/>
        <v>21.1</v>
      </c>
    </row>
    <row r="34" ht="15.75" customHeight="1">
      <c r="A34" s="4">
        <v>1972.0</v>
      </c>
      <c r="B34" s="4">
        <v>184.0</v>
      </c>
      <c r="C34" s="5">
        <v>15.8</v>
      </c>
      <c r="D34" s="5">
        <v>24.3</v>
      </c>
      <c r="E34" s="4">
        <f t="shared" si="1"/>
        <v>1</v>
      </c>
      <c r="F34" s="4">
        <f t="shared" si="2"/>
        <v>0</v>
      </c>
      <c r="G34" s="4">
        <f t="shared" si="3"/>
        <v>20.099</v>
      </c>
      <c r="H34" s="4">
        <f t="shared" si="4"/>
        <v>18.939</v>
      </c>
      <c r="I34" s="4" t="str">
        <f t="shared" si="5"/>
        <v> </v>
      </c>
      <c r="J34" s="5">
        <v>1.7</v>
      </c>
      <c r="K34" s="5">
        <v>20.6</v>
      </c>
      <c r="L34" s="4">
        <f t="shared" si="6"/>
        <v>8</v>
      </c>
      <c r="M34" s="4">
        <f t="shared" si="7"/>
        <v>1</v>
      </c>
      <c r="N34" s="4">
        <f t="shared" si="8"/>
        <v>0.9927</v>
      </c>
      <c r="O34" s="4">
        <f t="shared" si="9"/>
        <v>1.7</v>
      </c>
      <c r="P34" s="4">
        <f t="shared" si="10"/>
        <v>20.6</v>
      </c>
    </row>
    <row r="35" ht="15.75" customHeight="1">
      <c r="A35" s="4">
        <v>1972.0</v>
      </c>
      <c r="B35" s="4">
        <v>185.0</v>
      </c>
      <c r="C35" s="5">
        <v>16.6</v>
      </c>
      <c r="D35" s="5">
        <v>26.2</v>
      </c>
      <c r="E35" s="4">
        <f t="shared" si="1"/>
        <v>0</v>
      </c>
      <c r="F35" s="4">
        <f t="shared" si="2"/>
        <v>0</v>
      </c>
      <c r="G35" s="4">
        <f t="shared" si="3"/>
        <v>17.182</v>
      </c>
      <c r="H35" s="4">
        <f t="shared" si="4"/>
        <v>12.7</v>
      </c>
      <c r="I35" s="4" t="str">
        <f t="shared" si="5"/>
        <v> </v>
      </c>
      <c r="J35" s="5"/>
      <c r="K35" s="5">
        <v>21.2</v>
      </c>
      <c r="L35" s="4">
        <f t="shared" si="6"/>
        <v>3</v>
      </c>
      <c r="M35" s="4">
        <f t="shared" si="7"/>
        <v>1</v>
      </c>
      <c r="N35" s="4">
        <f t="shared" si="8"/>
        <v>1.8221</v>
      </c>
      <c r="O35" s="4" t="str">
        <f t="shared" si="9"/>
        <v/>
      </c>
      <c r="P35" s="4">
        <f t="shared" si="10"/>
        <v>21.2</v>
      </c>
    </row>
    <row r="36" ht="15.75" customHeight="1">
      <c r="A36" s="4">
        <v>1972.0</v>
      </c>
      <c r="B36" s="4">
        <v>186.0</v>
      </c>
      <c r="C36" s="5">
        <v>15.8</v>
      </c>
      <c r="D36" s="5">
        <v>20.7</v>
      </c>
      <c r="E36" s="4">
        <f t="shared" si="1"/>
        <v>1</v>
      </c>
      <c r="F36" s="4">
        <f t="shared" si="2"/>
        <v>0</v>
      </c>
      <c r="G36" s="4">
        <f t="shared" si="3"/>
        <v>14.982</v>
      </c>
      <c r="H36" s="4">
        <f t="shared" si="4"/>
        <v>11.913</v>
      </c>
      <c r="I36" s="4" t="str">
        <f t="shared" si="5"/>
        <v> </v>
      </c>
      <c r="J36" s="5">
        <v>25.9</v>
      </c>
      <c r="K36" s="5">
        <v>18.1</v>
      </c>
      <c r="L36" s="4">
        <f t="shared" si="6"/>
        <v>8</v>
      </c>
      <c r="M36" s="4">
        <f t="shared" si="7"/>
        <v>0</v>
      </c>
      <c r="N36" s="4">
        <f t="shared" si="8"/>
        <v>-2.3959</v>
      </c>
      <c r="O36" s="4">
        <f t="shared" si="9"/>
        <v>25.9</v>
      </c>
      <c r="P36" s="4">
        <f t="shared" si="10"/>
        <v>18.1</v>
      </c>
    </row>
    <row r="37" ht="15.75" customHeight="1">
      <c r="A37" s="4">
        <v>1972.0</v>
      </c>
      <c r="B37" s="4">
        <v>187.0</v>
      </c>
      <c r="C37" s="5">
        <v>15.5</v>
      </c>
      <c r="D37" s="5">
        <v>28.4</v>
      </c>
      <c r="E37" s="4">
        <f t="shared" si="1"/>
        <v>0</v>
      </c>
      <c r="F37" s="4">
        <f t="shared" si="2"/>
        <v>0</v>
      </c>
      <c r="G37" s="4">
        <f t="shared" si="3"/>
        <v>15.446</v>
      </c>
      <c r="H37" s="4">
        <f t="shared" si="4"/>
        <v>10.3395</v>
      </c>
      <c r="I37" s="4" t="str">
        <f t="shared" si="5"/>
        <v> </v>
      </c>
      <c r="J37" s="5"/>
      <c r="K37" s="5">
        <v>23.0</v>
      </c>
      <c r="L37" s="4">
        <f t="shared" si="6"/>
        <v>3</v>
      </c>
      <c r="M37" s="4">
        <f t="shared" si="7"/>
        <v>0</v>
      </c>
      <c r="N37" s="4">
        <f t="shared" si="8"/>
        <v>-9.9192</v>
      </c>
      <c r="O37" s="4" t="str">
        <f t="shared" si="9"/>
        <v/>
      </c>
      <c r="P37" s="4">
        <f t="shared" si="10"/>
        <v>23</v>
      </c>
    </row>
    <row r="38" ht="15.75" customHeight="1">
      <c r="A38" s="4">
        <v>1972.0</v>
      </c>
      <c r="B38" s="4">
        <v>188.0</v>
      </c>
      <c r="C38" s="5">
        <v>19.2</v>
      </c>
      <c r="D38" s="5">
        <v>33.4</v>
      </c>
      <c r="E38" s="4">
        <f t="shared" si="1"/>
        <v>0</v>
      </c>
      <c r="F38" s="4">
        <f t="shared" si="2"/>
        <v>0</v>
      </c>
      <c r="G38" s="4">
        <f t="shared" si="3"/>
        <v>20.167</v>
      </c>
      <c r="H38" s="4">
        <f t="shared" si="4"/>
        <v>14.2305</v>
      </c>
      <c r="I38" s="4" t="str">
        <f t="shared" si="5"/>
        <v> </v>
      </c>
      <c r="J38" s="5"/>
      <c r="K38" s="5">
        <v>26.6</v>
      </c>
      <c r="L38" s="4">
        <f t="shared" si="6"/>
        <v>3</v>
      </c>
      <c r="M38" s="4">
        <f t="shared" si="7"/>
        <v>0</v>
      </c>
      <c r="N38" s="4">
        <f t="shared" si="8"/>
        <v>-10.1109</v>
      </c>
      <c r="O38" s="4" t="str">
        <f t="shared" si="9"/>
        <v/>
      </c>
      <c r="P38" s="4">
        <f t="shared" si="10"/>
        <v>26.6</v>
      </c>
    </row>
    <row r="39" ht="15.75" customHeight="1">
      <c r="A39" s="4">
        <v>1972.0</v>
      </c>
      <c r="B39" s="4">
        <v>189.0</v>
      </c>
      <c r="C39" s="5">
        <v>17.6</v>
      </c>
      <c r="D39" s="5">
        <v>31.0</v>
      </c>
      <c r="E39" s="4">
        <f t="shared" si="1"/>
        <v>0</v>
      </c>
      <c r="F39" s="4">
        <f t="shared" si="2"/>
        <v>0</v>
      </c>
      <c r="G39" s="4">
        <f t="shared" si="3"/>
        <v>19.902</v>
      </c>
      <c r="H39" s="4">
        <f t="shared" si="4"/>
        <v>16.046</v>
      </c>
      <c r="I39" s="4" t="str">
        <f t="shared" si="5"/>
        <v> </v>
      </c>
      <c r="J39" s="5"/>
      <c r="K39" s="5">
        <v>24.7</v>
      </c>
      <c r="L39" s="4">
        <f t="shared" si="6"/>
        <v>3</v>
      </c>
      <c r="M39" s="4">
        <f t="shared" si="7"/>
        <v>0</v>
      </c>
      <c r="N39" s="4">
        <f t="shared" si="8"/>
        <v>-8.3826</v>
      </c>
      <c r="O39" s="4" t="str">
        <f t="shared" si="9"/>
        <v/>
      </c>
      <c r="P39" s="4">
        <f t="shared" si="10"/>
        <v>24.7</v>
      </c>
    </row>
    <row r="40" ht="15.75" customHeight="1">
      <c r="A40" s="4">
        <v>1972.0</v>
      </c>
      <c r="B40" s="4">
        <v>190.0</v>
      </c>
      <c r="C40" s="5">
        <v>17.2</v>
      </c>
      <c r="D40" s="5">
        <v>27.7</v>
      </c>
      <c r="E40" s="4">
        <f t="shared" si="1"/>
        <v>0</v>
      </c>
      <c r="F40" s="4">
        <f t="shared" si="2"/>
        <v>0</v>
      </c>
      <c r="G40" s="4">
        <f t="shared" si="3"/>
        <v>21.214</v>
      </c>
      <c r="H40" s="4">
        <f t="shared" si="4"/>
        <v>17.8945</v>
      </c>
      <c r="I40" s="4" t="str">
        <f t="shared" si="5"/>
        <v> </v>
      </c>
      <c r="J40" s="5"/>
      <c r="K40" s="5">
        <v>22.9</v>
      </c>
      <c r="L40" s="4">
        <f t="shared" si="6"/>
        <v>3</v>
      </c>
      <c r="M40" s="4">
        <f t="shared" si="7"/>
        <v>0</v>
      </c>
      <c r="N40" s="4">
        <f t="shared" si="8"/>
        <v>-7.7338</v>
      </c>
      <c r="O40" s="4" t="str">
        <f t="shared" si="9"/>
        <v/>
      </c>
      <c r="P40" s="4">
        <f t="shared" si="10"/>
        <v>22.9</v>
      </c>
    </row>
    <row r="41" ht="15.75" customHeight="1">
      <c r="A41" s="4">
        <v>1972.0</v>
      </c>
      <c r="B41" s="4">
        <v>191.0</v>
      </c>
      <c r="C41" s="5">
        <v>18.1</v>
      </c>
      <c r="D41" s="5">
        <v>28.1</v>
      </c>
      <c r="E41" s="4">
        <f t="shared" si="1"/>
        <v>0</v>
      </c>
      <c r="F41" s="4">
        <f t="shared" si="2"/>
        <v>0</v>
      </c>
      <c r="G41" s="4">
        <f t="shared" si="3"/>
        <v>23.221</v>
      </c>
      <c r="H41" s="4">
        <f t="shared" si="4"/>
        <v>20.053</v>
      </c>
      <c r="I41" s="4" t="str">
        <f t="shared" si="5"/>
        <v> </v>
      </c>
      <c r="J41" s="5"/>
      <c r="K41" s="5">
        <v>22.9</v>
      </c>
      <c r="L41" s="4">
        <f t="shared" si="6"/>
        <v>3</v>
      </c>
      <c r="M41" s="4">
        <f t="shared" si="7"/>
        <v>0</v>
      </c>
      <c r="N41" s="4">
        <f t="shared" si="8"/>
        <v>-3.0892</v>
      </c>
      <c r="O41" s="4" t="str">
        <f t="shared" si="9"/>
        <v/>
      </c>
      <c r="P41" s="4">
        <f t="shared" si="10"/>
        <v>22.9</v>
      </c>
    </row>
    <row r="42" ht="15.75" customHeight="1">
      <c r="A42" s="4">
        <v>1972.0</v>
      </c>
      <c r="B42" s="4">
        <v>192.0</v>
      </c>
      <c r="C42" s="5">
        <v>18.5</v>
      </c>
      <c r="D42" s="5">
        <v>28.8</v>
      </c>
      <c r="E42" s="4">
        <f t="shared" si="1"/>
        <v>0</v>
      </c>
      <c r="F42" s="4">
        <f t="shared" si="2"/>
        <v>0</v>
      </c>
      <c r="G42" s="4">
        <f t="shared" si="3"/>
        <v>24.606</v>
      </c>
      <c r="H42" s="4">
        <f t="shared" si="4"/>
        <v>21.6145</v>
      </c>
      <c r="I42" s="4" t="str">
        <f t="shared" si="5"/>
        <v> </v>
      </c>
      <c r="J42" s="5"/>
      <c r="K42" s="5">
        <v>23.0</v>
      </c>
      <c r="L42" s="4">
        <f t="shared" si="6"/>
        <v>3</v>
      </c>
      <c r="M42" s="4">
        <f t="shared" si="7"/>
        <v>1</v>
      </c>
      <c r="N42" s="4">
        <f t="shared" si="8"/>
        <v>5.9348</v>
      </c>
      <c r="O42" s="4" t="str">
        <f t="shared" si="9"/>
        <v/>
      </c>
      <c r="P42" s="4">
        <f t="shared" si="10"/>
        <v>23</v>
      </c>
    </row>
    <row r="43" ht="15.75" customHeight="1">
      <c r="A43" s="4">
        <v>1972.0</v>
      </c>
      <c r="B43" s="4">
        <v>193.0</v>
      </c>
      <c r="C43" s="5">
        <v>19.3</v>
      </c>
      <c r="D43" s="5">
        <v>29.9</v>
      </c>
      <c r="E43" s="4">
        <f t="shared" si="1"/>
        <v>1</v>
      </c>
      <c r="F43" s="4">
        <f t="shared" si="2"/>
        <v>0</v>
      </c>
      <c r="G43" s="4">
        <f t="shared" si="3"/>
        <v>25.638</v>
      </c>
      <c r="H43" s="4">
        <f t="shared" si="4"/>
        <v>23.05</v>
      </c>
      <c r="I43" s="4" t="str">
        <f t="shared" si="5"/>
        <v> </v>
      </c>
      <c r="J43" s="5">
        <v>4.2</v>
      </c>
      <c r="K43" s="5">
        <v>24.5</v>
      </c>
      <c r="L43" s="4">
        <f t="shared" si="6"/>
        <v>8</v>
      </c>
      <c r="M43" s="4">
        <f t="shared" si="7"/>
        <v>1</v>
      </c>
      <c r="N43" s="4">
        <f t="shared" si="8"/>
        <v>4.1332</v>
      </c>
      <c r="O43" s="4">
        <f t="shared" si="9"/>
        <v>4.2</v>
      </c>
      <c r="P43" s="4">
        <f t="shared" si="10"/>
        <v>24.5</v>
      </c>
    </row>
    <row r="44" ht="15.75" customHeight="1">
      <c r="A44" s="4">
        <v>1972.0</v>
      </c>
      <c r="B44" s="4">
        <v>194.0</v>
      </c>
      <c r="C44" s="5">
        <v>19.5</v>
      </c>
      <c r="D44" s="5">
        <v>28.8</v>
      </c>
      <c r="E44" s="4">
        <f t="shared" si="1"/>
        <v>1</v>
      </c>
      <c r="F44" s="4">
        <f t="shared" si="2"/>
        <v>0</v>
      </c>
      <c r="G44" s="4">
        <f t="shared" si="3"/>
        <v>21.488</v>
      </c>
      <c r="H44" s="4">
        <f t="shared" si="4"/>
        <v>17.5825</v>
      </c>
      <c r="I44" s="4" t="str">
        <f t="shared" si="5"/>
        <v> </v>
      </c>
      <c r="J44" s="5">
        <v>3.3</v>
      </c>
      <c r="K44" s="5">
        <v>24.1</v>
      </c>
      <c r="L44" s="4">
        <f t="shared" si="6"/>
        <v>8</v>
      </c>
      <c r="M44" s="4">
        <f t="shared" si="7"/>
        <v>0</v>
      </c>
      <c r="N44" s="4">
        <f t="shared" si="8"/>
        <v>-4.9785</v>
      </c>
      <c r="O44" s="4">
        <f t="shared" si="9"/>
        <v>3.3</v>
      </c>
      <c r="P44" s="4">
        <f t="shared" si="10"/>
        <v>24.1</v>
      </c>
    </row>
    <row r="45" ht="15.75" customHeight="1">
      <c r="A45" s="4">
        <v>1972.0</v>
      </c>
      <c r="B45" s="4">
        <v>195.0</v>
      </c>
      <c r="C45" s="5">
        <v>18.8</v>
      </c>
      <c r="D45" s="5">
        <v>31.3</v>
      </c>
      <c r="E45" s="4">
        <f t="shared" si="1"/>
        <v>0</v>
      </c>
      <c r="F45" s="4">
        <f t="shared" si="2"/>
        <v>0</v>
      </c>
      <c r="G45" s="4">
        <f t="shared" si="3"/>
        <v>16.321</v>
      </c>
      <c r="H45" s="4">
        <f t="shared" si="4"/>
        <v>10.732</v>
      </c>
      <c r="I45" s="4" t="str">
        <f t="shared" si="5"/>
        <v> </v>
      </c>
      <c r="J45" s="5"/>
      <c r="K45" s="5">
        <v>25.6</v>
      </c>
      <c r="L45" s="4">
        <f t="shared" si="6"/>
        <v>3</v>
      </c>
      <c r="M45" s="4">
        <f t="shared" si="7"/>
        <v>0</v>
      </c>
      <c r="N45" s="4">
        <f t="shared" si="8"/>
        <v>-9.0874</v>
      </c>
      <c r="O45" s="4" t="str">
        <f t="shared" si="9"/>
        <v/>
      </c>
      <c r="P45" s="4">
        <f t="shared" si="10"/>
        <v>25.6</v>
      </c>
    </row>
    <row r="46" ht="15.75" customHeight="1">
      <c r="A46" s="4">
        <v>1972.0</v>
      </c>
      <c r="B46" s="4">
        <v>196.0</v>
      </c>
      <c r="C46" s="5">
        <v>19.1</v>
      </c>
      <c r="D46" s="5">
        <v>30.6</v>
      </c>
      <c r="E46" s="4">
        <f t="shared" si="1"/>
        <v>0</v>
      </c>
      <c r="F46" s="4">
        <f t="shared" si="2"/>
        <v>0</v>
      </c>
      <c r="G46" s="4">
        <f t="shared" si="3"/>
        <v>13.364</v>
      </c>
      <c r="H46" s="4">
        <f t="shared" si="4"/>
        <v>8.7825</v>
      </c>
      <c r="I46" s="4" t="str">
        <f t="shared" si="5"/>
        <v> </v>
      </c>
      <c r="J46" s="5"/>
      <c r="K46" s="5">
        <v>25.3</v>
      </c>
      <c r="L46" s="4">
        <f t="shared" si="6"/>
        <v>3</v>
      </c>
      <c r="M46" s="4">
        <f t="shared" si="7"/>
        <v>0</v>
      </c>
      <c r="N46" s="4">
        <f t="shared" si="8"/>
        <v>-9.6634</v>
      </c>
      <c r="O46" s="4" t="str">
        <f t="shared" si="9"/>
        <v/>
      </c>
      <c r="P46" s="4">
        <f t="shared" si="10"/>
        <v>25.3</v>
      </c>
    </row>
    <row r="47" ht="15.75" customHeight="1">
      <c r="A47" s="4">
        <v>1972.0</v>
      </c>
      <c r="B47" s="4">
        <v>197.0</v>
      </c>
      <c r="C47" s="5">
        <v>18.7</v>
      </c>
      <c r="D47" s="5">
        <v>29.3</v>
      </c>
      <c r="E47" s="4">
        <f t="shared" si="1"/>
        <v>0</v>
      </c>
      <c r="F47" s="4">
        <f t="shared" si="2"/>
        <v>0</v>
      </c>
      <c r="G47" s="4">
        <f t="shared" si="3"/>
        <v>13.91</v>
      </c>
      <c r="H47" s="4">
        <f t="shared" si="4"/>
        <v>8.68</v>
      </c>
      <c r="I47" s="4" t="str">
        <f t="shared" si="5"/>
        <v> </v>
      </c>
      <c r="J47" s="5"/>
      <c r="K47" s="5">
        <v>24.1</v>
      </c>
      <c r="L47" s="4">
        <f t="shared" si="6"/>
        <v>3</v>
      </c>
      <c r="M47" s="4">
        <f t="shared" si="7"/>
        <v>0</v>
      </c>
      <c r="N47" s="4">
        <f t="shared" si="8"/>
        <v>-9.9839</v>
      </c>
      <c r="O47" s="4" t="str">
        <f t="shared" si="9"/>
        <v/>
      </c>
      <c r="P47" s="4">
        <f t="shared" si="10"/>
        <v>24.1</v>
      </c>
    </row>
    <row r="48" ht="15.75" customHeight="1">
      <c r="A48" s="4">
        <v>1972.0</v>
      </c>
      <c r="B48" s="4">
        <v>198.0</v>
      </c>
      <c r="C48" s="5">
        <v>16.6</v>
      </c>
      <c r="D48" s="5">
        <v>27.0</v>
      </c>
      <c r="E48" s="4">
        <f t="shared" si="1"/>
        <v>0</v>
      </c>
      <c r="F48" s="4">
        <f t="shared" si="2"/>
        <v>0</v>
      </c>
      <c r="G48" s="4">
        <f t="shared" si="3"/>
        <v>10.84</v>
      </c>
      <c r="H48" s="4">
        <f t="shared" si="4"/>
        <v>5.535</v>
      </c>
      <c r="I48" s="4" t="str">
        <f t="shared" si="5"/>
        <v> </v>
      </c>
      <c r="J48" s="5"/>
      <c r="K48" s="5">
        <v>21.8</v>
      </c>
      <c r="L48" s="4">
        <f t="shared" si="6"/>
        <v>3</v>
      </c>
      <c r="M48" s="4">
        <f t="shared" si="7"/>
        <v>0</v>
      </c>
      <c r="N48" s="4">
        <f t="shared" si="8"/>
        <v>-10.1964</v>
      </c>
      <c r="O48" s="4" t="str">
        <f t="shared" si="9"/>
        <v/>
      </c>
      <c r="P48" s="4">
        <f t="shared" si="10"/>
        <v>21.8</v>
      </c>
    </row>
    <row r="49" ht="15.75" customHeight="1">
      <c r="A49" s="4">
        <v>1972.0</v>
      </c>
      <c r="B49" s="4">
        <v>199.0</v>
      </c>
      <c r="C49" s="5">
        <v>13.9</v>
      </c>
      <c r="D49" s="5">
        <v>24.5</v>
      </c>
      <c r="E49" s="4">
        <f t="shared" si="1"/>
        <v>0</v>
      </c>
      <c r="F49" s="4">
        <f t="shared" si="2"/>
        <v>0</v>
      </c>
      <c r="G49" s="4">
        <f t="shared" si="3"/>
        <v>5.955</v>
      </c>
      <c r="H49" s="4">
        <f t="shared" si="4"/>
        <v>1.0405</v>
      </c>
      <c r="I49" s="4" t="str">
        <f t="shared" si="5"/>
        <v> </v>
      </c>
      <c r="J49" s="5"/>
      <c r="K49" s="5">
        <v>19.5</v>
      </c>
      <c r="L49" s="4">
        <f t="shared" si="6"/>
        <v>3</v>
      </c>
      <c r="M49" s="4">
        <f t="shared" si="7"/>
        <v>0</v>
      </c>
      <c r="N49" s="4">
        <f t="shared" si="8"/>
        <v>-7.4156</v>
      </c>
      <c r="O49" s="4" t="str">
        <f t="shared" si="9"/>
        <v/>
      </c>
      <c r="P49" s="4">
        <f t="shared" si="10"/>
        <v>19.5</v>
      </c>
    </row>
    <row r="50" ht="15.75" customHeight="1">
      <c r="A50" s="4">
        <v>1972.0</v>
      </c>
      <c r="B50" s="4">
        <v>200.0</v>
      </c>
      <c r="C50" s="5">
        <v>11.8</v>
      </c>
      <c r="D50" s="5">
        <v>27.2</v>
      </c>
      <c r="E50" s="4">
        <f t="shared" si="1"/>
        <v>0</v>
      </c>
      <c r="F50" s="4">
        <f t="shared" si="2"/>
        <v>0</v>
      </c>
      <c r="G50" s="4">
        <f t="shared" si="3"/>
        <v>3.974</v>
      </c>
      <c r="H50" s="4">
        <f t="shared" si="4"/>
        <v>0.2155</v>
      </c>
      <c r="I50" s="4" t="str">
        <f t="shared" si="5"/>
        <v> </v>
      </c>
      <c r="J50" s="5"/>
      <c r="K50" s="5">
        <v>20.7</v>
      </c>
      <c r="L50" s="4">
        <f t="shared" si="6"/>
        <v>3</v>
      </c>
      <c r="M50" s="4">
        <f t="shared" si="7"/>
        <v>0</v>
      </c>
      <c r="N50" s="4">
        <f t="shared" si="8"/>
        <v>-8.8706</v>
      </c>
      <c r="O50" s="4" t="str">
        <f t="shared" si="9"/>
        <v/>
      </c>
      <c r="P50" s="4">
        <f t="shared" si="10"/>
        <v>20.7</v>
      </c>
    </row>
    <row r="51" ht="15.75" customHeight="1">
      <c r="A51" s="4">
        <v>1972.0</v>
      </c>
      <c r="B51" s="4">
        <v>201.0</v>
      </c>
      <c r="C51" s="5">
        <v>15.9</v>
      </c>
      <c r="D51" s="5">
        <v>28.6</v>
      </c>
      <c r="E51" s="4">
        <f t="shared" si="1"/>
        <v>0</v>
      </c>
      <c r="F51" s="4">
        <f t="shared" si="2"/>
        <v>0</v>
      </c>
      <c r="G51" s="4">
        <f t="shared" si="3"/>
        <v>5.48</v>
      </c>
      <c r="H51" s="4">
        <f t="shared" si="4"/>
        <v>1.495</v>
      </c>
      <c r="I51" s="4" t="str">
        <f t="shared" si="5"/>
        <v> </v>
      </c>
      <c r="J51" s="5"/>
      <c r="K51" s="5">
        <v>22.6</v>
      </c>
      <c r="L51" s="4">
        <f t="shared" si="6"/>
        <v>3</v>
      </c>
      <c r="M51" s="4">
        <f t="shared" si="7"/>
        <v>0</v>
      </c>
      <c r="N51" s="4">
        <f t="shared" si="8"/>
        <v>-10.9446</v>
      </c>
      <c r="O51" s="4" t="str">
        <f t="shared" si="9"/>
        <v/>
      </c>
      <c r="P51" s="4">
        <f t="shared" si="10"/>
        <v>22.6</v>
      </c>
    </row>
    <row r="52" ht="15.75" customHeight="1">
      <c r="A52" s="4">
        <v>1972.0</v>
      </c>
      <c r="B52" s="4">
        <v>202.0</v>
      </c>
      <c r="C52" s="5">
        <v>16.2</v>
      </c>
      <c r="D52" s="5">
        <v>29.3</v>
      </c>
      <c r="E52" s="4">
        <f t="shared" si="1"/>
        <v>0</v>
      </c>
      <c r="F52" s="4">
        <f t="shared" si="2"/>
        <v>0</v>
      </c>
      <c r="G52" s="4">
        <f t="shared" si="3"/>
        <v>6.339</v>
      </c>
      <c r="H52" s="4">
        <f t="shared" si="4"/>
        <v>1.7095</v>
      </c>
      <c r="I52" s="4" t="str">
        <f t="shared" si="5"/>
        <v> </v>
      </c>
      <c r="J52" s="5"/>
      <c r="K52" s="5">
        <v>23.3</v>
      </c>
      <c r="L52" s="4">
        <f t="shared" si="6"/>
        <v>3</v>
      </c>
      <c r="M52" s="4">
        <f t="shared" si="7"/>
        <v>0</v>
      </c>
      <c r="N52" s="4">
        <f t="shared" si="8"/>
        <v>-10.729</v>
      </c>
      <c r="O52" s="4" t="str">
        <f t="shared" si="9"/>
        <v/>
      </c>
      <c r="P52" s="4">
        <f t="shared" si="10"/>
        <v>23.3</v>
      </c>
    </row>
    <row r="53" ht="15.75" customHeight="1">
      <c r="A53" s="4">
        <v>1972.0</v>
      </c>
      <c r="B53" s="4">
        <v>203.0</v>
      </c>
      <c r="C53" s="5">
        <v>12.7</v>
      </c>
      <c r="D53" s="5">
        <v>24.3</v>
      </c>
      <c r="E53" s="4">
        <f t="shared" si="1"/>
        <v>0</v>
      </c>
      <c r="F53" s="4">
        <f t="shared" si="2"/>
        <v>0</v>
      </c>
      <c r="G53" s="4">
        <f t="shared" si="3"/>
        <v>3.968</v>
      </c>
      <c r="H53" s="4">
        <f t="shared" si="4"/>
        <v>1.192</v>
      </c>
      <c r="I53" s="4" t="str">
        <f t="shared" si="5"/>
        <v> </v>
      </c>
      <c r="J53" s="5"/>
      <c r="K53" s="5">
        <v>20.5</v>
      </c>
      <c r="L53" s="4">
        <f t="shared" si="6"/>
        <v>3</v>
      </c>
      <c r="M53" s="4">
        <f t="shared" si="7"/>
        <v>0</v>
      </c>
      <c r="N53" s="4">
        <f t="shared" si="8"/>
        <v>-10.0107</v>
      </c>
      <c r="O53" s="4" t="str">
        <f t="shared" si="9"/>
        <v/>
      </c>
      <c r="P53" s="4">
        <f t="shared" si="10"/>
        <v>20.5</v>
      </c>
    </row>
    <row r="54" ht="15.75" customHeight="1">
      <c r="A54" s="4">
        <v>1972.0</v>
      </c>
      <c r="B54" s="4">
        <v>204.0</v>
      </c>
      <c r="C54" s="5">
        <v>10.6</v>
      </c>
      <c r="D54" s="5">
        <v>23.2</v>
      </c>
      <c r="E54" s="4">
        <f t="shared" si="1"/>
        <v>0</v>
      </c>
      <c r="F54" s="4">
        <f t="shared" si="2"/>
        <v>0</v>
      </c>
      <c r="G54" s="4">
        <f t="shared" si="3"/>
        <v>2.524</v>
      </c>
      <c r="H54" s="4">
        <f t="shared" si="4"/>
        <v>0.1845</v>
      </c>
      <c r="I54" s="4" t="str">
        <f t="shared" si="5"/>
        <v> </v>
      </c>
      <c r="J54" s="5"/>
      <c r="K54" s="5">
        <v>17.3</v>
      </c>
      <c r="L54" s="4">
        <f t="shared" si="6"/>
        <v>3</v>
      </c>
      <c r="M54" s="4">
        <f t="shared" si="7"/>
        <v>0</v>
      </c>
      <c r="N54" s="4">
        <f t="shared" si="8"/>
        <v>-8.0538</v>
      </c>
      <c r="O54" s="4" t="str">
        <f t="shared" si="9"/>
        <v/>
      </c>
      <c r="P54" s="4">
        <f t="shared" si="10"/>
        <v>17.3</v>
      </c>
    </row>
    <row r="55" ht="15.75" customHeight="1">
      <c r="A55" s="4">
        <v>1972.0</v>
      </c>
      <c r="B55" s="4">
        <v>205.0</v>
      </c>
      <c r="C55" s="5">
        <v>9.5</v>
      </c>
      <c r="D55" s="5">
        <v>25.1</v>
      </c>
      <c r="E55" s="4">
        <f t="shared" si="1"/>
        <v>0</v>
      </c>
      <c r="F55" s="4">
        <f t="shared" si="2"/>
        <v>0</v>
      </c>
      <c r="G55" s="4">
        <f t="shared" si="3"/>
        <v>7.267</v>
      </c>
      <c r="H55" s="4">
        <f t="shared" si="4"/>
        <v>6.0525</v>
      </c>
      <c r="I55" s="4" t="str">
        <f t="shared" si="5"/>
        <v> </v>
      </c>
      <c r="J55" s="5"/>
      <c r="K55" s="5">
        <v>18.2</v>
      </c>
      <c r="L55" s="4">
        <f t="shared" si="6"/>
        <v>3</v>
      </c>
      <c r="M55" s="4">
        <f t="shared" si="7"/>
        <v>0</v>
      </c>
      <c r="N55" s="4">
        <f t="shared" si="8"/>
        <v>-3.0002</v>
      </c>
      <c r="O55" s="4" t="str">
        <f t="shared" si="9"/>
        <v/>
      </c>
      <c r="P55" s="4">
        <f t="shared" si="10"/>
        <v>18.2</v>
      </c>
    </row>
    <row r="56" ht="15.75" customHeight="1">
      <c r="A56" s="4">
        <v>1972.0</v>
      </c>
      <c r="B56" s="4">
        <v>206.0</v>
      </c>
      <c r="C56" s="5">
        <v>12.7</v>
      </c>
      <c r="D56" s="5">
        <v>26.0</v>
      </c>
      <c r="E56" s="4">
        <f t="shared" si="1"/>
        <v>0</v>
      </c>
      <c r="F56" s="4">
        <f t="shared" si="2"/>
        <v>0</v>
      </c>
      <c r="G56" s="4">
        <f t="shared" si="3"/>
        <v>8.353</v>
      </c>
      <c r="H56" s="4">
        <f t="shared" si="4"/>
        <v>5.5645</v>
      </c>
      <c r="I56" s="4" t="str">
        <f t="shared" si="5"/>
        <v> </v>
      </c>
      <c r="J56" s="5"/>
      <c r="K56" s="5">
        <v>19.7</v>
      </c>
      <c r="L56" s="4">
        <f t="shared" si="6"/>
        <v>3</v>
      </c>
      <c r="M56" s="4">
        <f t="shared" si="7"/>
        <v>0</v>
      </c>
      <c r="N56" s="4">
        <f t="shared" si="8"/>
        <v>-1.0898</v>
      </c>
      <c r="O56" s="4" t="str">
        <f t="shared" si="9"/>
        <v/>
      </c>
      <c r="P56" s="4">
        <f t="shared" si="10"/>
        <v>19.7</v>
      </c>
    </row>
    <row r="57" ht="15.75" customHeight="1">
      <c r="A57" s="4">
        <v>1972.0</v>
      </c>
      <c r="B57" s="4">
        <v>207.0</v>
      </c>
      <c r="C57" s="5">
        <v>15.2</v>
      </c>
      <c r="D57" s="5">
        <v>25.5</v>
      </c>
      <c r="E57" s="4">
        <f t="shared" si="1"/>
        <v>1</v>
      </c>
      <c r="F57" s="4">
        <f t="shared" si="2"/>
        <v>0</v>
      </c>
      <c r="G57" s="4">
        <f t="shared" si="3"/>
        <v>10.188</v>
      </c>
      <c r="H57" s="4">
        <f t="shared" si="4"/>
        <v>9.744</v>
      </c>
      <c r="I57" s="4" t="str">
        <f t="shared" si="5"/>
        <v> </v>
      </c>
      <c r="J57" s="5">
        <v>1.9</v>
      </c>
      <c r="K57" s="5">
        <v>19.4</v>
      </c>
      <c r="L57" s="4">
        <f t="shared" si="6"/>
        <v>8</v>
      </c>
      <c r="M57" s="4">
        <f t="shared" si="7"/>
        <v>0</v>
      </c>
      <c r="N57" s="4">
        <f t="shared" si="8"/>
        <v>-0.1056</v>
      </c>
      <c r="O57" s="4">
        <f t="shared" si="9"/>
        <v>1.9</v>
      </c>
      <c r="P57" s="4">
        <f t="shared" si="10"/>
        <v>19.4</v>
      </c>
    </row>
    <row r="58" ht="15.75" customHeight="1">
      <c r="A58" s="4">
        <v>1972.0</v>
      </c>
      <c r="B58" s="4">
        <v>208.0</v>
      </c>
      <c r="C58" s="5">
        <v>12.4</v>
      </c>
      <c r="D58" s="5">
        <v>29.9</v>
      </c>
      <c r="E58" s="4">
        <f t="shared" si="1"/>
        <v>0</v>
      </c>
      <c r="F58" s="4">
        <f t="shared" si="2"/>
        <v>0</v>
      </c>
      <c r="G58" s="4">
        <f t="shared" si="3"/>
        <v>4.77</v>
      </c>
      <c r="H58" s="4">
        <f t="shared" si="4"/>
        <v>2.84</v>
      </c>
      <c r="I58" s="4" t="str">
        <f t="shared" si="5"/>
        <v> </v>
      </c>
      <c r="J58" s="5"/>
      <c r="K58" s="5">
        <v>22.4</v>
      </c>
      <c r="L58" s="4">
        <f t="shared" si="6"/>
        <v>3</v>
      </c>
      <c r="M58" s="4">
        <f t="shared" si="7"/>
        <v>0</v>
      </c>
      <c r="N58" s="4">
        <f t="shared" si="8"/>
        <v>-1.7214</v>
      </c>
      <c r="O58" s="4" t="str">
        <f t="shared" si="9"/>
        <v/>
      </c>
      <c r="P58" s="4">
        <f t="shared" si="10"/>
        <v>22.4</v>
      </c>
    </row>
    <row r="59" ht="15.75" customHeight="1">
      <c r="A59" s="4">
        <v>1972.0</v>
      </c>
      <c r="B59" s="4">
        <v>209.0</v>
      </c>
      <c r="C59" s="5">
        <v>15.7</v>
      </c>
      <c r="D59" s="5">
        <v>27.3</v>
      </c>
      <c r="E59" s="4">
        <f t="shared" si="1"/>
        <v>1</v>
      </c>
      <c r="F59" s="4">
        <f t="shared" si="2"/>
        <v>0</v>
      </c>
      <c r="G59" s="4">
        <f t="shared" si="3"/>
        <v>6.25</v>
      </c>
      <c r="H59" s="4">
        <f t="shared" si="4"/>
        <v>4.24</v>
      </c>
      <c r="I59" s="4" t="str">
        <f t="shared" si="5"/>
        <v> </v>
      </c>
      <c r="J59" s="5">
        <v>2.7</v>
      </c>
      <c r="K59" s="5">
        <v>20.4</v>
      </c>
      <c r="L59" s="4">
        <f t="shared" si="6"/>
        <v>8</v>
      </c>
      <c r="M59" s="4">
        <f t="shared" si="7"/>
        <v>0</v>
      </c>
      <c r="N59" s="4">
        <f t="shared" si="8"/>
        <v>-5.29</v>
      </c>
      <c r="O59" s="4">
        <f t="shared" si="9"/>
        <v>2.7</v>
      </c>
      <c r="P59" s="4">
        <f t="shared" si="10"/>
        <v>20.4</v>
      </c>
    </row>
    <row r="60" ht="15.75" customHeight="1">
      <c r="A60" s="4">
        <v>1972.0</v>
      </c>
      <c r="B60" s="4">
        <v>210.0</v>
      </c>
      <c r="C60" s="5">
        <v>12.0</v>
      </c>
      <c r="D60" s="5">
        <v>22.4</v>
      </c>
      <c r="E60" s="4">
        <f t="shared" si="1"/>
        <v>0</v>
      </c>
      <c r="F60" s="4">
        <f t="shared" si="2"/>
        <v>0</v>
      </c>
      <c r="G60" s="4">
        <f t="shared" si="3"/>
        <v>-1.459</v>
      </c>
      <c r="H60" s="4">
        <f t="shared" si="4"/>
        <v>-5.18</v>
      </c>
      <c r="I60" s="4" t="str">
        <f t="shared" si="5"/>
        <v> </v>
      </c>
      <c r="J60" s="5"/>
      <c r="K60" s="5">
        <v>17.6</v>
      </c>
      <c r="L60" s="4">
        <f t="shared" si="6"/>
        <v>3</v>
      </c>
      <c r="M60" s="4">
        <f t="shared" si="7"/>
        <v>0</v>
      </c>
      <c r="N60" s="4">
        <f t="shared" si="8"/>
        <v>-10.3534</v>
      </c>
      <c r="O60" s="4" t="str">
        <f t="shared" si="9"/>
        <v/>
      </c>
      <c r="P60" s="4">
        <f t="shared" si="10"/>
        <v>17.6</v>
      </c>
    </row>
    <row r="61" ht="15.75" customHeight="1">
      <c r="A61" s="4">
        <v>1972.0</v>
      </c>
      <c r="B61" s="4">
        <v>211.0</v>
      </c>
      <c r="C61" s="5">
        <v>12.0</v>
      </c>
      <c r="D61" s="5">
        <v>22.4</v>
      </c>
      <c r="E61" s="4">
        <f t="shared" si="1"/>
        <v>0</v>
      </c>
      <c r="F61" s="4">
        <f t="shared" si="2"/>
        <v>0</v>
      </c>
      <c r="G61" s="4">
        <f t="shared" si="3"/>
        <v>-0.902</v>
      </c>
      <c r="H61" s="4">
        <f t="shared" si="4"/>
        <v>-4.722</v>
      </c>
      <c r="I61" s="4" t="str">
        <f t="shared" si="5"/>
        <v> </v>
      </c>
      <c r="J61" s="5"/>
      <c r="K61" s="5">
        <v>16.4</v>
      </c>
      <c r="L61" s="4">
        <f t="shared" si="6"/>
        <v>3</v>
      </c>
      <c r="M61" s="4">
        <f t="shared" si="7"/>
        <v>0</v>
      </c>
      <c r="N61" s="4">
        <f t="shared" si="8"/>
        <v>-9.7561</v>
      </c>
      <c r="O61" s="4" t="str">
        <f t="shared" si="9"/>
        <v/>
      </c>
      <c r="P61" s="4">
        <f t="shared" si="10"/>
        <v>16.4</v>
      </c>
    </row>
    <row r="62" ht="15.75" customHeight="1">
      <c r="A62" s="4">
        <v>1972.0</v>
      </c>
      <c r="B62" s="4">
        <v>212.0</v>
      </c>
      <c r="C62" s="5">
        <v>8.5</v>
      </c>
      <c r="D62" s="5">
        <v>25.4</v>
      </c>
      <c r="E62" s="4">
        <f t="shared" si="1"/>
        <v>0</v>
      </c>
      <c r="F62" s="4">
        <f t="shared" si="2"/>
        <v>0</v>
      </c>
      <c r="G62" s="4">
        <f t="shared" si="3"/>
        <v>-0.995</v>
      </c>
      <c r="H62" s="4">
        <f t="shared" si="4"/>
        <v>-4.421</v>
      </c>
      <c r="I62" s="4" t="str">
        <f t="shared" si="5"/>
        <v> </v>
      </c>
      <c r="J62" s="5"/>
      <c r="K62" s="5">
        <v>15.5</v>
      </c>
      <c r="L62" s="4">
        <f t="shared" si="6"/>
        <v>3</v>
      </c>
      <c r="M62" s="4">
        <f t="shared" si="7"/>
        <v>0</v>
      </c>
      <c r="N62" s="4">
        <f t="shared" si="8"/>
        <v>-10.1236</v>
      </c>
      <c r="O62" s="4" t="str">
        <f t="shared" si="9"/>
        <v/>
      </c>
      <c r="P62" s="4">
        <f t="shared" si="10"/>
        <v>15.5</v>
      </c>
    </row>
    <row r="63" ht="15.75" customHeight="1">
      <c r="A63" s="4">
        <v>1972.0</v>
      </c>
      <c r="B63" s="4">
        <v>213.0</v>
      </c>
      <c r="C63" s="5">
        <v>9.6</v>
      </c>
      <c r="D63" s="5">
        <v>26.4</v>
      </c>
      <c r="E63" s="4">
        <f t="shared" si="1"/>
        <v>0</v>
      </c>
      <c r="F63" s="4">
        <f t="shared" si="2"/>
        <v>0</v>
      </c>
      <c r="G63" s="4">
        <f t="shared" si="3"/>
        <v>3.288</v>
      </c>
      <c r="H63" s="4">
        <f t="shared" si="4"/>
        <v>-2.312</v>
      </c>
      <c r="I63" s="4" t="str">
        <f t="shared" si="5"/>
        <v> </v>
      </c>
      <c r="J63" s="5"/>
      <c r="K63" s="5">
        <v>19.1</v>
      </c>
      <c r="L63" s="4">
        <f t="shared" si="6"/>
        <v>3</v>
      </c>
      <c r="M63" s="4">
        <f t="shared" si="7"/>
        <v>0</v>
      </c>
      <c r="N63" s="4">
        <f t="shared" si="8"/>
        <v>-9.6259</v>
      </c>
      <c r="O63" s="4" t="str">
        <f t="shared" si="9"/>
        <v/>
      </c>
      <c r="P63" s="4">
        <f t="shared" si="10"/>
        <v>19.1</v>
      </c>
    </row>
    <row r="64" ht="15.75" customHeight="1">
      <c r="A64" s="4">
        <v>1972.0</v>
      </c>
      <c r="B64" s="4">
        <v>214.0</v>
      </c>
      <c r="C64" s="5">
        <v>10.9</v>
      </c>
      <c r="D64" s="5">
        <v>27.6</v>
      </c>
      <c r="E64" s="4">
        <f t="shared" si="1"/>
        <v>0</v>
      </c>
      <c r="F64" s="4">
        <f t="shared" si="2"/>
        <v>0</v>
      </c>
      <c r="G64" s="4">
        <f t="shared" si="3"/>
        <v>4.096</v>
      </c>
      <c r="H64" s="4">
        <f t="shared" si="4"/>
        <v>0.8925</v>
      </c>
      <c r="I64" s="4" t="str">
        <f t="shared" si="5"/>
        <v> </v>
      </c>
      <c r="J64" s="5"/>
      <c r="K64" s="5">
        <v>20.4</v>
      </c>
      <c r="L64" s="4">
        <f t="shared" si="6"/>
        <v>3</v>
      </c>
      <c r="M64" s="4">
        <f t="shared" si="7"/>
        <v>0</v>
      </c>
      <c r="N64" s="4">
        <f t="shared" si="8"/>
        <v>-10.4329</v>
      </c>
      <c r="O64" s="4" t="str">
        <f t="shared" si="9"/>
        <v/>
      </c>
      <c r="P64" s="4">
        <f t="shared" si="10"/>
        <v>20.4</v>
      </c>
    </row>
    <row r="65" ht="15.75" customHeight="1">
      <c r="A65" s="4">
        <v>1972.0</v>
      </c>
      <c r="B65" s="4">
        <v>215.0</v>
      </c>
      <c r="C65" s="5">
        <v>12.9</v>
      </c>
      <c r="D65" s="5">
        <v>28.4</v>
      </c>
      <c r="E65" s="4">
        <f t="shared" si="1"/>
        <v>0</v>
      </c>
      <c r="F65" s="4">
        <f t="shared" si="2"/>
        <v>0</v>
      </c>
      <c r="G65" s="4">
        <f t="shared" si="3"/>
        <v>10.251</v>
      </c>
      <c r="H65" s="4">
        <f t="shared" si="4"/>
        <v>6.4325</v>
      </c>
      <c r="I65" s="4" t="str">
        <f t="shared" si="5"/>
        <v> </v>
      </c>
      <c r="J65" s="5"/>
      <c r="K65" s="5">
        <v>21.1</v>
      </c>
      <c r="L65" s="4">
        <f t="shared" si="6"/>
        <v>3</v>
      </c>
      <c r="M65" s="4">
        <f t="shared" si="7"/>
        <v>0</v>
      </c>
      <c r="N65" s="4">
        <f t="shared" si="8"/>
        <v>-8.4384</v>
      </c>
      <c r="O65" s="4" t="str">
        <f t="shared" si="9"/>
        <v/>
      </c>
      <c r="P65" s="4">
        <f t="shared" si="10"/>
        <v>21.1</v>
      </c>
    </row>
    <row r="66" ht="15.75" customHeight="1">
      <c r="A66" s="4">
        <v>1972.0</v>
      </c>
      <c r="B66" s="4">
        <v>216.0</v>
      </c>
      <c r="C66" s="5">
        <v>13.3</v>
      </c>
      <c r="D66" s="5">
        <v>31.0</v>
      </c>
      <c r="E66" s="4">
        <f t="shared" si="1"/>
        <v>0</v>
      </c>
      <c r="F66" s="4">
        <f t="shared" si="2"/>
        <v>0</v>
      </c>
      <c r="G66" s="4">
        <f t="shared" si="3"/>
        <v>15.093</v>
      </c>
      <c r="H66" s="4">
        <f t="shared" si="4"/>
        <v>9.5715</v>
      </c>
      <c r="I66" s="4" t="str">
        <f t="shared" si="5"/>
        <v> </v>
      </c>
      <c r="J66" s="5"/>
      <c r="K66" s="5">
        <v>23.9</v>
      </c>
      <c r="L66" s="4">
        <f t="shared" si="6"/>
        <v>3</v>
      </c>
      <c r="M66" s="4">
        <f t="shared" si="7"/>
        <v>0</v>
      </c>
      <c r="N66" s="4">
        <f t="shared" si="8"/>
        <v>-9.1968</v>
      </c>
      <c r="O66" s="4" t="str">
        <f t="shared" si="9"/>
        <v/>
      </c>
      <c r="P66" s="4">
        <f t="shared" si="10"/>
        <v>23.9</v>
      </c>
    </row>
    <row r="67" ht="15.75" customHeight="1">
      <c r="A67" s="4">
        <v>1972.0</v>
      </c>
      <c r="B67" s="4">
        <v>217.0</v>
      </c>
      <c r="C67" s="5">
        <v>15.8</v>
      </c>
      <c r="D67" s="5">
        <v>21.3</v>
      </c>
      <c r="E67" s="4">
        <f t="shared" si="1"/>
        <v>0</v>
      </c>
      <c r="F67" s="4">
        <f t="shared" si="2"/>
        <v>0</v>
      </c>
      <c r="G67" s="4">
        <f t="shared" si="3"/>
        <v>13.529</v>
      </c>
      <c r="H67" s="4">
        <f t="shared" si="4"/>
        <v>8.0355</v>
      </c>
      <c r="I67" s="4" t="str">
        <f t="shared" si="5"/>
        <v> </v>
      </c>
      <c r="J67" s="5"/>
      <c r="K67" s="5">
        <v>19.5</v>
      </c>
      <c r="L67" s="4">
        <f t="shared" si="6"/>
        <v>3</v>
      </c>
      <c r="M67" s="4">
        <f t="shared" si="7"/>
        <v>0</v>
      </c>
      <c r="N67" s="4">
        <f t="shared" si="8"/>
        <v>-6.7972</v>
      </c>
      <c r="O67" s="4" t="str">
        <f t="shared" si="9"/>
        <v/>
      </c>
      <c r="P67" s="4">
        <f t="shared" si="10"/>
        <v>19.5</v>
      </c>
    </row>
    <row r="68" ht="15.75" customHeight="1">
      <c r="A68" s="4">
        <v>1972.0</v>
      </c>
      <c r="B68" s="4">
        <v>218.0</v>
      </c>
      <c r="C68" s="5">
        <v>14.2</v>
      </c>
      <c r="D68" s="5">
        <v>26.5</v>
      </c>
      <c r="E68" s="4">
        <f t="shared" si="1"/>
        <v>0</v>
      </c>
      <c r="F68" s="4">
        <f t="shared" si="2"/>
        <v>0</v>
      </c>
      <c r="G68" s="4">
        <f t="shared" si="3"/>
        <v>12.987</v>
      </c>
      <c r="H68" s="4">
        <f t="shared" si="4"/>
        <v>8.251</v>
      </c>
      <c r="I68" s="4" t="str">
        <f t="shared" si="5"/>
        <v> </v>
      </c>
      <c r="J68" s="5"/>
      <c r="K68" s="5">
        <v>20.4</v>
      </c>
      <c r="L68" s="4">
        <f t="shared" si="6"/>
        <v>3</v>
      </c>
      <c r="M68" s="4">
        <f t="shared" si="7"/>
        <v>0</v>
      </c>
      <c r="N68" s="4">
        <f t="shared" si="8"/>
        <v>-7.4198</v>
      </c>
      <c r="O68" s="4" t="str">
        <f t="shared" si="9"/>
        <v/>
      </c>
      <c r="P68" s="4">
        <f t="shared" si="10"/>
        <v>20.4</v>
      </c>
    </row>
    <row r="69" ht="15.75" customHeight="1">
      <c r="A69" s="4">
        <v>1972.0</v>
      </c>
      <c r="B69" s="4">
        <v>219.0</v>
      </c>
      <c r="C69" s="5">
        <v>16.8</v>
      </c>
      <c r="D69" s="5">
        <v>31.7</v>
      </c>
      <c r="E69" s="4">
        <f t="shared" si="1"/>
        <v>0</v>
      </c>
      <c r="F69" s="4">
        <f t="shared" si="2"/>
        <v>0</v>
      </c>
      <c r="G69" s="4">
        <f t="shared" si="3"/>
        <v>17.084</v>
      </c>
      <c r="H69" s="4">
        <f t="shared" si="4"/>
        <v>11.992</v>
      </c>
      <c r="I69" s="4" t="str">
        <f t="shared" si="5"/>
        <v> </v>
      </c>
      <c r="J69" s="5"/>
      <c r="K69" s="5">
        <v>24.3</v>
      </c>
      <c r="L69" s="4">
        <f t="shared" si="6"/>
        <v>3</v>
      </c>
      <c r="M69" s="4">
        <f t="shared" si="7"/>
        <v>0</v>
      </c>
      <c r="N69" s="4">
        <f t="shared" si="8"/>
        <v>-9.8453</v>
      </c>
      <c r="O69" s="4" t="str">
        <f t="shared" si="9"/>
        <v/>
      </c>
      <c r="P69" s="4">
        <f t="shared" si="10"/>
        <v>24.3</v>
      </c>
    </row>
    <row r="70" ht="15.75" customHeight="1">
      <c r="A70" s="4">
        <v>1972.0</v>
      </c>
      <c r="B70" s="4">
        <v>220.0</v>
      </c>
      <c r="C70" s="5">
        <v>20.2</v>
      </c>
      <c r="D70" s="5">
        <v>33.3</v>
      </c>
      <c r="E70" s="4">
        <f t="shared" si="1"/>
        <v>0</v>
      </c>
      <c r="F70" s="4">
        <f t="shared" si="2"/>
        <v>0</v>
      </c>
      <c r="G70" s="4">
        <f t="shared" si="3"/>
        <v>17.677</v>
      </c>
      <c r="H70" s="4">
        <f t="shared" si="4"/>
        <v>11.4845</v>
      </c>
      <c r="I70" s="4" t="str">
        <f t="shared" si="5"/>
        <v> </v>
      </c>
      <c r="J70" s="5"/>
      <c r="K70" s="5">
        <v>26.2</v>
      </c>
      <c r="L70" s="4">
        <f t="shared" si="6"/>
        <v>3</v>
      </c>
      <c r="M70" s="4">
        <f t="shared" si="7"/>
        <v>0</v>
      </c>
      <c r="N70" s="4">
        <f t="shared" si="8"/>
        <v>-11.6674</v>
      </c>
      <c r="O70" s="4" t="str">
        <f t="shared" si="9"/>
        <v/>
      </c>
      <c r="P70" s="4">
        <f t="shared" si="10"/>
        <v>26.2</v>
      </c>
    </row>
    <row r="71" ht="15.75" customHeight="1">
      <c r="A71" s="4">
        <v>1972.0</v>
      </c>
      <c r="B71" s="4">
        <v>221.0</v>
      </c>
      <c r="C71" s="5">
        <v>19.2</v>
      </c>
      <c r="D71" s="5">
        <v>31.6</v>
      </c>
      <c r="E71" s="4">
        <f t="shared" si="1"/>
        <v>0</v>
      </c>
      <c r="F71" s="4">
        <f t="shared" si="2"/>
        <v>0</v>
      </c>
      <c r="G71" s="4">
        <f t="shared" si="3"/>
        <v>11.598</v>
      </c>
      <c r="H71" s="4">
        <f t="shared" si="4"/>
        <v>6.6875</v>
      </c>
      <c r="I71" s="4" t="str">
        <f t="shared" si="5"/>
        <v> </v>
      </c>
      <c r="J71" s="5"/>
      <c r="K71" s="5">
        <v>26.0</v>
      </c>
      <c r="L71" s="4">
        <f t="shared" si="6"/>
        <v>3</v>
      </c>
      <c r="M71" s="4">
        <f t="shared" si="7"/>
        <v>0</v>
      </c>
      <c r="N71" s="4">
        <f t="shared" si="8"/>
        <v>-10.7413</v>
      </c>
      <c r="O71" s="4" t="str">
        <f t="shared" si="9"/>
        <v/>
      </c>
      <c r="P71" s="4">
        <f t="shared" si="10"/>
        <v>26</v>
      </c>
    </row>
    <row r="72" ht="15.75" customHeight="1">
      <c r="A72" s="4">
        <v>1972.0</v>
      </c>
      <c r="B72" s="4">
        <v>222.0</v>
      </c>
      <c r="C72" s="5">
        <v>16.0</v>
      </c>
      <c r="D72" s="5">
        <v>31.4</v>
      </c>
      <c r="E72" s="4">
        <f t="shared" si="1"/>
        <v>0</v>
      </c>
      <c r="F72" s="4">
        <f t="shared" si="2"/>
        <v>0</v>
      </c>
      <c r="G72" s="4">
        <f t="shared" si="3"/>
        <v>6.155</v>
      </c>
      <c r="H72" s="4">
        <f t="shared" si="4"/>
        <v>2.9035</v>
      </c>
      <c r="I72" s="4" t="str">
        <f t="shared" si="5"/>
        <v> </v>
      </c>
      <c r="J72" s="5"/>
      <c r="K72" s="5">
        <v>24.3</v>
      </c>
      <c r="L72" s="4">
        <f t="shared" si="6"/>
        <v>3</v>
      </c>
      <c r="M72" s="4">
        <f t="shared" si="7"/>
        <v>0</v>
      </c>
      <c r="N72" s="4">
        <f t="shared" si="8"/>
        <v>-12.1368</v>
      </c>
      <c r="O72" s="4" t="str">
        <f t="shared" si="9"/>
        <v/>
      </c>
      <c r="P72" s="4">
        <f t="shared" si="10"/>
        <v>24.3</v>
      </c>
    </row>
    <row r="73" ht="15.75" customHeight="1">
      <c r="A73" s="4">
        <v>1972.0</v>
      </c>
      <c r="B73" s="4">
        <v>223.0</v>
      </c>
      <c r="C73" s="5">
        <v>16.4</v>
      </c>
      <c r="D73" s="5">
        <v>33.7</v>
      </c>
      <c r="E73" s="4">
        <f t="shared" si="1"/>
        <v>0</v>
      </c>
      <c r="F73" s="4">
        <f t="shared" si="2"/>
        <v>0</v>
      </c>
      <c r="G73" s="4">
        <f t="shared" si="3"/>
        <v>6.676</v>
      </c>
      <c r="H73" s="4">
        <f t="shared" si="4"/>
        <v>2.9325</v>
      </c>
      <c r="I73" s="4" t="str">
        <f t="shared" si="5"/>
        <v> </v>
      </c>
      <c r="J73" s="5"/>
      <c r="K73" s="5">
        <v>24.8</v>
      </c>
      <c r="L73" s="4">
        <f t="shared" si="6"/>
        <v>3</v>
      </c>
      <c r="M73" s="4">
        <f t="shared" si="7"/>
        <v>0</v>
      </c>
      <c r="N73" s="4">
        <f t="shared" si="8"/>
        <v>-9.4153</v>
      </c>
      <c r="O73" s="4" t="str">
        <f t="shared" si="9"/>
        <v/>
      </c>
      <c r="P73" s="4">
        <f t="shared" si="10"/>
        <v>24.8</v>
      </c>
    </row>
    <row r="74" ht="15.75" customHeight="1">
      <c r="A74" s="4">
        <v>1972.0</v>
      </c>
      <c r="B74" s="4">
        <v>224.0</v>
      </c>
      <c r="C74" s="5">
        <v>14.9</v>
      </c>
      <c r="D74" s="5">
        <v>33.5</v>
      </c>
      <c r="E74" s="4">
        <f t="shared" si="1"/>
        <v>0</v>
      </c>
      <c r="F74" s="4">
        <f t="shared" si="2"/>
        <v>0</v>
      </c>
      <c r="G74" s="4">
        <f t="shared" si="3"/>
        <v>1.118</v>
      </c>
      <c r="H74" s="4">
        <f t="shared" si="4"/>
        <v>-1.0035</v>
      </c>
      <c r="I74" s="4" t="str">
        <f t="shared" si="5"/>
        <v> </v>
      </c>
      <c r="J74" s="5"/>
      <c r="K74" s="5">
        <v>24.5</v>
      </c>
      <c r="L74" s="4">
        <f t="shared" si="6"/>
        <v>3</v>
      </c>
      <c r="M74" s="4">
        <f t="shared" si="7"/>
        <v>0</v>
      </c>
      <c r="N74" s="4">
        <f t="shared" si="8"/>
        <v>-3.5864</v>
      </c>
      <c r="O74" s="4" t="str">
        <f t="shared" si="9"/>
        <v/>
      </c>
      <c r="P74" s="4">
        <f t="shared" si="10"/>
        <v>24.5</v>
      </c>
    </row>
    <row r="75" ht="15.75" customHeight="1">
      <c r="A75" s="4">
        <v>1972.0</v>
      </c>
      <c r="B75" s="4">
        <v>225.0</v>
      </c>
      <c r="C75" s="5">
        <v>10.4</v>
      </c>
      <c r="D75" s="5">
        <v>23.5</v>
      </c>
      <c r="E75" s="4">
        <f t="shared" si="1"/>
        <v>1</v>
      </c>
      <c r="F75" s="4">
        <f t="shared" si="2"/>
        <v>0</v>
      </c>
      <c r="G75" s="4">
        <f t="shared" si="3"/>
        <v>-4.35</v>
      </c>
      <c r="H75" s="4">
        <f t="shared" si="4"/>
        <v>-4.779</v>
      </c>
      <c r="I75" s="4" t="str">
        <f t="shared" si="5"/>
        <v> </v>
      </c>
      <c r="J75" s="5">
        <v>1.6</v>
      </c>
      <c r="K75" s="5">
        <v>17.7</v>
      </c>
      <c r="L75" s="4">
        <f t="shared" si="6"/>
        <v>8</v>
      </c>
      <c r="M75" s="4">
        <f t="shared" si="7"/>
        <v>0</v>
      </c>
      <c r="N75" s="4">
        <f t="shared" si="8"/>
        <v>-5.5613</v>
      </c>
      <c r="O75" s="4">
        <f t="shared" si="9"/>
        <v>1.6</v>
      </c>
      <c r="P75" s="4">
        <f t="shared" si="10"/>
        <v>17.7</v>
      </c>
    </row>
    <row r="76" ht="15.75" customHeight="1">
      <c r="A76" s="4">
        <v>1972.0</v>
      </c>
      <c r="B76" s="4">
        <v>226.0</v>
      </c>
      <c r="C76" s="5">
        <v>7.9</v>
      </c>
      <c r="D76" s="5">
        <v>23.7</v>
      </c>
      <c r="E76" s="4">
        <f t="shared" si="1"/>
        <v>0</v>
      </c>
      <c r="F76" s="4">
        <f t="shared" si="2"/>
        <v>0</v>
      </c>
      <c r="G76" s="4">
        <f t="shared" si="3"/>
        <v>-5.557</v>
      </c>
      <c r="H76" s="4">
        <f t="shared" si="4"/>
        <v>-8.4385</v>
      </c>
      <c r="I76" s="4" t="str">
        <f t="shared" si="5"/>
        <v> </v>
      </c>
      <c r="J76" s="5"/>
      <c r="K76" s="5">
        <v>16.9</v>
      </c>
      <c r="L76" s="4">
        <f t="shared" si="6"/>
        <v>3</v>
      </c>
      <c r="M76" s="4">
        <f t="shared" si="7"/>
        <v>0</v>
      </c>
      <c r="N76" s="4">
        <f t="shared" si="8"/>
        <v>-10.914</v>
      </c>
      <c r="O76" s="4" t="str">
        <f t="shared" si="9"/>
        <v/>
      </c>
      <c r="P76" s="4">
        <f t="shared" si="10"/>
        <v>16.9</v>
      </c>
    </row>
    <row r="77" ht="15.75" customHeight="1">
      <c r="A77" s="4">
        <v>1972.0</v>
      </c>
      <c r="B77" s="4">
        <v>227.0</v>
      </c>
      <c r="C77" s="5">
        <v>9.1</v>
      </c>
      <c r="D77" s="5">
        <v>19.9</v>
      </c>
      <c r="E77" s="4">
        <f t="shared" si="1"/>
        <v>0</v>
      </c>
      <c r="F77" s="4">
        <f t="shared" si="2"/>
        <v>0</v>
      </c>
      <c r="G77" s="4">
        <f t="shared" si="3"/>
        <v>-3.873</v>
      </c>
      <c r="H77" s="4">
        <f t="shared" si="4"/>
        <v>-7.773</v>
      </c>
      <c r="I77" s="4" t="str">
        <f t="shared" si="5"/>
        <v> </v>
      </c>
      <c r="J77" s="5"/>
      <c r="K77" s="5">
        <v>14.8</v>
      </c>
      <c r="L77" s="4">
        <f t="shared" si="6"/>
        <v>3</v>
      </c>
      <c r="M77" s="4">
        <f t="shared" si="7"/>
        <v>0</v>
      </c>
      <c r="N77" s="4">
        <f t="shared" si="8"/>
        <v>-9.9167</v>
      </c>
      <c r="O77" s="4" t="str">
        <f t="shared" si="9"/>
        <v/>
      </c>
      <c r="P77" s="4">
        <f t="shared" si="10"/>
        <v>14.8</v>
      </c>
    </row>
    <row r="78" ht="15.75" customHeight="1">
      <c r="A78" s="4">
        <v>1972.0</v>
      </c>
      <c r="B78" s="4">
        <v>228.0</v>
      </c>
      <c r="C78" s="5">
        <v>6.0</v>
      </c>
      <c r="D78" s="5">
        <v>22.6</v>
      </c>
      <c r="E78" s="4">
        <f t="shared" si="1"/>
        <v>0</v>
      </c>
      <c r="F78" s="4">
        <f t="shared" si="2"/>
        <v>0</v>
      </c>
      <c r="G78" s="4">
        <f t="shared" si="3"/>
        <v>-2.452</v>
      </c>
      <c r="H78" s="4">
        <f t="shared" si="4"/>
        <v>-5.791</v>
      </c>
      <c r="I78" s="4" t="str">
        <f t="shared" si="5"/>
        <v> </v>
      </c>
      <c r="J78" s="5"/>
      <c r="K78" s="5">
        <v>14.7</v>
      </c>
      <c r="L78" s="4">
        <f t="shared" si="6"/>
        <v>3</v>
      </c>
      <c r="M78" s="4">
        <f t="shared" si="7"/>
        <v>0</v>
      </c>
      <c r="N78" s="4">
        <f t="shared" si="8"/>
        <v>-8.3711</v>
      </c>
      <c r="O78" s="4" t="str">
        <f t="shared" si="9"/>
        <v/>
      </c>
      <c r="P78" s="4">
        <f t="shared" si="10"/>
        <v>14.7</v>
      </c>
    </row>
    <row r="79" ht="15.75" customHeight="1">
      <c r="A79" s="4">
        <v>1972.0</v>
      </c>
      <c r="B79" s="4">
        <v>229.0</v>
      </c>
      <c r="C79" s="5">
        <v>6.8</v>
      </c>
      <c r="D79" s="5">
        <v>25.5</v>
      </c>
      <c r="E79" s="4">
        <f t="shared" si="1"/>
        <v>0</v>
      </c>
      <c r="F79" s="4">
        <f t="shared" si="2"/>
        <v>0</v>
      </c>
      <c r="G79" s="4">
        <f t="shared" si="3"/>
        <v>1.721</v>
      </c>
      <c r="H79" s="4">
        <f t="shared" si="4"/>
        <v>-1.6045</v>
      </c>
      <c r="I79" s="4" t="str">
        <f t="shared" si="5"/>
        <v> </v>
      </c>
      <c r="J79" s="5"/>
      <c r="K79" s="5">
        <v>17.2</v>
      </c>
      <c r="L79" s="4">
        <f t="shared" si="6"/>
        <v>3</v>
      </c>
      <c r="M79" s="4">
        <f t="shared" si="7"/>
        <v>0</v>
      </c>
      <c r="N79" s="4">
        <f t="shared" si="8"/>
        <v>-9.3558</v>
      </c>
      <c r="O79" s="4" t="str">
        <f t="shared" si="9"/>
        <v/>
      </c>
      <c r="P79" s="4">
        <f t="shared" si="10"/>
        <v>17.2</v>
      </c>
    </row>
    <row r="80" ht="15.75" customHeight="1">
      <c r="A80" s="4">
        <v>1972.0</v>
      </c>
      <c r="B80" s="4">
        <v>230.0</v>
      </c>
      <c r="C80" s="5">
        <v>12.2</v>
      </c>
      <c r="D80" s="5">
        <v>30.2</v>
      </c>
      <c r="E80" s="4">
        <f t="shared" si="1"/>
        <v>0</v>
      </c>
      <c r="F80" s="4">
        <f t="shared" si="2"/>
        <v>0</v>
      </c>
      <c r="G80" s="4">
        <f t="shared" si="3"/>
        <v>9.306</v>
      </c>
      <c r="H80" s="4">
        <f t="shared" si="4"/>
        <v>4.003</v>
      </c>
      <c r="I80" s="4" t="str">
        <f t="shared" si="5"/>
        <v> </v>
      </c>
      <c r="J80" s="5"/>
      <c r="K80" s="5">
        <v>22.1</v>
      </c>
      <c r="L80" s="4">
        <f t="shared" si="6"/>
        <v>3</v>
      </c>
      <c r="M80" s="4">
        <f t="shared" si="7"/>
        <v>0</v>
      </c>
      <c r="N80" s="4">
        <f t="shared" si="8"/>
        <v>-10.4019</v>
      </c>
      <c r="O80" s="4" t="str">
        <f t="shared" si="9"/>
        <v/>
      </c>
      <c r="P80" s="4">
        <f t="shared" si="10"/>
        <v>22.1</v>
      </c>
    </row>
    <row r="81" ht="15.75" customHeight="1">
      <c r="A81" s="4">
        <v>1972.0</v>
      </c>
      <c r="B81" s="4">
        <v>231.0</v>
      </c>
      <c r="C81" s="5">
        <v>14.6</v>
      </c>
      <c r="D81" s="5">
        <v>30.6</v>
      </c>
      <c r="E81" s="4">
        <f t="shared" si="1"/>
        <v>0</v>
      </c>
      <c r="F81" s="4">
        <f t="shared" si="2"/>
        <v>0</v>
      </c>
      <c r="G81" s="4">
        <f t="shared" si="3"/>
        <v>10.824</v>
      </c>
      <c r="H81" s="4">
        <f t="shared" si="4"/>
        <v>5.677</v>
      </c>
      <c r="I81" s="4" t="str">
        <f t="shared" si="5"/>
        <v> </v>
      </c>
      <c r="J81" s="5"/>
      <c r="K81" s="5">
        <v>22.2</v>
      </c>
      <c r="L81" s="4">
        <f t="shared" si="6"/>
        <v>3</v>
      </c>
      <c r="M81" s="4">
        <f t="shared" si="7"/>
        <v>0</v>
      </c>
      <c r="N81" s="4">
        <f t="shared" si="8"/>
        <v>-11.6122</v>
      </c>
      <c r="O81" s="4" t="str">
        <f t="shared" si="9"/>
        <v/>
      </c>
      <c r="P81" s="4">
        <f t="shared" si="10"/>
        <v>22.2</v>
      </c>
    </row>
    <row r="82" ht="15.75" customHeight="1">
      <c r="A82" s="4">
        <v>1972.0</v>
      </c>
      <c r="B82" s="4">
        <v>232.0</v>
      </c>
      <c r="C82" s="5">
        <v>15.5</v>
      </c>
      <c r="D82" s="5">
        <v>31.7</v>
      </c>
      <c r="E82" s="4">
        <f t="shared" si="1"/>
        <v>0</v>
      </c>
      <c r="F82" s="4">
        <f t="shared" si="2"/>
        <v>0</v>
      </c>
      <c r="G82" s="4">
        <f t="shared" si="3"/>
        <v>12.391</v>
      </c>
      <c r="H82" s="4">
        <f t="shared" si="4"/>
        <v>7.7195</v>
      </c>
      <c r="I82" s="4" t="str">
        <f t="shared" si="5"/>
        <v> </v>
      </c>
      <c r="J82" s="5"/>
      <c r="K82" s="5">
        <v>23.6</v>
      </c>
      <c r="L82" s="4">
        <f t="shared" si="6"/>
        <v>3</v>
      </c>
      <c r="M82" s="4">
        <f t="shared" si="7"/>
        <v>0</v>
      </c>
      <c r="N82" s="4">
        <f t="shared" si="8"/>
        <v>-11.2957</v>
      </c>
      <c r="O82" s="4" t="str">
        <f t="shared" si="9"/>
        <v/>
      </c>
      <c r="P82" s="4">
        <f t="shared" si="10"/>
        <v>23.6</v>
      </c>
    </row>
    <row r="83" ht="15.75" customHeight="1">
      <c r="A83" s="4">
        <v>1972.0</v>
      </c>
      <c r="B83" s="4">
        <v>233.0</v>
      </c>
      <c r="C83" s="5">
        <v>14.9</v>
      </c>
      <c r="D83" s="5">
        <v>35.0</v>
      </c>
      <c r="E83" s="4">
        <f t="shared" si="1"/>
        <v>0</v>
      </c>
      <c r="F83" s="4">
        <f t="shared" si="2"/>
        <v>0</v>
      </c>
      <c r="G83" s="4">
        <f t="shared" si="3"/>
        <v>12.861</v>
      </c>
      <c r="H83" s="4">
        <f t="shared" si="4"/>
        <v>10.0455</v>
      </c>
      <c r="I83" s="4" t="str">
        <f t="shared" si="5"/>
        <v> </v>
      </c>
      <c r="J83" s="5"/>
      <c r="K83" s="5">
        <v>25.5</v>
      </c>
      <c r="L83" s="4">
        <f t="shared" si="6"/>
        <v>3</v>
      </c>
      <c r="M83" s="4">
        <f t="shared" si="7"/>
        <v>0</v>
      </c>
      <c r="N83" s="4">
        <f t="shared" si="8"/>
        <v>-12.0457</v>
      </c>
      <c r="O83" s="4" t="str">
        <f t="shared" si="9"/>
        <v/>
      </c>
      <c r="P83" s="4">
        <f t="shared" si="10"/>
        <v>25.5</v>
      </c>
    </row>
    <row r="84" ht="15.75" customHeight="1">
      <c r="A84" s="4">
        <v>1972.0</v>
      </c>
      <c r="B84" s="4">
        <v>234.0</v>
      </c>
      <c r="C84" s="5">
        <v>16.2</v>
      </c>
      <c r="D84" s="5">
        <v>32.8</v>
      </c>
      <c r="E84" s="4">
        <f t="shared" si="1"/>
        <v>0</v>
      </c>
      <c r="F84" s="4">
        <f t="shared" si="2"/>
        <v>0</v>
      </c>
      <c r="G84" s="4">
        <f t="shared" si="3"/>
        <v>16.061</v>
      </c>
      <c r="H84" s="4">
        <f t="shared" si="4"/>
        <v>15.13</v>
      </c>
      <c r="I84" s="4" t="str">
        <f t="shared" si="5"/>
        <v> </v>
      </c>
      <c r="J84" s="5"/>
      <c r="K84" s="5">
        <v>25.7</v>
      </c>
      <c r="L84" s="4">
        <f t="shared" si="6"/>
        <v>3</v>
      </c>
      <c r="M84" s="4">
        <f t="shared" si="7"/>
        <v>0</v>
      </c>
      <c r="N84" s="4">
        <f t="shared" si="8"/>
        <v>-6.4442</v>
      </c>
      <c r="O84" s="4" t="str">
        <f t="shared" si="9"/>
        <v/>
      </c>
      <c r="P84" s="4">
        <f t="shared" si="10"/>
        <v>25.7</v>
      </c>
    </row>
    <row r="85" ht="15.75" customHeight="1">
      <c r="A85" s="4">
        <v>1972.0</v>
      </c>
      <c r="B85" s="4">
        <v>235.0</v>
      </c>
      <c r="C85" s="5">
        <v>16.0</v>
      </c>
      <c r="D85" s="5">
        <v>33.7</v>
      </c>
      <c r="E85" s="4">
        <f t="shared" si="1"/>
        <v>0</v>
      </c>
      <c r="F85" s="4">
        <f t="shared" si="2"/>
        <v>0</v>
      </c>
      <c r="G85" s="4">
        <f t="shared" si="3"/>
        <v>17.495</v>
      </c>
      <c r="H85" s="4">
        <f t="shared" si="4"/>
        <v>16.7765</v>
      </c>
      <c r="I85" s="4" t="str">
        <f t="shared" si="5"/>
        <v> </v>
      </c>
      <c r="J85" s="5"/>
      <c r="K85" s="5">
        <v>26.4</v>
      </c>
      <c r="L85" s="4">
        <f t="shared" si="6"/>
        <v>3</v>
      </c>
      <c r="M85" s="4">
        <f t="shared" si="7"/>
        <v>1</v>
      </c>
      <c r="N85" s="4">
        <f t="shared" si="8"/>
        <v>3.1455</v>
      </c>
      <c r="O85" s="4" t="str">
        <f t="shared" si="9"/>
        <v/>
      </c>
      <c r="P85" s="4">
        <f t="shared" si="10"/>
        <v>26.4</v>
      </c>
    </row>
    <row r="86" ht="15.75" customHeight="1">
      <c r="A86" s="4">
        <v>1972.0</v>
      </c>
      <c r="B86" s="4">
        <v>236.0</v>
      </c>
      <c r="C86" s="5">
        <v>15.6</v>
      </c>
      <c r="D86" s="5">
        <v>25.7</v>
      </c>
      <c r="E86" s="4">
        <f t="shared" si="1"/>
        <v>1</v>
      </c>
      <c r="F86" s="4">
        <f t="shared" si="2"/>
        <v>1</v>
      </c>
      <c r="G86" s="4">
        <f t="shared" si="3"/>
        <v>15.742</v>
      </c>
      <c r="H86" s="4">
        <f t="shared" si="4"/>
        <v>20.002</v>
      </c>
      <c r="I86" s="4">
        <f t="shared" si="5"/>
        <v>4.26</v>
      </c>
      <c r="J86" s="5">
        <v>1.0</v>
      </c>
      <c r="K86" s="5">
        <v>19.3</v>
      </c>
      <c r="L86" s="4">
        <f t="shared" si="6"/>
        <v>8</v>
      </c>
      <c r="M86" s="4">
        <f t="shared" si="7"/>
        <v>1</v>
      </c>
      <c r="N86" s="4">
        <f t="shared" si="8"/>
        <v>10.0254</v>
      </c>
      <c r="O86" s="4">
        <f t="shared" si="9"/>
        <v>1</v>
      </c>
      <c r="P86" s="4">
        <f t="shared" si="10"/>
        <v>19.3</v>
      </c>
    </row>
    <row r="87" ht="15.75" customHeight="1">
      <c r="A87" s="4">
        <v>1972.0</v>
      </c>
      <c r="B87" s="4">
        <v>237.0</v>
      </c>
      <c r="C87" s="5">
        <v>13.3</v>
      </c>
      <c r="D87" s="5">
        <v>22.6</v>
      </c>
      <c r="E87" s="4">
        <f t="shared" si="1"/>
        <v>1</v>
      </c>
      <c r="F87" s="4">
        <f t="shared" si="2"/>
        <v>1</v>
      </c>
      <c r="G87" s="4">
        <f t="shared" si="3"/>
        <v>11.415</v>
      </c>
      <c r="H87" s="4">
        <f t="shared" si="4"/>
        <v>13.839</v>
      </c>
      <c r="I87" s="4">
        <f t="shared" si="5"/>
        <v>2.424</v>
      </c>
      <c r="J87" s="5">
        <v>4.0</v>
      </c>
      <c r="K87" s="5">
        <v>17.6</v>
      </c>
      <c r="L87" s="4">
        <f t="shared" si="6"/>
        <v>8</v>
      </c>
      <c r="M87" s="4">
        <f t="shared" si="7"/>
        <v>1</v>
      </c>
      <c r="N87" s="4">
        <f t="shared" si="8"/>
        <v>10.7212</v>
      </c>
      <c r="O87" s="4">
        <f t="shared" si="9"/>
        <v>4</v>
      </c>
      <c r="P87" s="4">
        <f t="shared" si="10"/>
        <v>17.6</v>
      </c>
    </row>
    <row r="88" ht="15.75" customHeight="1">
      <c r="A88" s="4">
        <v>1972.0</v>
      </c>
      <c r="B88" s="4">
        <v>238.0</v>
      </c>
      <c r="C88" s="5">
        <v>14.3</v>
      </c>
      <c r="D88" s="5">
        <v>22.7</v>
      </c>
      <c r="E88" s="4">
        <f t="shared" si="1"/>
        <v>1</v>
      </c>
      <c r="J88" s="5">
        <v>4.5</v>
      </c>
      <c r="K88" s="5">
        <v>17.3</v>
      </c>
      <c r="L88" s="4">
        <f t="shared" si="6"/>
        <v>8</v>
      </c>
      <c r="O88" s="4">
        <f t="shared" si="9"/>
        <v>4.5</v>
      </c>
      <c r="P88" s="4">
        <f t="shared" si="10"/>
        <v>17.3</v>
      </c>
    </row>
    <row r="89" ht="15.75" customHeight="1">
      <c r="A89" s="4">
        <v>1972.0</v>
      </c>
      <c r="B89" s="4">
        <v>239.0</v>
      </c>
      <c r="C89" s="5">
        <v>13.2</v>
      </c>
      <c r="D89" s="5">
        <v>15.0</v>
      </c>
      <c r="E89" s="4">
        <f t="shared" si="1"/>
        <v>1</v>
      </c>
      <c r="J89" s="5">
        <v>21.6</v>
      </c>
      <c r="K89" s="5">
        <v>14.0</v>
      </c>
      <c r="L89" s="4">
        <f t="shared" si="6"/>
        <v>8</v>
      </c>
      <c r="O89" s="4">
        <f t="shared" si="9"/>
        <v>21.6</v>
      </c>
      <c r="P89" s="4">
        <f t="shared" si="10"/>
        <v>14</v>
      </c>
    </row>
    <row r="90" ht="15.75" customHeight="1">
      <c r="A90" s="4">
        <v>1972.0</v>
      </c>
      <c r="B90" s="4">
        <v>240.0</v>
      </c>
      <c r="C90" s="5">
        <v>12.0</v>
      </c>
      <c r="D90" s="5">
        <v>19.6</v>
      </c>
      <c r="E90" s="4">
        <f t="shared" si="1"/>
        <v>1</v>
      </c>
      <c r="J90" s="5">
        <v>5.7</v>
      </c>
      <c r="K90" s="5">
        <v>15.8</v>
      </c>
      <c r="L90" s="4">
        <f t="shared" si="6"/>
        <v>8</v>
      </c>
      <c r="O90" s="4">
        <f t="shared" si="9"/>
        <v>5.7</v>
      </c>
      <c r="P90" s="4">
        <f t="shared" si="10"/>
        <v>15.8</v>
      </c>
    </row>
    <row r="91" ht="15.75" customHeight="1">
      <c r="A91" s="4">
        <v>1972.0</v>
      </c>
      <c r="B91" s="4">
        <v>241.0</v>
      </c>
      <c r="C91" s="5">
        <v>8.9</v>
      </c>
      <c r="D91" s="5">
        <v>21.2</v>
      </c>
      <c r="E91" s="4">
        <f t="shared" si="1"/>
        <v>0</v>
      </c>
      <c r="J91" s="5"/>
      <c r="K91" s="5">
        <v>14.8</v>
      </c>
      <c r="L91" s="4">
        <f t="shared" si="6"/>
        <v>3</v>
      </c>
      <c r="O91" s="4" t="str">
        <f t="shared" si="9"/>
        <v/>
      </c>
      <c r="P91" s="4">
        <f t="shared" si="10"/>
        <v>14.8</v>
      </c>
    </row>
    <row r="92" ht="15.75" customHeight="1">
      <c r="A92" s="4">
        <v>1972.0</v>
      </c>
      <c r="B92" s="4">
        <v>242.0</v>
      </c>
      <c r="C92" s="5">
        <v>9.3</v>
      </c>
      <c r="D92" s="5">
        <v>20.3</v>
      </c>
      <c r="E92" s="4">
        <f t="shared" si="1"/>
        <v>0</v>
      </c>
      <c r="J92" s="5"/>
      <c r="K92" s="5">
        <v>14.6</v>
      </c>
      <c r="L92" s="4">
        <f t="shared" si="6"/>
        <v>3</v>
      </c>
      <c r="O92" s="4" t="str">
        <f t="shared" si="9"/>
        <v/>
      </c>
      <c r="P92" s="4">
        <f t="shared" si="10"/>
        <v>14.6</v>
      </c>
    </row>
    <row r="93" ht="15.75" customHeight="1">
      <c r="A93" s="4">
        <v>1972.0</v>
      </c>
      <c r="B93" s="4">
        <v>243.0</v>
      </c>
      <c r="C93" s="5">
        <v>8.6</v>
      </c>
      <c r="D93" s="5">
        <v>13.5</v>
      </c>
      <c r="E93" s="4">
        <f t="shared" si="1"/>
        <v>0</v>
      </c>
      <c r="J93" s="5"/>
      <c r="K93" s="5">
        <v>10.9</v>
      </c>
      <c r="L93" s="4">
        <f t="shared" si="6"/>
        <v>3</v>
      </c>
      <c r="O93" s="4" t="str">
        <f t="shared" si="9"/>
        <v/>
      </c>
      <c r="P93" s="4">
        <f t="shared" si="10"/>
        <v>10.9</v>
      </c>
    </row>
    <row r="94" ht="15.75" customHeight="1"/>
    <row r="95" ht="15.75" customHeight="1"/>
    <row r="96" ht="15.75" customHeight="1">
      <c r="F96" s="4">
        <f>SUM(F2:F87)</f>
        <v>10</v>
      </c>
      <c r="O96" s="4">
        <f>SUM(O2:O93)</f>
        <v>135.1</v>
      </c>
      <c r="P96" s="4">
        <f>SUMIF(P2:P93,"&gt;0")/10</f>
        <v>182.76</v>
      </c>
    </row>
    <row r="97" ht="15.75" customHeight="1"/>
    <row r="98" ht="15.75" customHeight="1">
      <c r="I98" s="4">
        <f>SUM(I2:I87)</f>
        <v>17.291</v>
      </c>
      <c r="O98" s="4" t="s">
        <v>15</v>
      </c>
      <c r="P98" s="4">
        <f>O96/P96</f>
        <v>0.7392208361</v>
      </c>
    </row>
    <row r="99" ht="15.75" customHeight="1">
      <c r="I99" s="4">
        <f>SUM(I2:I31)</f>
        <v>9.7155</v>
      </c>
      <c r="O99" s="4" t="s">
        <v>16</v>
      </c>
      <c r="P99" s="4">
        <f>SUM(O2:O31)/(SUM(P2:P31)/10)</f>
        <v>1</v>
      </c>
    </row>
    <row r="100" ht="15.75" customHeight="1">
      <c r="I100" s="4">
        <f>SUM(I32:I62)</f>
        <v>0.8915</v>
      </c>
      <c r="O100" s="4" t="s">
        <v>17</v>
      </c>
      <c r="P100" s="4">
        <f>SUM(O33:O62)/(SUM(P33:P62)/10)</f>
        <v>0.66718507</v>
      </c>
    </row>
    <row r="101" ht="15.75" customHeight="1">
      <c r="I101" s="4">
        <f>SUM(I63:I93)</f>
        <v>6.684</v>
      </c>
      <c r="O101" s="4" t="s">
        <v>18</v>
      </c>
      <c r="P101" s="4">
        <f>SUM(O63:O93)/(SUM(P63:P93)/10)</f>
        <v>0.6138107417</v>
      </c>
    </row>
    <row r="102" ht="15.75" customHeight="1">
      <c r="I102" s="4">
        <f>SUMIF(I2:I87,"&gt;0")</f>
        <v>17.291</v>
      </c>
    </row>
    <row r="103" ht="15.75" customHeight="1">
      <c r="I103" s="4">
        <f>SUMIF(I2:I31,"&gt;0")</f>
        <v>9.7155</v>
      </c>
    </row>
    <row r="104" ht="15.75" customHeight="1">
      <c r="I104" s="4">
        <f>SUMIF(I32:I62,"&gt;0")</f>
        <v>0.8915</v>
      </c>
      <c r="P104" s="4">
        <f>SUM(O16:O35)/(SUM(P16:P35)/10)</f>
        <v>1.414342629</v>
      </c>
    </row>
    <row r="105" ht="15.75" customHeight="1">
      <c r="I105" s="4">
        <f>SUMIF(I63:I87,"&gt;0")</f>
        <v>6.684</v>
      </c>
      <c r="P105" s="4">
        <f>SUM(O36:O55)/(SUM(P36:P55)/10)</f>
        <v>0.744372632</v>
      </c>
    </row>
    <row r="106" ht="15.75" customHeight="1">
      <c r="P106" s="4">
        <f>SUM(O56:O77)/(SUM(P56:P77)/10)</f>
        <v>0.1361739512</v>
      </c>
    </row>
    <row r="107" ht="15.75" customHeight="1">
      <c r="P107" s="4">
        <f>SUM(O16:O77)/(SUM(P16:P77)/10)</f>
        <v>0.7383578431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2.43"/>
    <col customWidth="1" min="7" max="10" width="8.71"/>
    <col customWidth="1" min="11" max="11" width="14.29"/>
    <col customWidth="1" min="12" max="12" width="24.43"/>
    <col customWidth="1" min="13" max="13" width="8.71"/>
    <col customWidth="1" min="14" max="14" width="13.0"/>
    <col customWidth="1" min="15" max="26" width="8.71"/>
  </cols>
  <sheetData>
    <row r="1">
      <c r="B1" s="6" t="s">
        <v>0</v>
      </c>
      <c r="C1" s="6" t="s">
        <v>1</v>
      </c>
      <c r="D1" s="7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4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</row>
    <row r="2">
      <c r="A2" s="4">
        <v>1973.0</v>
      </c>
      <c r="B2" s="4">
        <v>152.0</v>
      </c>
      <c r="C2" s="4">
        <v>3.9</v>
      </c>
      <c r="D2" s="4">
        <v>18.2</v>
      </c>
      <c r="E2" s="4">
        <f t="shared" ref="E2:E93" si="1">IF(J2&gt;0,1,0)</f>
        <v>0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24.487</v>
      </c>
      <c r="H2" s="4">
        <f t="shared" ref="H2:H87" si="4">0.63 * D2 + 0.37 * D3 + 0.49 * D4 + 0.22 * D5 + 0.65 * D6 + 0.24 *C2 - 0.06 * C3- 0.15 * C4 - 0.135 * C5 + 0.15 * C6 + 4.88 * E2 + 3.55 * E3 + 3.34 *E4 + 2.5 * E5 + 2.29 *E6-31.34</f>
        <v>20.683</v>
      </c>
      <c r="I2" s="4" t="str">
        <f t="shared" ref="I2:I87" si="5">IF((H2-G2)&gt;0,H2-G2," ")</f>
        <v> </v>
      </c>
      <c r="K2" s="4">
        <v>12.6</v>
      </c>
      <c r="L2" s="4">
        <f t="shared" ref="L2:L93" si="6">IF(E2&gt;0,8,3)</f>
        <v>3</v>
      </c>
      <c r="M2" s="4">
        <f t="shared" ref="M2:M87" si="7">IF(N2&gt;=0,1,0)</f>
        <v>0</v>
      </c>
      <c r="N2" s="4">
        <f t="shared" ref="N2:N87" si="8">-0.216*D2-0.191*D3-0.119*D4+0.004*C2-0.171*C3+0.628*C4-0.479*L2+0.513*L3+0.046*L4+5.947*E2+6.699*E3+4.328*E4-1.788</f>
        <v>-8.8233</v>
      </c>
      <c r="O2" s="4" t="str">
        <f t="shared" ref="O2:O93" si="9">IF(K2&gt;10,J2,0)</f>
        <v/>
      </c>
      <c r="P2" s="4">
        <f t="shared" ref="P2:P93" si="10">IF(K2&gt;10,K2,0)</f>
        <v>12.6</v>
      </c>
    </row>
    <row r="3">
      <c r="A3" s="4">
        <v>1973.0</v>
      </c>
      <c r="B3" s="4">
        <v>153.0</v>
      </c>
      <c r="C3" s="4">
        <v>5.6</v>
      </c>
      <c r="D3" s="4">
        <v>21.2</v>
      </c>
      <c r="E3" s="4">
        <f t="shared" si="1"/>
        <v>0</v>
      </c>
      <c r="F3" s="4">
        <f t="shared" si="2"/>
        <v>0</v>
      </c>
      <c r="G3" s="4">
        <f t="shared" si="3"/>
        <v>28.814</v>
      </c>
      <c r="H3" s="4">
        <f t="shared" si="4"/>
        <v>24.3615</v>
      </c>
      <c r="I3" s="4" t="str">
        <f t="shared" si="5"/>
        <v> </v>
      </c>
      <c r="K3" s="4">
        <v>14.6</v>
      </c>
      <c r="L3" s="4">
        <f t="shared" si="6"/>
        <v>3</v>
      </c>
      <c r="M3" s="4">
        <f t="shared" si="7"/>
        <v>0</v>
      </c>
      <c r="N3" s="4">
        <f t="shared" si="8"/>
        <v>-9.9108</v>
      </c>
      <c r="O3" s="4" t="str">
        <f t="shared" si="9"/>
        <v/>
      </c>
      <c r="P3" s="4">
        <f t="shared" si="10"/>
        <v>14.6</v>
      </c>
    </row>
    <row r="4">
      <c r="A4" s="4">
        <v>1973.0</v>
      </c>
      <c r="B4" s="4">
        <v>154.0</v>
      </c>
      <c r="C4" s="4">
        <v>7.0</v>
      </c>
      <c r="D4" s="4">
        <v>23.1</v>
      </c>
      <c r="E4" s="4">
        <f t="shared" si="1"/>
        <v>0</v>
      </c>
      <c r="F4" s="4">
        <f t="shared" si="2"/>
        <v>0</v>
      </c>
      <c r="G4" s="4">
        <f t="shared" si="3"/>
        <v>32.295</v>
      </c>
      <c r="H4" s="4">
        <f t="shared" si="4"/>
        <v>27.276</v>
      </c>
      <c r="I4" s="4" t="str">
        <f t="shared" si="5"/>
        <v> </v>
      </c>
      <c r="K4" s="4">
        <v>16.2</v>
      </c>
      <c r="L4" s="4">
        <f t="shared" si="6"/>
        <v>3</v>
      </c>
      <c r="M4" s="4">
        <f t="shared" si="7"/>
        <v>0</v>
      </c>
      <c r="N4" s="4">
        <f t="shared" si="8"/>
        <v>-9.7257</v>
      </c>
      <c r="O4" s="4" t="str">
        <f t="shared" si="9"/>
        <v/>
      </c>
      <c r="P4" s="4">
        <f t="shared" si="10"/>
        <v>16.2</v>
      </c>
    </row>
    <row r="5">
      <c r="A5" s="4">
        <v>1973.0</v>
      </c>
      <c r="B5" s="4">
        <v>155.0</v>
      </c>
      <c r="C5" s="4">
        <v>7.4</v>
      </c>
      <c r="D5" s="4">
        <v>23.9</v>
      </c>
      <c r="E5" s="4">
        <f t="shared" si="1"/>
        <v>0</v>
      </c>
      <c r="F5" s="4">
        <f t="shared" si="2"/>
        <v>0</v>
      </c>
      <c r="G5" s="4">
        <f t="shared" si="3"/>
        <v>32.185</v>
      </c>
      <c r="H5" s="4">
        <f t="shared" si="4"/>
        <v>27.287</v>
      </c>
      <c r="I5" s="4" t="str">
        <f t="shared" si="5"/>
        <v> </v>
      </c>
      <c r="K5" s="4">
        <v>17.2</v>
      </c>
      <c r="L5" s="4">
        <f t="shared" si="6"/>
        <v>3</v>
      </c>
      <c r="M5" s="4">
        <f t="shared" si="7"/>
        <v>0</v>
      </c>
      <c r="N5" s="4">
        <f t="shared" si="8"/>
        <v>-9.5828</v>
      </c>
      <c r="O5" s="4" t="str">
        <f t="shared" si="9"/>
        <v/>
      </c>
      <c r="P5" s="4">
        <f t="shared" si="10"/>
        <v>17.2</v>
      </c>
    </row>
    <row r="6">
      <c r="A6" s="4">
        <v>1973.0</v>
      </c>
      <c r="B6" s="4">
        <v>156.0</v>
      </c>
      <c r="C6" s="4">
        <v>8.9</v>
      </c>
      <c r="D6" s="4">
        <v>25.0</v>
      </c>
      <c r="E6" s="4">
        <f t="shared" si="1"/>
        <v>0</v>
      </c>
      <c r="F6" s="4">
        <f t="shared" si="2"/>
        <v>0</v>
      </c>
      <c r="G6" s="4">
        <f t="shared" si="3"/>
        <v>34.835</v>
      </c>
      <c r="H6" s="4">
        <f t="shared" si="4"/>
        <v>29.461</v>
      </c>
      <c r="I6" s="4" t="str">
        <f t="shared" si="5"/>
        <v> </v>
      </c>
      <c r="K6" s="4">
        <v>17.9</v>
      </c>
      <c r="L6" s="4">
        <f t="shared" si="6"/>
        <v>3</v>
      </c>
      <c r="M6" s="4">
        <f t="shared" si="7"/>
        <v>0</v>
      </c>
      <c r="N6" s="4">
        <f t="shared" si="8"/>
        <v>-9.9975</v>
      </c>
      <c r="O6" s="4" t="str">
        <f t="shared" si="9"/>
        <v/>
      </c>
      <c r="P6" s="4">
        <f t="shared" si="10"/>
        <v>17.9</v>
      </c>
    </row>
    <row r="7">
      <c r="A7" s="4">
        <v>1973.0</v>
      </c>
      <c r="B7" s="4">
        <v>157.0</v>
      </c>
      <c r="C7" s="4">
        <v>10.2</v>
      </c>
      <c r="D7" s="4">
        <v>25.3</v>
      </c>
      <c r="E7" s="4">
        <f t="shared" si="1"/>
        <v>0</v>
      </c>
      <c r="F7" s="4">
        <f t="shared" si="2"/>
        <v>0</v>
      </c>
      <c r="G7" s="4">
        <f t="shared" si="3"/>
        <v>35.197</v>
      </c>
      <c r="H7" s="4">
        <f t="shared" si="4"/>
        <v>29.967</v>
      </c>
      <c r="I7" s="4" t="str">
        <f t="shared" si="5"/>
        <v> </v>
      </c>
      <c r="K7" s="4">
        <v>18.1</v>
      </c>
      <c r="L7" s="4">
        <f t="shared" si="6"/>
        <v>3</v>
      </c>
      <c r="M7" s="4">
        <f t="shared" si="7"/>
        <v>0</v>
      </c>
      <c r="N7" s="4">
        <f t="shared" si="8"/>
        <v>-9.2566</v>
      </c>
      <c r="O7" s="4" t="str">
        <f t="shared" si="9"/>
        <v/>
      </c>
      <c r="P7" s="4">
        <f t="shared" si="10"/>
        <v>18.1</v>
      </c>
    </row>
    <row r="8">
      <c r="A8" s="4">
        <v>1973.0</v>
      </c>
      <c r="B8" s="4">
        <v>158.0</v>
      </c>
      <c r="C8" s="4">
        <v>10.6</v>
      </c>
      <c r="D8" s="4">
        <v>26.6</v>
      </c>
      <c r="E8" s="4">
        <f t="shared" si="1"/>
        <v>0</v>
      </c>
      <c r="F8" s="4">
        <f t="shared" si="2"/>
        <v>0</v>
      </c>
      <c r="G8" s="4">
        <f t="shared" si="3"/>
        <v>35.538</v>
      </c>
      <c r="H8" s="4">
        <f t="shared" si="4"/>
        <v>31.615</v>
      </c>
      <c r="I8" s="4" t="str">
        <f t="shared" si="5"/>
        <v> </v>
      </c>
      <c r="K8" s="4">
        <v>19.7</v>
      </c>
      <c r="L8" s="4">
        <f t="shared" si="6"/>
        <v>3</v>
      </c>
      <c r="M8" s="4">
        <f t="shared" si="7"/>
        <v>0</v>
      </c>
      <c r="N8" s="4">
        <f t="shared" si="8"/>
        <v>-9.733</v>
      </c>
      <c r="O8" s="4" t="str">
        <f t="shared" si="9"/>
        <v/>
      </c>
      <c r="P8" s="4">
        <f t="shared" si="10"/>
        <v>19.7</v>
      </c>
    </row>
    <row r="9">
      <c r="A9" s="4">
        <v>1973.0</v>
      </c>
      <c r="B9" s="4">
        <v>159.0</v>
      </c>
      <c r="C9" s="4">
        <v>12.0</v>
      </c>
      <c r="D9" s="4">
        <v>24.6</v>
      </c>
      <c r="E9" s="4">
        <f t="shared" si="1"/>
        <v>0</v>
      </c>
      <c r="F9" s="4">
        <f t="shared" si="2"/>
        <v>0</v>
      </c>
      <c r="G9" s="4">
        <f t="shared" si="3"/>
        <v>30.212</v>
      </c>
      <c r="H9" s="4">
        <f t="shared" si="4"/>
        <v>24.7315</v>
      </c>
      <c r="I9" s="4" t="str">
        <f t="shared" si="5"/>
        <v> </v>
      </c>
      <c r="K9" s="4">
        <v>19.1</v>
      </c>
      <c r="L9" s="4">
        <f t="shared" si="6"/>
        <v>3</v>
      </c>
      <c r="M9" s="4">
        <f t="shared" si="7"/>
        <v>0</v>
      </c>
      <c r="N9" s="4">
        <f t="shared" si="8"/>
        <v>-7.4341</v>
      </c>
      <c r="O9" s="4" t="str">
        <f t="shared" si="9"/>
        <v/>
      </c>
      <c r="P9" s="4">
        <f t="shared" si="10"/>
        <v>19.1</v>
      </c>
    </row>
    <row r="10">
      <c r="A10" s="4">
        <v>1973.0</v>
      </c>
      <c r="B10" s="4">
        <v>160.0</v>
      </c>
      <c r="C10" s="4">
        <v>11.8</v>
      </c>
      <c r="D10" s="4">
        <v>26.4</v>
      </c>
      <c r="E10" s="4">
        <f t="shared" si="1"/>
        <v>0</v>
      </c>
      <c r="F10" s="4">
        <f t="shared" si="2"/>
        <v>0</v>
      </c>
      <c r="G10" s="4">
        <f t="shared" si="3"/>
        <v>30.309</v>
      </c>
      <c r="H10" s="4">
        <f t="shared" si="4"/>
        <v>26.9225</v>
      </c>
      <c r="I10" s="4" t="str">
        <f t="shared" si="5"/>
        <v> </v>
      </c>
      <c r="K10" s="4">
        <v>20.4</v>
      </c>
      <c r="L10" s="4">
        <f t="shared" si="6"/>
        <v>3</v>
      </c>
      <c r="M10" s="4">
        <f t="shared" si="7"/>
        <v>0</v>
      </c>
      <c r="N10" s="4">
        <f t="shared" si="8"/>
        <v>-3.6503</v>
      </c>
      <c r="O10" s="4" t="str">
        <f t="shared" si="9"/>
        <v/>
      </c>
      <c r="P10" s="4">
        <f t="shared" si="10"/>
        <v>20.4</v>
      </c>
    </row>
    <row r="11">
      <c r="A11" s="4">
        <v>1973.0</v>
      </c>
      <c r="B11" s="4">
        <v>161.0</v>
      </c>
      <c r="C11" s="4">
        <v>15.2</v>
      </c>
      <c r="D11" s="4">
        <v>26.1</v>
      </c>
      <c r="E11" s="4">
        <f t="shared" si="1"/>
        <v>0</v>
      </c>
      <c r="F11" s="4">
        <f t="shared" si="2"/>
        <v>0</v>
      </c>
      <c r="G11" s="4">
        <f t="shared" si="3"/>
        <v>32.813</v>
      </c>
      <c r="H11" s="4">
        <f t="shared" si="4"/>
        <v>29.281</v>
      </c>
      <c r="I11" s="4" t="str">
        <f t="shared" si="5"/>
        <v> </v>
      </c>
      <c r="K11" s="4">
        <v>20.7</v>
      </c>
      <c r="L11" s="4">
        <f t="shared" si="6"/>
        <v>3</v>
      </c>
      <c r="M11" s="4">
        <f t="shared" si="7"/>
        <v>0</v>
      </c>
      <c r="N11" s="4">
        <f t="shared" si="8"/>
        <v>-3.6181</v>
      </c>
      <c r="O11" s="4" t="str">
        <f t="shared" si="9"/>
        <v/>
      </c>
      <c r="P11" s="4">
        <f t="shared" si="10"/>
        <v>20.7</v>
      </c>
    </row>
    <row r="12">
      <c r="A12" s="4">
        <v>1973.0</v>
      </c>
      <c r="B12" s="4">
        <v>162.0</v>
      </c>
      <c r="C12" s="4">
        <v>15.1</v>
      </c>
      <c r="D12" s="4">
        <v>24.4</v>
      </c>
      <c r="E12" s="4">
        <f t="shared" si="1"/>
        <v>1</v>
      </c>
      <c r="F12" s="4">
        <f t="shared" si="2"/>
        <v>0</v>
      </c>
      <c r="G12" s="4">
        <f t="shared" si="3"/>
        <v>33.904</v>
      </c>
      <c r="H12" s="4">
        <f t="shared" si="4"/>
        <v>30.6635</v>
      </c>
      <c r="I12" s="4" t="str">
        <f t="shared" si="5"/>
        <v> </v>
      </c>
      <c r="J12" s="4">
        <v>1.2</v>
      </c>
      <c r="K12" s="4">
        <v>20.0</v>
      </c>
      <c r="L12" s="4">
        <f t="shared" si="6"/>
        <v>8</v>
      </c>
      <c r="M12" s="4">
        <f t="shared" si="7"/>
        <v>0</v>
      </c>
      <c r="N12" s="4">
        <f t="shared" si="8"/>
        <v>-7.2067</v>
      </c>
      <c r="O12" s="4">
        <f t="shared" si="9"/>
        <v>1.2</v>
      </c>
      <c r="P12" s="4">
        <f t="shared" si="10"/>
        <v>20</v>
      </c>
    </row>
    <row r="13">
      <c r="A13" s="4">
        <v>1973.0</v>
      </c>
      <c r="B13" s="4">
        <v>163.0</v>
      </c>
      <c r="C13" s="4">
        <v>5.7</v>
      </c>
      <c r="D13" s="4">
        <v>17.6</v>
      </c>
      <c r="E13" s="4">
        <f t="shared" si="1"/>
        <v>0</v>
      </c>
      <c r="F13" s="4">
        <f t="shared" si="2"/>
        <v>0</v>
      </c>
      <c r="G13" s="4">
        <f t="shared" si="3"/>
        <v>19.582</v>
      </c>
      <c r="H13" s="4">
        <f t="shared" si="4"/>
        <v>17.9545</v>
      </c>
      <c r="I13" s="4" t="str">
        <f t="shared" si="5"/>
        <v> </v>
      </c>
      <c r="K13" s="4">
        <v>13.6</v>
      </c>
      <c r="L13" s="4">
        <f t="shared" si="6"/>
        <v>3</v>
      </c>
      <c r="M13" s="4">
        <f t="shared" si="7"/>
        <v>0</v>
      </c>
      <c r="N13" s="4">
        <f t="shared" si="8"/>
        <v>-7.29</v>
      </c>
      <c r="O13" s="4" t="str">
        <f t="shared" si="9"/>
        <v/>
      </c>
      <c r="P13" s="4">
        <f t="shared" si="10"/>
        <v>13.6</v>
      </c>
    </row>
    <row r="14">
      <c r="A14" s="4">
        <v>1973.0</v>
      </c>
      <c r="B14" s="4">
        <v>164.0</v>
      </c>
      <c r="C14" s="4">
        <v>4.4</v>
      </c>
      <c r="D14" s="4">
        <v>20.4</v>
      </c>
      <c r="E14" s="4">
        <f t="shared" si="1"/>
        <v>0</v>
      </c>
      <c r="F14" s="4">
        <f t="shared" si="2"/>
        <v>0</v>
      </c>
      <c r="G14" s="4">
        <f t="shared" si="3"/>
        <v>22.289</v>
      </c>
      <c r="H14" s="4">
        <f t="shared" si="4"/>
        <v>19.003</v>
      </c>
      <c r="I14" s="4" t="str">
        <f t="shared" si="5"/>
        <v> </v>
      </c>
      <c r="K14" s="4">
        <v>14.3</v>
      </c>
      <c r="L14" s="4">
        <f t="shared" si="6"/>
        <v>3</v>
      </c>
      <c r="M14" s="4">
        <f t="shared" si="7"/>
        <v>0</v>
      </c>
      <c r="N14" s="4">
        <f t="shared" si="8"/>
        <v>-7.5667</v>
      </c>
      <c r="O14" s="4" t="str">
        <f t="shared" si="9"/>
        <v/>
      </c>
      <c r="P14" s="4">
        <f t="shared" si="10"/>
        <v>14.3</v>
      </c>
    </row>
    <row r="15">
      <c r="A15" s="4">
        <v>1973.0</v>
      </c>
      <c r="B15" s="4">
        <v>165.0</v>
      </c>
      <c r="C15" s="4">
        <v>8.9</v>
      </c>
      <c r="D15" s="4">
        <v>24.4</v>
      </c>
      <c r="E15" s="4">
        <f t="shared" si="1"/>
        <v>0</v>
      </c>
      <c r="F15" s="4">
        <f t="shared" si="2"/>
        <v>0</v>
      </c>
      <c r="G15" s="4">
        <f t="shared" si="3"/>
        <v>26.121</v>
      </c>
      <c r="H15" s="4">
        <f t="shared" si="4"/>
        <v>22.0735</v>
      </c>
      <c r="I15" s="4" t="str">
        <f t="shared" si="5"/>
        <v> </v>
      </c>
      <c r="K15" s="4">
        <v>18.0</v>
      </c>
      <c r="L15" s="4">
        <f t="shared" si="6"/>
        <v>3</v>
      </c>
      <c r="M15" s="4">
        <f t="shared" si="7"/>
        <v>0</v>
      </c>
      <c r="N15" s="4">
        <f t="shared" si="8"/>
        <v>-3.1086</v>
      </c>
      <c r="O15" s="4" t="str">
        <f t="shared" si="9"/>
        <v/>
      </c>
      <c r="P15" s="4">
        <f t="shared" si="10"/>
        <v>18</v>
      </c>
    </row>
    <row r="16">
      <c r="A16" s="4">
        <v>1973.0</v>
      </c>
      <c r="B16" s="4">
        <v>166.0</v>
      </c>
      <c r="C16" s="4">
        <v>12.1</v>
      </c>
      <c r="D16" s="4">
        <v>25.6</v>
      </c>
      <c r="E16" s="4">
        <f t="shared" si="1"/>
        <v>0</v>
      </c>
      <c r="F16" s="4">
        <f t="shared" si="2"/>
        <v>0</v>
      </c>
      <c r="G16" s="4">
        <f t="shared" si="3"/>
        <v>24.462</v>
      </c>
      <c r="H16" s="4">
        <f t="shared" si="4"/>
        <v>22.858</v>
      </c>
      <c r="I16" s="4" t="str">
        <f t="shared" si="5"/>
        <v> </v>
      </c>
      <c r="K16" s="4">
        <v>19.9</v>
      </c>
      <c r="L16" s="4">
        <f t="shared" si="6"/>
        <v>3</v>
      </c>
      <c r="M16" s="4">
        <f t="shared" si="7"/>
        <v>1</v>
      </c>
      <c r="N16" s="4">
        <f t="shared" si="8"/>
        <v>0.2518</v>
      </c>
      <c r="O16" s="4" t="str">
        <f t="shared" si="9"/>
        <v/>
      </c>
      <c r="P16" s="4">
        <f t="shared" si="10"/>
        <v>19.9</v>
      </c>
    </row>
    <row r="17">
      <c r="A17" s="4">
        <v>1973.0</v>
      </c>
      <c r="B17" s="4">
        <v>167.0</v>
      </c>
      <c r="C17" s="4">
        <v>12.8</v>
      </c>
      <c r="D17" s="4">
        <v>16.5</v>
      </c>
      <c r="E17" s="4">
        <f t="shared" si="1"/>
        <v>1</v>
      </c>
      <c r="F17" s="4">
        <f t="shared" si="2"/>
        <v>1</v>
      </c>
      <c r="G17" s="4">
        <f t="shared" si="3"/>
        <v>22.462</v>
      </c>
      <c r="H17" s="4">
        <f t="shared" si="4"/>
        <v>24.2865</v>
      </c>
      <c r="I17" s="4">
        <f t="shared" si="5"/>
        <v>1.8245</v>
      </c>
      <c r="J17" s="4">
        <v>0.1</v>
      </c>
      <c r="K17" s="4">
        <v>14.6</v>
      </c>
      <c r="L17" s="4">
        <f t="shared" si="6"/>
        <v>8</v>
      </c>
      <c r="M17" s="4">
        <f t="shared" si="7"/>
        <v>0</v>
      </c>
      <c r="N17" s="4">
        <f t="shared" si="8"/>
        <v>-4.9165</v>
      </c>
      <c r="O17" s="4">
        <f t="shared" si="9"/>
        <v>0.1</v>
      </c>
      <c r="P17" s="4">
        <f t="shared" si="10"/>
        <v>14.6</v>
      </c>
    </row>
    <row r="18">
      <c r="A18" s="4">
        <v>1973.0</v>
      </c>
      <c r="B18" s="4">
        <v>168.0</v>
      </c>
      <c r="C18" s="4">
        <v>8.7</v>
      </c>
      <c r="D18" s="4">
        <v>17.7</v>
      </c>
      <c r="E18" s="4">
        <f t="shared" si="1"/>
        <v>0</v>
      </c>
      <c r="F18" s="4">
        <f t="shared" si="2"/>
        <v>0</v>
      </c>
      <c r="G18" s="4">
        <f t="shared" si="3"/>
        <v>23.428</v>
      </c>
      <c r="H18" s="4">
        <f t="shared" si="4"/>
        <v>21.414</v>
      </c>
      <c r="I18" s="4" t="str">
        <f t="shared" si="5"/>
        <v> </v>
      </c>
      <c r="K18" s="4">
        <v>14.2</v>
      </c>
      <c r="L18" s="4">
        <f t="shared" si="6"/>
        <v>3</v>
      </c>
      <c r="M18" s="4">
        <f t="shared" si="7"/>
        <v>0</v>
      </c>
      <c r="N18" s="4">
        <f t="shared" si="8"/>
        <v>-4.8405</v>
      </c>
      <c r="O18" s="4" t="str">
        <f t="shared" si="9"/>
        <v/>
      </c>
      <c r="P18" s="4">
        <f t="shared" si="10"/>
        <v>14.2</v>
      </c>
    </row>
    <row r="19">
      <c r="A19" s="4">
        <v>1973.0</v>
      </c>
      <c r="B19" s="4">
        <v>169.0</v>
      </c>
      <c r="C19" s="4">
        <v>6.4</v>
      </c>
      <c r="D19" s="4">
        <v>21.5</v>
      </c>
      <c r="E19" s="4">
        <f t="shared" si="1"/>
        <v>0</v>
      </c>
      <c r="F19" s="4">
        <f t="shared" si="2"/>
        <v>0</v>
      </c>
      <c r="G19" s="4">
        <f t="shared" si="3"/>
        <v>24.24</v>
      </c>
      <c r="H19" s="4">
        <f t="shared" si="4"/>
        <v>22.9945</v>
      </c>
      <c r="I19" s="4" t="str">
        <f t="shared" si="5"/>
        <v> </v>
      </c>
      <c r="K19" s="4">
        <v>14.1</v>
      </c>
      <c r="L19" s="4">
        <f t="shared" si="6"/>
        <v>3</v>
      </c>
      <c r="M19" s="4">
        <f t="shared" si="7"/>
        <v>1</v>
      </c>
      <c r="N19" s="4">
        <f t="shared" si="8"/>
        <v>7.439</v>
      </c>
      <c r="O19" s="4" t="str">
        <f t="shared" si="9"/>
        <v/>
      </c>
      <c r="P19" s="4">
        <f t="shared" si="10"/>
        <v>14.1</v>
      </c>
    </row>
    <row r="20">
      <c r="A20" s="4">
        <v>1973.0</v>
      </c>
      <c r="B20" s="4">
        <v>170.0</v>
      </c>
      <c r="C20" s="4">
        <v>5.3</v>
      </c>
      <c r="D20" s="4">
        <v>18.4</v>
      </c>
      <c r="E20" s="4">
        <f t="shared" si="1"/>
        <v>1</v>
      </c>
      <c r="F20" s="4">
        <f t="shared" si="2"/>
        <v>0</v>
      </c>
      <c r="G20" s="4">
        <f t="shared" si="3"/>
        <v>24.239</v>
      </c>
      <c r="H20" s="4">
        <f t="shared" si="4"/>
        <v>23.494</v>
      </c>
      <c r="I20" s="4" t="str">
        <f t="shared" si="5"/>
        <v> </v>
      </c>
      <c r="J20" s="4">
        <v>0.4</v>
      </c>
      <c r="K20" s="4">
        <v>13.3</v>
      </c>
      <c r="L20" s="4">
        <f t="shared" si="6"/>
        <v>8</v>
      </c>
      <c r="M20" s="4">
        <f t="shared" si="7"/>
        <v>1</v>
      </c>
      <c r="N20" s="4">
        <f t="shared" si="8"/>
        <v>6.2696</v>
      </c>
      <c r="O20" s="4">
        <f t="shared" si="9"/>
        <v>0.4</v>
      </c>
      <c r="P20" s="4">
        <f t="shared" si="10"/>
        <v>13.3</v>
      </c>
    </row>
    <row r="21" ht="15.75" customHeight="1">
      <c r="A21" s="4">
        <v>1973.0</v>
      </c>
      <c r="B21" s="4">
        <v>171.0</v>
      </c>
      <c r="C21" s="4">
        <v>10.2</v>
      </c>
      <c r="D21" s="4">
        <v>18.5</v>
      </c>
      <c r="E21" s="4">
        <f t="shared" si="1"/>
        <v>1</v>
      </c>
      <c r="F21" s="4">
        <f t="shared" si="2"/>
        <v>0</v>
      </c>
      <c r="G21" s="4">
        <f t="shared" si="3"/>
        <v>25.099</v>
      </c>
      <c r="H21" s="4">
        <f t="shared" si="4"/>
        <v>24.223</v>
      </c>
      <c r="I21" s="4" t="str">
        <f t="shared" si="5"/>
        <v> </v>
      </c>
      <c r="J21" s="4">
        <v>8.1</v>
      </c>
      <c r="K21" s="4">
        <v>13.5</v>
      </c>
      <c r="L21" s="4">
        <f t="shared" si="6"/>
        <v>8</v>
      </c>
      <c r="M21" s="4">
        <f t="shared" si="7"/>
        <v>0</v>
      </c>
      <c r="N21" s="4">
        <f t="shared" si="8"/>
        <v>-2.4251</v>
      </c>
      <c r="O21" s="4">
        <f t="shared" si="9"/>
        <v>8.1</v>
      </c>
      <c r="P21" s="4">
        <f t="shared" si="10"/>
        <v>13.5</v>
      </c>
    </row>
    <row r="22" ht="15.75" customHeight="1">
      <c r="A22" s="4">
        <v>1973.0</v>
      </c>
      <c r="B22" s="4">
        <v>172.0</v>
      </c>
      <c r="C22" s="4">
        <v>10.7</v>
      </c>
      <c r="D22" s="4">
        <v>20.9</v>
      </c>
      <c r="E22" s="4">
        <f t="shared" si="1"/>
        <v>0</v>
      </c>
      <c r="F22" s="4">
        <f t="shared" si="2"/>
        <v>0</v>
      </c>
      <c r="G22" s="4">
        <f t="shared" si="3"/>
        <v>26.61</v>
      </c>
      <c r="H22" s="4">
        <f t="shared" si="4"/>
        <v>24.813</v>
      </c>
      <c r="I22" s="4" t="str">
        <f t="shared" si="5"/>
        <v> </v>
      </c>
      <c r="K22" s="4">
        <v>15.9</v>
      </c>
      <c r="L22" s="4">
        <f t="shared" si="6"/>
        <v>3</v>
      </c>
      <c r="M22" s="4">
        <f t="shared" si="7"/>
        <v>0</v>
      </c>
      <c r="N22" s="4">
        <f t="shared" si="8"/>
        <v>-8.531</v>
      </c>
      <c r="O22" s="4" t="str">
        <f t="shared" si="9"/>
        <v/>
      </c>
      <c r="P22" s="4">
        <f t="shared" si="10"/>
        <v>15.9</v>
      </c>
    </row>
    <row r="23" ht="15.75" customHeight="1">
      <c r="A23" s="4">
        <v>1973.0</v>
      </c>
      <c r="B23" s="4">
        <v>173.0</v>
      </c>
      <c r="C23" s="4">
        <v>12.4</v>
      </c>
      <c r="D23" s="4">
        <v>20.5</v>
      </c>
      <c r="E23" s="4">
        <f t="shared" si="1"/>
        <v>0</v>
      </c>
      <c r="F23" s="4">
        <f t="shared" si="2"/>
        <v>0</v>
      </c>
      <c r="G23" s="4">
        <f t="shared" si="3"/>
        <v>29.017</v>
      </c>
      <c r="H23" s="4">
        <f t="shared" si="4"/>
        <v>26.696</v>
      </c>
      <c r="I23" s="4" t="str">
        <f t="shared" si="5"/>
        <v> </v>
      </c>
      <c r="K23" s="4">
        <v>16.3</v>
      </c>
      <c r="L23" s="4">
        <f t="shared" si="6"/>
        <v>3</v>
      </c>
      <c r="M23" s="4">
        <f t="shared" si="7"/>
        <v>0</v>
      </c>
      <c r="N23" s="4">
        <f t="shared" si="8"/>
        <v>-5.248</v>
      </c>
      <c r="O23" s="4" t="str">
        <f t="shared" si="9"/>
        <v/>
      </c>
      <c r="P23" s="4">
        <f t="shared" si="10"/>
        <v>16.3</v>
      </c>
    </row>
    <row r="24" ht="15.75" customHeight="1">
      <c r="A24" s="4">
        <v>1973.0</v>
      </c>
      <c r="B24" s="4">
        <v>174.0</v>
      </c>
      <c r="C24" s="4">
        <v>9.8</v>
      </c>
      <c r="D24" s="4">
        <v>22.1</v>
      </c>
      <c r="E24" s="4">
        <f t="shared" si="1"/>
        <v>0</v>
      </c>
      <c r="F24" s="4">
        <f t="shared" si="2"/>
        <v>0</v>
      </c>
      <c r="G24" s="4">
        <f t="shared" si="3"/>
        <v>31.55</v>
      </c>
      <c r="H24" s="4">
        <f t="shared" si="4"/>
        <v>29.6905</v>
      </c>
      <c r="I24" s="4" t="str">
        <f t="shared" si="5"/>
        <v> </v>
      </c>
      <c r="K24" s="4">
        <v>16.6</v>
      </c>
      <c r="L24" s="4">
        <f t="shared" si="6"/>
        <v>3</v>
      </c>
      <c r="M24" s="4">
        <f t="shared" si="7"/>
        <v>1</v>
      </c>
      <c r="N24" s="4">
        <f t="shared" si="8"/>
        <v>4.4472</v>
      </c>
      <c r="O24" s="4" t="str">
        <f t="shared" si="9"/>
        <v/>
      </c>
      <c r="P24" s="4">
        <f t="shared" si="10"/>
        <v>16.6</v>
      </c>
    </row>
    <row r="25" ht="15.75" customHeight="1">
      <c r="A25" s="4">
        <v>1973.0</v>
      </c>
      <c r="B25" s="4">
        <v>175.0</v>
      </c>
      <c r="C25" s="4">
        <v>7.4</v>
      </c>
      <c r="D25" s="4">
        <v>22.1</v>
      </c>
      <c r="E25" s="4">
        <f t="shared" si="1"/>
        <v>1</v>
      </c>
      <c r="F25" s="4">
        <f t="shared" si="2"/>
        <v>0</v>
      </c>
      <c r="G25" s="4">
        <f t="shared" si="3"/>
        <v>33.541</v>
      </c>
      <c r="H25" s="4">
        <f t="shared" si="4"/>
        <v>32.7095</v>
      </c>
      <c r="I25" s="4" t="str">
        <f t="shared" si="5"/>
        <v> </v>
      </c>
      <c r="J25" s="4">
        <v>6.5</v>
      </c>
      <c r="K25" s="4">
        <v>14.3</v>
      </c>
      <c r="L25" s="4">
        <f t="shared" si="6"/>
        <v>8</v>
      </c>
      <c r="M25" s="4">
        <f t="shared" si="7"/>
        <v>1</v>
      </c>
      <c r="N25" s="4">
        <f t="shared" si="8"/>
        <v>3.8519</v>
      </c>
      <c r="O25" s="4">
        <f t="shared" si="9"/>
        <v>6.5</v>
      </c>
      <c r="P25" s="4">
        <f t="shared" si="10"/>
        <v>14.3</v>
      </c>
    </row>
    <row r="26" ht="15.75" customHeight="1">
      <c r="A26" s="4">
        <v>1973.0</v>
      </c>
      <c r="B26" s="4">
        <v>176.0</v>
      </c>
      <c r="C26" s="4">
        <v>8.0</v>
      </c>
      <c r="D26" s="4">
        <v>22.1</v>
      </c>
      <c r="E26" s="4">
        <f t="shared" si="1"/>
        <v>1</v>
      </c>
      <c r="F26" s="4">
        <f t="shared" si="2"/>
        <v>0</v>
      </c>
      <c r="G26" s="4">
        <f t="shared" si="3"/>
        <v>34.414</v>
      </c>
      <c r="H26" s="4">
        <f t="shared" si="4"/>
        <v>31.07</v>
      </c>
      <c r="I26" s="4" t="str">
        <f t="shared" si="5"/>
        <v> </v>
      </c>
      <c r="J26" s="4">
        <v>0.9</v>
      </c>
      <c r="K26" s="4">
        <v>15.5</v>
      </c>
      <c r="L26" s="4">
        <f t="shared" si="6"/>
        <v>8</v>
      </c>
      <c r="M26" s="4">
        <f t="shared" si="7"/>
        <v>0</v>
      </c>
      <c r="N26" s="4">
        <f t="shared" si="8"/>
        <v>-5.717</v>
      </c>
      <c r="O26" s="4">
        <f t="shared" si="9"/>
        <v>0.9</v>
      </c>
      <c r="P26" s="4">
        <f t="shared" si="10"/>
        <v>15.5</v>
      </c>
    </row>
    <row r="27" ht="15.75" customHeight="1">
      <c r="A27" s="4">
        <v>1973.0</v>
      </c>
      <c r="B27" s="4">
        <v>177.0</v>
      </c>
      <c r="C27" s="4">
        <v>8.7</v>
      </c>
      <c r="D27" s="4">
        <v>21.4</v>
      </c>
      <c r="E27" s="4">
        <f t="shared" si="1"/>
        <v>0</v>
      </c>
      <c r="F27" s="4">
        <f t="shared" si="2"/>
        <v>0</v>
      </c>
      <c r="G27" s="4">
        <f t="shared" si="3"/>
        <v>34.433</v>
      </c>
      <c r="H27" s="4">
        <f t="shared" si="4"/>
        <v>31.462</v>
      </c>
      <c r="I27" s="4" t="str">
        <f t="shared" si="5"/>
        <v> </v>
      </c>
      <c r="K27" s="4">
        <v>15.1</v>
      </c>
      <c r="L27" s="4">
        <f t="shared" si="6"/>
        <v>3</v>
      </c>
      <c r="M27" s="4">
        <f t="shared" si="7"/>
        <v>0</v>
      </c>
      <c r="N27" s="4">
        <f t="shared" si="8"/>
        <v>-7.1683</v>
      </c>
      <c r="O27" s="4" t="str">
        <f t="shared" si="9"/>
        <v/>
      </c>
      <c r="P27" s="4">
        <f t="shared" si="10"/>
        <v>15.1</v>
      </c>
    </row>
    <row r="28" ht="15.75" customHeight="1">
      <c r="A28" s="4">
        <v>1973.0</v>
      </c>
      <c r="B28" s="4">
        <v>178.0</v>
      </c>
      <c r="C28" s="4">
        <v>8.7</v>
      </c>
      <c r="D28" s="4">
        <v>24.1</v>
      </c>
      <c r="E28" s="4">
        <f t="shared" si="1"/>
        <v>0</v>
      </c>
      <c r="F28" s="4">
        <f t="shared" si="2"/>
        <v>0</v>
      </c>
      <c r="G28" s="4">
        <f t="shared" si="3"/>
        <v>36.466</v>
      </c>
      <c r="H28" s="4">
        <f t="shared" si="4"/>
        <v>33.493</v>
      </c>
      <c r="I28" s="4" t="str">
        <f t="shared" si="5"/>
        <v> </v>
      </c>
      <c r="K28" s="4">
        <v>17.4</v>
      </c>
      <c r="L28" s="4">
        <f t="shared" si="6"/>
        <v>3</v>
      </c>
      <c r="M28" s="4">
        <f t="shared" si="7"/>
        <v>0</v>
      </c>
      <c r="N28" s="4">
        <f t="shared" si="8"/>
        <v>-9.4241</v>
      </c>
      <c r="O28" s="4" t="str">
        <f t="shared" si="9"/>
        <v/>
      </c>
      <c r="P28" s="4">
        <f t="shared" si="10"/>
        <v>17.4</v>
      </c>
    </row>
    <row r="29" ht="15.75" customHeight="1">
      <c r="A29" s="4">
        <v>1973.0</v>
      </c>
      <c r="B29" s="4">
        <v>179.0</v>
      </c>
      <c r="C29" s="4">
        <v>13.0</v>
      </c>
      <c r="D29" s="4">
        <v>26.1</v>
      </c>
      <c r="E29" s="4">
        <f t="shared" si="1"/>
        <v>0</v>
      </c>
      <c r="F29" s="4">
        <f t="shared" si="2"/>
        <v>0</v>
      </c>
      <c r="G29" s="4">
        <f t="shared" si="3"/>
        <v>38.458</v>
      </c>
      <c r="H29" s="4">
        <f t="shared" si="4"/>
        <v>35.008</v>
      </c>
      <c r="I29" s="4" t="str">
        <f t="shared" si="5"/>
        <v> </v>
      </c>
      <c r="K29" s="4">
        <v>20.3</v>
      </c>
      <c r="L29" s="4">
        <f t="shared" si="6"/>
        <v>3</v>
      </c>
      <c r="M29" s="4">
        <f t="shared" si="7"/>
        <v>0</v>
      </c>
      <c r="N29" s="4">
        <f t="shared" si="8"/>
        <v>-3.1194</v>
      </c>
      <c r="O29" s="4" t="str">
        <f t="shared" si="9"/>
        <v/>
      </c>
      <c r="P29" s="4">
        <f t="shared" si="10"/>
        <v>20.3</v>
      </c>
    </row>
    <row r="30" ht="15.75" customHeight="1">
      <c r="A30" s="4">
        <v>1973.0</v>
      </c>
      <c r="B30" s="4">
        <v>180.0</v>
      </c>
      <c r="C30" s="4">
        <v>12.4</v>
      </c>
      <c r="D30" s="4">
        <v>27.6</v>
      </c>
      <c r="E30" s="4">
        <f t="shared" si="1"/>
        <v>0</v>
      </c>
      <c r="F30" s="4">
        <f t="shared" si="2"/>
        <v>0</v>
      </c>
      <c r="G30" s="4">
        <f t="shared" si="3"/>
        <v>39.426</v>
      </c>
      <c r="H30" s="4">
        <f t="shared" si="4"/>
        <v>38.353</v>
      </c>
      <c r="I30" s="4" t="str">
        <f t="shared" si="5"/>
        <v> </v>
      </c>
      <c r="K30" s="4">
        <v>21.1</v>
      </c>
      <c r="L30" s="4">
        <f t="shared" si="6"/>
        <v>3</v>
      </c>
      <c r="M30" s="4">
        <f t="shared" si="7"/>
        <v>1</v>
      </c>
      <c r="N30" s="4">
        <f t="shared" si="8"/>
        <v>5.1987</v>
      </c>
      <c r="O30" s="4" t="str">
        <f t="shared" si="9"/>
        <v/>
      </c>
      <c r="P30" s="4">
        <f t="shared" si="10"/>
        <v>21.1</v>
      </c>
    </row>
    <row r="31" ht="15.75" customHeight="1">
      <c r="A31" s="4">
        <v>1973.0</v>
      </c>
      <c r="B31" s="4">
        <v>181.0</v>
      </c>
      <c r="C31" s="4">
        <v>16.4</v>
      </c>
      <c r="D31" s="4">
        <v>29.0</v>
      </c>
      <c r="E31" s="4">
        <f t="shared" si="1"/>
        <v>1</v>
      </c>
      <c r="F31" s="4">
        <f t="shared" si="2"/>
        <v>0</v>
      </c>
      <c r="G31" s="4">
        <f t="shared" si="3"/>
        <v>43.475</v>
      </c>
      <c r="H31" s="4">
        <f t="shared" si="4"/>
        <v>40.801</v>
      </c>
      <c r="I31" s="4" t="str">
        <f t="shared" si="5"/>
        <v> </v>
      </c>
      <c r="J31" s="4">
        <v>4.6</v>
      </c>
      <c r="K31" s="4">
        <v>21.7</v>
      </c>
      <c r="L31" s="4">
        <f t="shared" si="6"/>
        <v>8</v>
      </c>
      <c r="M31" s="4">
        <f t="shared" si="7"/>
        <v>1</v>
      </c>
      <c r="N31" s="4">
        <f t="shared" si="8"/>
        <v>4.395</v>
      </c>
      <c r="O31" s="4">
        <f t="shared" si="9"/>
        <v>4.6</v>
      </c>
      <c r="P31" s="4">
        <f t="shared" si="10"/>
        <v>21.7</v>
      </c>
    </row>
    <row r="32" ht="15.75" customHeight="1">
      <c r="A32" s="4">
        <v>1973.0</v>
      </c>
      <c r="B32" s="4">
        <v>182.0</v>
      </c>
      <c r="C32" s="4">
        <v>16.0</v>
      </c>
      <c r="D32" s="4">
        <v>24.1</v>
      </c>
      <c r="E32" s="4">
        <f t="shared" si="1"/>
        <v>1</v>
      </c>
      <c r="F32" s="4">
        <f t="shared" si="2"/>
        <v>0</v>
      </c>
      <c r="G32" s="4">
        <f t="shared" si="3"/>
        <v>39.184</v>
      </c>
      <c r="H32" s="4">
        <f t="shared" si="4"/>
        <v>36.5045</v>
      </c>
      <c r="I32" s="4" t="str">
        <f t="shared" si="5"/>
        <v> </v>
      </c>
      <c r="J32" s="4">
        <v>11.8</v>
      </c>
      <c r="K32" s="4">
        <v>19.1</v>
      </c>
      <c r="L32" s="4">
        <f t="shared" si="6"/>
        <v>8</v>
      </c>
      <c r="M32" s="4">
        <f t="shared" si="7"/>
        <v>1</v>
      </c>
      <c r="N32" s="4">
        <f t="shared" si="8"/>
        <v>1.8367</v>
      </c>
      <c r="O32" s="4">
        <f t="shared" si="9"/>
        <v>11.8</v>
      </c>
      <c r="P32" s="4">
        <f t="shared" si="10"/>
        <v>19.1</v>
      </c>
    </row>
    <row r="33" ht="15.75" customHeight="1">
      <c r="A33" s="4">
        <v>1973.0</v>
      </c>
      <c r="B33" s="4">
        <v>183.0</v>
      </c>
      <c r="C33" s="4">
        <v>14.8</v>
      </c>
      <c r="D33" s="4">
        <v>22.1</v>
      </c>
      <c r="E33" s="4">
        <f t="shared" si="1"/>
        <v>0</v>
      </c>
      <c r="F33" s="4">
        <f t="shared" si="2"/>
        <v>0</v>
      </c>
      <c r="G33" s="4">
        <f t="shared" si="3"/>
        <v>36.65</v>
      </c>
      <c r="H33" s="4">
        <f t="shared" si="4"/>
        <v>32.873</v>
      </c>
      <c r="I33" s="4" t="str">
        <f t="shared" si="5"/>
        <v> </v>
      </c>
      <c r="K33" s="4">
        <v>17.0</v>
      </c>
      <c r="L33" s="4">
        <f t="shared" si="6"/>
        <v>3</v>
      </c>
      <c r="M33" s="4">
        <f t="shared" si="7"/>
        <v>1</v>
      </c>
      <c r="N33" s="4">
        <f t="shared" si="8"/>
        <v>1.3566</v>
      </c>
      <c r="O33" s="4" t="str">
        <f t="shared" si="9"/>
        <v/>
      </c>
      <c r="P33" s="4">
        <f t="shared" si="10"/>
        <v>17</v>
      </c>
    </row>
    <row r="34" ht="15.75" customHeight="1">
      <c r="A34" s="4">
        <v>1973.0</v>
      </c>
      <c r="B34" s="4">
        <v>184.0</v>
      </c>
      <c r="C34" s="4">
        <v>16.0</v>
      </c>
      <c r="D34" s="4">
        <v>24.2</v>
      </c>
      <c r="E34" s="4">
        <f t="shared" si="1"/>
        <v>1</v>
      </c>
      <c r="F34" s="4">
        <f t="shared" si="2"/>
        <v>0</v>
      </c>
      <c r="G34" s="4">
        <f t="shared" si="3"/>
        <v>42.156</v>
      </c>
      <c r="H34" s="4">
        <f t="shared" si="4"/>
        <v>39.8155</v>
      </c>
      <c r="I34" s="4" t="str">
        <f t="shared" si="5"/>
        <v> </v>
      </c>
      <c r="J34" s="4">
        <v>1.5</v>
      </c>
      <c r="K34" s="4">
        <v>19.4</v>
      </c>
      <c r="L34" s="4">
        <f t="shared" si="6"/>
        <v>8</v>
      </c>
      <c r="M34" s="4">
        <f t="shared" si="7"/>
        <v>0</v>
      </c>
      <c r="N34" s="4">
        <f t="shared" si="8"/>
        <v>-5.4819</v>
      </c>
      <c r="O34" s="4">
        <f t="shared" si="9"/>
        <v>1.5</v>
      </c>
      <c r="P34" s="4">
        <f t="shared" si="10"/>
        <v>19.4</v>
      </c>
    </row>
    <row r="35" ht="15.75" customHeight="1">
      <c r="A35" s="4">
        <v>1973.0</v>
      </c>
      <c r="B35" s="4">
        <v>185.0</v>
      </c>
      <c r="C35" s="4">
        <v>14.1</v>
      </c>
      <c r="D35" s="4">
        <v>26.4</v>
      </c>
      <c r="E35" s="4">
        <f t="shared" si="1"/>
        <v>0</v>
      </c>
      <c r="F35" s="4">
        <f t="shared" si="2"/>
        <v>0</v>
      </c>
      <c r="G35" s="4">
        <f t="shared" si="3"/>
        <v>36.86</v>
      </c>
      <c r="H35" s="4">
        <f t="shared" si="4"/>
        <v>31.372</v>
      </c>
      <c r="I35" s="4" t="str">
        <f t="shared" si="5"/>
        <v> </v>
      </c>
      <c r="K35" s="4">
        <v>21.0</v>
      </c>
      <c r="L35" s="4">
        <f t="shared" si="6"/>
        <v>3</v>
      </c>
      <c r="M35" s="4">
        <f t="shared" si="7"/>
        <v>0</v>
      </c>
      <c r="N35" s="4">
        <f t="shared" si="8"/>
        <v>-8.6723</v>
      </c>
      <c r="O35" s="4" t="str">
        <f t="shared" si="9"/>
        <v/>
      </c>
      <c r="P35" s="4">
        <f t="shared" si="10"/>
        <v>21</v>
      </c>
    </row>
    <row r="36" ht="15.75" customHeight="1">
      <c r="A36" s="4">
        <v>1973.0</v>
      </c>
      <c r="B36" s="4">
        <v>186.0</v>
      </c>
      <c r="C36" s="4">
        <v>13.4</v>
      </c>
      <c r="D36" s="4">
        <v>27.6</v>
      </c>
      <c r="E36" s="4">
        <f t="shared" si="1"/>
        <v>0</v>
      </c>
      <c r="F36" s="4">
        <f t="shared" si="2"/>
        <v>0</v>
      </c>
      <c r="G36" s="4">
        <f t="shared" si="3"/>
        <v>32.295</v>
      </c>
      <c r="H36" s="4">
        <f t="shared" si="4"/>
        <v>28.556</v>
      </c>
      <c r="I36" s="4" t="str">
        <f t="shared" si="5"/>
        <v> </v>
      </c>
      <c r="K36" s="4">
        <v>21.4</v>
      </c>
      <c r="L36" s="4">
        <f t="shared" si="6"/>
        <v>3</v>
      </c>
      <c r="M36" s="4">
        <f t="shared" si="7"/>
        <v>0</v>
      </c>
      <c r="N36" s="4">
        <f t="shared" si="8"/>
        <v>-4.9991</v>
      </c>
      <c r="O36" s="4" t="str">
        <f t="shared" si="9"/>
        <v/>
      </c>
      <c r="P36" s="4">
        <f t="shared" si="10"/>
        <v>21.4</v>
      </c>
    </row>
    <row r="37" ht="15.75" customHeight="1">
      <c r="A37" s="4">
        <v>1973.0</v>
      </c>
      <c r="B37" s="4">
        <v>187.0</v>
      </c>
      <c r="C37" s="4">
        <v>14.9</v>
      </c>
      <c r="D37" s="4">
        <v>27.5</v>
      </c>
      <c r="E37" s="4">
        <f t="shared" si="1"/>
        <v>0</v>
      </c>
      <c r="F37" s="4">
        <f t="shared" si="2"/>
        <v>0</v>
      </c>
      <c r="G37" s="4">
        <f t="shared" si="3"/>
        <v>29.999</v>
      </c>
      <c r="H37" s="4">
        <f t="shared" si="4"/>
        <v>26.547</v>
      </c>
      <c r="I37" s="4" t="str">
        <f t="shared" si="5"/>
        <v> </v>
      </c>
      <c r="K37" s="4">
        <v>19.9</v>
      </c>
      <c r="L37" s="4">
        <f t="shared" si="6"/>
        <v>3</v>
      </c>
      <c r="M37" s="4">
        <f t="shared" si="7"/>
        <v>0</v>
      </c>
      <c r="N37" s="4">
        <f t="shared" si="8"/>
        <v>-2.1111</v>
      </c>
      <c r="O37" s="4" t="str">
        <f t="shared" si="9"/>
        <v/>
      </c>
      <c r="P37" s="4">
        <f t="shared" si="10"/>
        <v>19.9</v>
      </c>
    </row>
    <row r="38" ht="15.75" customHeight="1">
      <c r="A38" s="4">
        <v>1973.0</v>
      </c>
      <c r="B38" s="4">
        <v>188.0</v>
      </c>
      <c r="C38" s="4">
        <v>14.4</v>
      </c>
      <c r="D38" s="4">
        <v>28.1</v>
      </c>
      <c r="E38" s="4">
        <f t="shared" si="1"/>
        <v>1</v>
      </c>
      <c r="F38" s="4">
        <f t="shared" si="2"/>
        <v>0</v>
      </c>
      <c r="G38" s="4">
        <f t="shared" si="3"/>
        <v>31.664</v>
      </c>
      <c r="H38" s="4">
        <f t="shared" si="4"/>
        <v>29.924</v>
      </c>
      <c r="I38" s="4" t="str">
        <f t="shared" si="5"/>
        <v> </v>
      </c>
      <c r="J38" s="4">
        <v>42.6</v>
      </c>
      <c r="K38" s="4">
        <v>19.4</v>
      </c>
      <c r="L38" s="4">
        <f t="shared" si="6"/>
        <v>8</v>
      </c>
      <c r="M38" s="4">
        <f t="shared" si="7"/>
        <v>0</v>
      </c>
      <c r="N38" s="4">
        <f t="shared" si="8"/>
        <v>-7.3689</v>
      </c>
      <c r="O38" s="4">
        <f t="shared" si="9"/>
        <v>42.6</v>
      </c>
      <c r="P38" s="4">
        <f t="shared" si="10"/>
        <v>19.4</v>
      </c>
    </row>
    <row r="39" ht="15.75" customHeight="1">
      <c r="A39" s="4">
        <v>1973.0</v>
      </c>
      <c r="B39" s="4">
        <v>189.0</v>
      </c>
      <c r="C39" s="4">
        <v>10.2</v>
      </c>
      <c r="D39" s="4">
        <v>21.2</v>
      </c>
      <c r="E39" s="4">
        <f t="shared" si="1"/>
        <v>0</v>
      </c>
      <c r="F39" s="4">
        <f t="shared" si="2"/>
        <v>0</v>
      </c>
      <c r="G39" s="4">
        <f t="shared" si="3"/>
        <v>21.312</v>
      </c>
      <c r="H39" s="4">
        <f t="shared" si="4"/>
        <v>20.065</v>
      </c>
      <c r="I39" s="4" t="str">
        <f t="shared" si="5"/>
        <v> </v>
      </c>
      <c r="K39" s="4">
        <v>16.8</v>
      </c>
      <c r="L39" s="4">
        <f t="shared" si="6"/>
        <v>3</v>
      </c>
      <c r="M39" s="4">
        <f t="shared" si="7"/>
        <v>0</v>
      </c>
      <c r="N39" s="4">
        <f t="shared" si="8"/>
        <v>-8.1095</v>
      </c>
      <c r="O39" s="4" t="str">
        <f t="shared" si="9"/>
        <v/>
      </c>
      <c r="P39" s="4">
        <f t="shared" si="10"/>
        <v>16.8</v>
      </c>
    </row>
    <row r="40" ht="15.75" customHeight="1">
      <c r="A40" s="4">
        <v>1973.0</v>
      </c>
      <c r="B40" s="4">
        <v>190.0</v>
      </c>
      <c r="C40" s="4">
        <v>7.0</v>
      </c>
      <c r="D40" s="4">
        <v>16.5</v>
      </c>
      <c r="E40" s="4">
        <f t="shared" si="1"/>
        <v>0</v>
      </c>
      <c r="F40" s="4">
        <f t="shared" si="2"/>
        <v>0</v>
      </c>
      <c r="G40" s="4">
        <f t="shared" si="3"/>
        <v>25.745</v>
      </c>
      <c r="H40" s="4">
        <f t="shared" si="4"/>
        <v>23.687</v>
      </c>
      <c r="I40" s="4" t="str">
        <f t="shared" si="5"/>
        <v> </v>
      </c>
      <c r="K40" s="4">
        <v>12.4</v>
      </c>
      <c r="L40" s="4">
        <f t="shared" si="6"/>
        <v>3</v>
      </c>
      <c r="M40" s="4">
        <f t="shared" si="7"/>
        <v>0</v>
      </c>
      <c r="N40" s="4">
        <f t="shared" si="8"/>
        <v>-2.2993</v>
      </c>
      <c r="O40" s="4" t="str">
        <f t="shared" si="9"/>
        <v/>
      </c>
      <c r="P40" s="4">
        <f t="shared" si="10"/>
        <v>12.4</v>
      </c>
    </row>
    <row r="41" ht="15.75" customHeight="1">
      <c r="A41" s="4">
        <v>1973.0</v>
      </c>
      <c r="B41" s="4">
        <v>191.0</v>
      </c>
      <c r="C41" s="4">
        <v>7.0</v>
      </c>
      <c r="D41" s="4">
        <v>17.4</v>
      </c>
      <c r="E41" s="4">
        <f t="shared" si="1"/>
        <v>0</v>
      </c>
      <c r="F41" s="4">
        <f t="shared" si="2"/>
        <v>0</v>
      </c>
      <c r="G41" s="4">
        <f t="shared" si="3"/>
        <v>28.479</v>
      </c>
      <c r="H41" s="4">
        <f t="shared" si="4"/>
        <v>28.231</v>
      </c>
      <c r="I41" s="4" t="str">
        <f t="shared" si="5"/>
        <v> </v>
      </c>
      <c r="K41" s="4">
        <v>12.6</v>
      </c>
      <c r="L41" s="4">
        <f t="shared" si="6"/>
        <v>3</v>
      </c>
      <c r="M41" s="4">
        <f t="shared" si="7"/>
        <v>1</v>
      </c>
      <c r="N41" s="4">
        <f t="shared" si="8"/>
        <v>9.0512</v>
      </c>
      <c r="O41" s="4" t="str">
        <f t="shared" si="9"/>
        <v/>
      </c>
      <c r="P41" s="4">
        <f t="shared" si="10"/>
        <v>12.6</v>
      </c>
    </row>
    <row r="42" ht="15.75" customHeight="1">
      <c r="A42" s="4">
        <v>1973.0</v>
      </c>
      <c r="B42" s="4">
        <v>192.0</v>
      </c>
      <c r="C42" s="4">
        <v>8.6</v>
      </c>
      <c r="D42" s="4">
        <v>22.3</v>
      </c>
      <c r="E42" s="4">
        <f t="shared" si="1"/>
        <v>1</v>
      </c>
      <c r="F42" s="4">
        <f t="shared" si="2"/>
        <v>0</v>
      </c>
      <c r="G42" s="4">
        <f t="shared" si="3"/>
        <v>35.105</v>
      </c>
      <c r="H42" s="4">
        <f t="shared" si="4"/>
        <v>34.3455</v>
      </c>
      <c r="I42" s="4" t="str">
        <f t="shared" si="5"/>
        <v> </v>
      </c>
      <c r="J42" s="4">
        <v>2.4</v>
      </c>
      <c r="K42" s="4">
        <v>16.1</v>
      </c>
      <c r="L42" s="4">
        <f t="shared" si="6"/>
        <v>8</v>
      </c>
      <c r="M42" s="4">
        <f t="shared" si="7"/>
        <v>1</v>
      </c>
      <c r="N42" s="4">
        <f t="shared" si="8"/>
        <v>5.6975</v>
      </c>
      <c r="O42" s="4">
        <f t="shared" si="9"/>
        <v>2.4</v>
      </c>
      <c r="P42" s="4">
        <f t="shared" si="10"/>
        <v>16.1</v>
      </c>
    </row>
    <row r="43" ht="15.75" customHeight="1">
      <c r="A43" s="4">
        <v>1973.0</v>
      </c>
      <c r="B43" s="4">
        <v>193.0</v>
      </c>
      <c r="C43" s="4">
        <v>13.4</v>
      </c>
      <c r="D43" s="4">
        <v>18.3</v>
      </c>
      <c r="E43" s="4">
        <f t="shared" si="1"/>
        <v>1</v>
      </c>
      <c r="F43" s="4">
        <f t="shared" si="2"/>
        <v>0</v>
      </c>
      <c r="G43" s="4">
        <f t="shared" si="3"/>
        <v>35.135</v>
      </c>
      <c r="H43" s="4">
        <f t="shared" si="4"/>
        <v>33.809</v>
      </c>
      <c r="I43" s="4" t="str">
        <f t="shared" si="5"/>
        <v> </v>
      </c>
      <c r="J43" s="4">
        <v>8.3</v>
      </c>
      <c r="K43" s="4">
        <v>15.5</v>
      </c>
      <c r="L43" s="4">
        <f t="shared" si="6"/>
        <v>8</v>
      </c>
      <c r="M43" s="4">
        <f t="shared" si="7"/>
        <v>1</v>
      </c>
      <c r="N43" s="4">
        <f t="shared" si="8"/>
        <v>0.6057</v>
      </c>
      <c r="O43" s="4">
        <f t="shared" si="9"/>
        <v>8.3</v>
      </c>
      <c r="P43" s="4">
        <f t="shared" si="10"/>
        <v>15.5</v>
      </c>
    </row>
    <row r="44" ht="15.75" customHeight="1">
      <c r="A44" s="4">
        <v>1973.0</v>
      </c>
      <c r="B44" s="4">
        <v>194.0</v>
      </c>
      <c r="C44" s="4">
        <v>13.0</v>
      </c>
      <c r="D44" s="4">
        <v>26.6</v>
      </c>
      <c r="E44" s="4">
        <f t="shared" si="1"/>
        <v>0</v>
      </c>
      <c r="F44" s="4">
        <f t="shared" si="2"/>
        <v>0</v>
      </c>
      <c r="G44" s="4">
        <f t="shared" si="3"/>
        <v>38.723</v>
      </c>
      <c r="H44" s="4">
        <f t="shared" si="4"/>
        <v>34.446</v>
      </c>
      <c r="I44" s="4" t="str">
        <f t="shared" si="5"/>
        <v> </v>
      </c>
      <c r="K44" s="4">
        <v>19.8</v>
      </c>
      <c r="L44" s="4">
        <f t="shared" si="6"/>
        <v>3</v>
      </c>
      <c r="M44" s="4">
        <f t="shared" si="7"/>
        <v>0</v>
      </c>
      <c r="N44" s="4">
        <f t="shared" si="8"/>
        <v>-1.5195</v>
      </c>
      <c r="O44" s="4" t="str">
        <f t="shared" si="9"/>
        <v/>
      </c>
      <c r="P44" s="4">
        <f t="shared" si="10"/>
        <v>19.8</v>
      </c>
    </row>
    <row r="45" ht="15.75" customHeight="1">
      <c r="A45" s="4">
        <v>1973.0</v>
      </c>
      <c r="B45" s="4">
        <v>195.0</v>
      </c>
      <c r="C45" s="4">
        <v>13.3</v>
      </c>
      <c r="D45" s="4">
        <v>26.1</v>
      </c>
      <c r="E45" s="4">
        <f t="shared" si="1"/>
        <v>1</v>
      </c>
      <c r="F45" s="4">
        <f t="shared" si="2"/>
        <v>0</v>
      </c>
      <c r="G45" s="4">
        <f t="shared" si="3"/>
        <v>38.029</v>
      </c>
      <c r="H45" s="4">
        <f t="shared" si="4"/>
        <v>36.8915</v>
      </c>
      <c r="I45" s="4" t="str">
        <f t="shared" si="5"/>
        <v> </v>
      </c>
      <c r="J45" s="4">
        <v>1.2</v>
      </c>
      <c r="K45" s="4">
        <v>19.4</v>
      </c>
      <c r="L45" s="4">
        <f t="shared" si="6"/>
        <v>8</v>
      </c>
      <c r="M45" s="4">
        <f t="shared" si="7"/>
        <v>0</v>
      </c>
      <c r="N45" s="4">
        <f t="shared" si="8"/>
        <v>-6.3866</v>
      </c>
      <c r="O45" s="4">
        <f t="shared" si="9"/>
        <v>1.2</v>
      </c>
      <c r="P45" s="4">
        <f t="shared" si="10"/>
        <v>19.4</v>
      </c>
    </row>
    <row r="46" ht="15.75" customHeight="1">
      <c r="A46" s="4">
        <v>1973.0</v>
      </c>
      <c r="B46" s="4">
        <v>196.0</v>
      </c>
      <c r="C46" s="4">
        <v>10.6</v>
      </c>
      <c r="D46" s="4">
        <v>24.7</v>
      </c>
      <c r="E46" s="4">
        <f t="shared" si="1"/>
        <v>0</v>
      </c>
      <c r="F46" s="4">
        <f t="shared" si="2"/>
        <v>0</v>
      </c>
      <c r="G46" s="4">
        <f t="shared" si="3"/>
        <v>31.004</v>
      </c>
      <c r="H46" s="4">
        <f t="shared" si="4"/>
        <v>26.6245</v>
      </c>
      <c r="I46" s="4" t="str">
        <f t="shared" si="5"/>
        <v> </v>
      </c>
      <c r="K46" s="4">
        <v>18.3</v>
      </c>
      <c r="L46" s="4">
        <f t="shared" si="6"/>
        <v>3</v>
      </c>
      <c r="M46" s="4">
        <f t="shared" si="7"/>
        <v>0</v>
      </c>
      <c r="N46" s="4">
        <f t="shared" si="8"/>
        <v>-9.6296</v>
      </c>
      <c r="O46" s="4" t="str">
        <f t="shared" si="9"/>
        <v/>
      </c>
      <c r="P46" s="4">
        <f t="shared" si="10"/>
        <v>18.3</v>
      </c>
    </row>
    <row r="47" ht="15.75" customHeight="1">
      <c r="A47" s="4">
        <v>1973.0</v>
      </c>
      <c r="B47" s="4">
        <v>197.0</v>
      </c>
      <c r="C47" s="4">
        <v>10.8</v>
      </c>
      <c r="D47" s="4">
        <v>25.7</v>
      </c>
      <c r="E47" s="4">
        <f t="shared" si="1"/>
        <v>0</v>
      </c>
      <c r="F47" s="4">
        <f t="shared" si="2"/>
        <v>0</v>
      </c>
      <c r="G47" s="4">
        <f t="shared" si="3"/>
        <v>27.577</v>
      </c>
      <c r="H47" s="4">
        <f t="shared" si="4"/>
        <v>25.99</v>
      </c>
      <c r="I47" s="4" t="str">
        <f t="shared" si="5"/>
        <v> </v>
      </c>
      <c r="K47" s="4">
        <v>19.2</v>
      </c>
      <c r="L47" s="4">
        <f t="shared" si="6"/>
        <v>3</v>
      </c>
      <c r="M47" s="4">
        <f t="shared" si="7"/>
        <v>0</v>
      </c>
      <c r="N47" s="4">
        <f t="shared" si="8"/>
        <v>-2.1393</v>
      </c>
      <c r="O47" s="4" t="str">
        <f t="shared" si="9"/>
        <v/>
      </c>
      <c r="P47" s="4">
        <f t="shared" si="10"/>
        <v>19.2</v>
      </c>
    </row>
    <row r="48" ht="15.75" customHeight="1">
      <c r="A48" s="4">
        <v>1973.0</v>
      </c>
      <c r="B48" s="4">
        <v>198.0</v>
      </c>
      <c r="C48" s="4">
        <v>11.3</v>
      </c>
      <c r="D48" s="4">
        <v>26.3</v>
      </c>
      <c r="E48" s="4">
        <f t="shared" si="1"/>
        <v>0</v>
      </c>
      <c r="F48" s="4">
        <f t="shared" si="2"/>
        <v>0</v>
      </c>
      <c r="G48" s="4">
        <f t="shared" si="3"/>
        <v>26.06</v>
      </c>
      <c r="H48" s="4">
        <f t="shared" si="4"/>
        <v>23.3165</v>
      </c>
      <c r="I48" s="4" t="str">
        <f t="shared" si="5"/>
        <v> </v>
      </c>
      <c r="K48" s="4">
        <v>21.1</v>
      </c>
      <c r="L48" s="4">
        <f t="shared" si="6"/>
        <v>3</v>
      </c>
      <c r="M48" s="4">
        <f t="shared" si="7"/>
        <v>1</v>
      </c>
      <c r="N48" s="4">
        <f t="shared" si="8"/>
        <v>1.9198</v>
      </c>
      <c r="O48" s="4" t="str">
        <f t="shared" si="9"/>
        <v/>
      </c>
      <c r="P48" s="4">
        <f t="shared" si="10"/>
        <v>21.1</v>
      </c>
    </row>
    <row r="49" ht="15.75" customHeight="1">
      <c r="A49" s="4">
        <v>1973.0</v>
      </c>
      <c r="B49" s="4">
        <v>199.0</v>
      </c>
      <c r="C49" s="4">
        <v>16.1</v>
      </c>
      <c r="D49" s="4">
        <v>23.5</v>
      </c>
      <c r="E49" s="4">
        <f t="shared" si="1"/>
        <v>1</v>
      </c>
      <c r="F49" s="4">
        <f t="shared" si="2"/>
        <v>0</v>
      </c>
      <c r="G49" s="4">
        <f t="shared" si="3"/>
        <v>25.743</v>
      </c>
      <c r="H49" s="4">
        <f t="shared" si="4"/>
        <v>23.661</v>
      </c>
      <c r="I49" s="4" t="str">
        <f t="shared" si="5"/>
        <v> </v>
      </c>
      <c r="J49" s="4">
        <v>10.5</v>
      </c>
      <c r="K49" s="4">
        <v>19.6</v>
      </c>
      <c r="L49" s="4">
        <f t="shared" si="6"/>
        <v>8</v>
      </c>
      <c r="M49" s="4">
        <f t="shared" si="7"/>
        <v>1</v>
      </c>
      <c r="N49" s="4">
        <f t="shared" si="8"/>
        <v>2.7827</v>
      </c>
      <c r="O49" s="4">
        <f t="shared" si="9"/>
        <v>10.5</v>
      </c>
      <c r="P49" s="4">
        <f t="shared" si="10"/>
        <v>19.6</v>
      </c>
    </row>
    <row r="50" ht="15.75" customHeight="1">
      <c r="A50" s="4">
        <v>1973.0</v>
      </c>
      <c r="B50" s="4">
        <v>200.0</v>
      </c>
      <c r="C50" s="4">
        <v>14.8</v>
      </c>
      <c r="D50" s="4">
        <v>18.6</v>
      </c>
      <c r="E50" s="4">
        <f t="shared" si="1"/>
        <v>0</v>
      </c>
      <c r="F50" s="4">
        <f t="shared" si="2"/>
        <v>0</v>
      </c>
      <c r="G50" s="4">
        <f t="shared" si="3"/>
        <v>20.931</v>
      </c>
      <c r="H50" s="4">
        <f t="shared" si="4"/>
        <v>17.745</v>
      </c>
      <c r="I50" s="4" t="str">
        <f t="shared" si="5"/>
        <v> </v>
      </c>
      <c r="K50" s="4">
        <v>17.0</v>
      </c>
      <c r="L50" s="4">
        <f t="shared" si="6"/>
        <v>3</v>
      </c>
      <c r="M50" s="4">
        <f t="shared" si="7"/>
        <v>1</v>
      </c>
      <c r="N50" s="4">
        <f t="shared" si="8"/>
        <v>5.2009</v>
      </c>
      <c r="O50" s="4" t="str">
        <f t="shared" si="9"/>
        <v/>
      </c>
      <c r="P50" s="4">
        <f t="shared" si="10"/>
        <v>17</v>
      </c>
    </row>
    <row r="51" ht="15.75" customHeight="1">
      <c r="A51" s="4">
        <v>1973.0</v>
      </c>
      <c r="B51" s="4">
        <v>201.0</v>
      </c>
      <c r="C51" s="4">
        <v>14.7</v>
      </c>
      <c r="D51" s="4">
        <v>16.1</v>
      </c>
      <c r="E51" s="4">
        <f t="shared" si="1"/>
        <v>1</v>
      </c>
      <c r="F51" s="4">
        <f t="shared" si="2"/>
        <v>0</v>
      </c>
      <c r="G51" s="4">
        <f t="shared" si="3"/>
        <v>18.706</v>
      </c>
      <c r="H51" s="4">
        <f t="shared" si="4"/>
        <v>16.93</v>
      </c>
      <c r="I51" s="4" t="str">
        <f t="shared" si="5"/>
        <v> </v>
      </c>
      <c r="J51" s="4">
        <v>1.1</v>
      </c>
      <c r="K51" s="4">
        <v>15.3</v>
      </c>
      <c r="L51" s="4">
        <f t="shared" si="6"/>
        <v>8</v>
      </c>
      <c r="M51" s="4">
        <f t="shared" si="7"/>
        <v>0</v>
      </c>
      <c r="N51" s="4">
        <f t="shared" si="8"/>
        <v>-1.3991</v>
      </c>
      <c r="O51" s="4">
        <f t="shared" si="9"/>
        <v>1.1</v>
      </c>
      <c r="P51" s="4">
        <f t="shared" si="10"/>
        <v>15.3</v>
      </c>
    </row>
    <row r="52" ht="15.75" customHeight="1">
      <c r="A52" s="4">
        <v>1973.0</v>
      </c>
      <c r="B52" s="4">
        <v>202.0</v>
      </c>
      <c r="C52" s="4">
        <v>14.4</v>
      </c>
      <c r="D52" s="4">
        <v>16.9</v>
      </c>
      <c r="E52" s="4">
        <f t="shared" si="1"/>
        <v>0</v>
      </c>
      <c r="F52" s="4">
        <f t="shared" si="2"/>
        <v>0</v>
      </c>
      <c r="G52" s="4">
        <f t="shared" si="3"/>
        <v>21.72</v>
      </c>
      <c r="H52" s="4">
        <f t="shared" si="4"/>
        <v>17.3915</v>
      </c>
      <c r="I52" s="4" t="str">
        <f t="shared" si="5"/>
        <v> </v>
      </c>
      <c r="K52" s="4">
        <v>15.3</v>
      </c>
      <c r="L52" s="4">
        <f t="shared" si="6"/>
        <v>3</v>
      </c>
      <c r="M52" s="4">
        <f t="shared" si="7"/>
        <v>0</v>
      </c>
      <c r="N52" s="4">
        <f t="shared" si="8"/>
        <v>-5.9635</v>
      </c>
      <c r="O52" s="4" t="str">
        <f t="shared" si="9"/>
        <v/>
      </c>
      <c r="P52" s="4">
        <f t="shared" si="10"/>
        <v>15.3</v>
      </c>
    </row>
    <row r="53" ht="15.75" customHeight="1">
      <c r="A53" s="4">
        <v>1973.0</v>
      </c>
      <c r="B53" s="4">
        <v>203.0</v>
      </c>
      <c r="C53" s="4">
        <v>12.8</v>
      </c>
      <c r="D53" s="4">
        <v>19.6</v>
      </c>
      <c r="E53" s="4">
        <f t="shared" si="1"/>
        <v>0</v>
      </c>
      <c r="F53" s="4">
        <f t="shared" si="2"/>
        <v>0</v>
      </c>
      <c r="G53" s="4">
        <f t="shared" si="3"/>
        <v>23.237</v>
      </c>
      <c r="H53" s="4">
        <f t="shared" si="4"/>
        <v>17.9745</v>
      </c>
      <c r="I53" s="4" t="str">
        <f t="shared" si="5"/>
        <v> </v>
      </c>
      <c r="K53" s="4">
        <v>16.1</v>
      </c>
      <c r="L53" s="4">
        <f t="shared" si="6"/>
        <v>3</v>
      </c>
      <c r="M53" s="4">
        <f t="shared" si="7"/>
        <v>0</v>
      </c>
      <c r="N53" s="4">
        <f t="shared" si="8"/>
        <v>-5.8784</v>
      </c>
      <c r="O53" s="4" t="str">
        <f t="shared" si="9"/>
        <v/>
      </c>
      <c r="P53" s="4">
        <f t="shared" si="10"/>
        <v>16.1</v>
      </c>
    </row>
    <row r="54" ht="15.75" customHeight="1">
      <c r="A54" s="4">
        <v>1973.0</v>
      </c>
      <c r="B54" s="4">
        <v>204.0</v>
      </c>
      <c r="C54" s="4">
        <v>12.4</v>
      </c>
      <c r="D54" s="4">
        <v>22.5</v>
      </c>
      <c r="E54" s="4">
        <f t="shared" si="1"/>
        <v>0</v>
      </c>
      <c r="F54" s="4">
        <f t="shared" si="2"/>
        <v>0</v>
      </c>
      <c r="G54" s="4">
        <f t="shared" si="3"/>
        <v>26.708</v>
      </c>
      <c r="H54" s="4">
        <f t="shared" si="4"/>
        <v>22.3825</v>
      </c>
      <c r="I54" s="4" t="str">
        <f t="shared" si="5"/>
        <v> </v>
      </c>
      <c r="K54" s="4">
        <v>18.0</v>
      </c>
      <c r="L54" s="4">
        <f t="shared" si="6"/>
        <v>3</v>
      </c>
      <c r="M54" s="4">
        <f t="shared" si="7"/>
        <v>0</v>
      </c>
      <c r="N54" s="4">
        <f t="shared" si="8"/>
        <v>-7.0116</v>
      </c>
      <c r="O54" s="4" t="str">
        <f t="shared" si="9"/>
        <v/>
      </c>
      <c r="P54" s="4">
        <f t="shared" si="10"/>
        <v>18</v>
      </c>
    </row>
    <row r="55" ht="15.75" customHeight="1">
      <c r="A55" s="4">
        <v>1973.0</v>
      </c>
      <c r="B55" s="4">
        <v>205.0</v>
      </c>
      <c r="C55" s="4">
        <v>13.3</v>
      </c>
      <c r="D55" s="4">
        <v>17.5</v>
      </c>
      <c r="E55" s="4">
        <f t="shared" si="1"/>
        <v>0</v>
      </c>
      <c r="F55" s="4">
        <f t="shared" si="2"/>
        <v>0</v>
      </c>
      <c r="G55" s="4">
        <f t="shared" si="3"/>
        <v>25.963</v>
      </c>
      <c r="H55" s="4">
        <f t="shared" si="4"/>
        <v>20.801</v>
      </c>
      <c r="I55" s="4" t="str">
        <f t="shared" si="5"/>
        <v> </v>
      </c>
      <c r="K55" s="4">
        <v>15.0</v>
      </c>
      <c r="L55" s="4">
        <f t="shared" si="6"/>
        <v>3</v>
      </c>
      <c r="M55" s="4">
        <f t="shared" si="7"/>
        <v>0</v>
      </c>
      <c r="N55" s="4">
        <f t="shared" si="8"/>
        <v>-7.516</v>
      </c>
      <c r="O55" s="4" t="str">
        <f t="shared" si="9"/>
        <v/>
      </c>
      <c r="P55" s="4">
        <f t="shared" si="10"/>
        <v>15</v>
      </c>
    </row>
    <row r="56" ht="15.75" customHeight="1">
      <c r="A56" s="4">
        <v>1973.0</v>
      </c>
      <c r="B56" s="4">
        <v>206.0</v>
      </c>
      <c r="C56" s="4">
        <v>12.3</v>
      </c>
      <c r="D56" s="4">
        <v>23.2</v>
      </c>
      <c r="E56" s="4">
        <f t="shared" si="1"/>
        <v>0</v>
      </c>
      <c r="F56" s="4">
        <f t="shared" si="2"/>
        <v>0</v>
      </c>
      <c r="G56" s="4">
        <f t="shared" si="3"/>
        <v>26.571</v>
      </c>
      <c r="H56" s="4">
        <f t="shared" si="4"/>
        <v>21.236</v>
      </c>
      <c r="I56" s="4" t="str">
        <f t="shared" si="5"/>
        <v> </v>
      </c>
      <c r="K56" s="4">
        <v>17.7</v>
      </c>
      <c r="L56" s="4">
        <f t="shared" si="6"/>
        <v>3</v>
      </c>
      <c r="M56" s="4">
        <f t="shared" si="7"/>
        <v>0</v>
      </c>
      <c r="N56" s="4">
        <f t="shared" si="8"/>
        <v>-6.4166</v>
      </c>
      <c r="O56" s="4" t="str">
        <f t="shared" si="9"/>
        <v/>
      </c>
      <c r="P56" s="4">
        <f t="shared" si="10"/>
        <v>17.7</v>
      </c>
    </row>
    <row r="57" ht="15.75" customHeight="1">
      <c r="A57" s="4">
        <v>1973.0</v>
      </c>
      <c r="B57" s="4">
        <v>207.0</v>
      </c>
      <c r="C57" s="4">
        <v>11.1</v>
      </c>
      <c r="D57" s="4">
        <v>22.5</v>
      </c>
      <c r="E57" s="4">
        <f t="shared" si="1"/>
        <v>0</v>
      </c>
      <c r="F57" s="4">
        <f t="shared" si="2"/>
        <v>0</v>
      </c>
      <c r="G57" s="4">
        <f t="shared" si="3"/>
        <v>20.739</v>
      </c>
      <c r="H57" s="4">
        <f t="shared" si="4"/>
        <v>16.899</v>
      </c>
      <c r="I57" s="4" t="str">
        <f t="shared" si="5"/>
        <v> </v>
      </c>
      <c r="K57" s="4">
        <v>18.2</v>
      </c>
      <c r="L57" s="4">
        <f t="shared" si="6"/>
        <v>3</v>
      </c>
      <c r="M57" s="4">
        <f t="shared" si="7"/>
        <v>0</v>
      </c>
      <c r="N57" s="4">
        <f t="shared" si="8"/>
        <v>-8.6649</v>
      </c>
      <c r="O57" s="4" t="str">
        <f t="shared" si="9"/>
        <v/>
      </c>
      <c r="P57" s="4">
        <f t="shared" si="10"/>
        <v>18.2</v>
      </c>
    </row>
    <row r="58" ht="15.75" customHeight="1">
      <c r="A58" s="4">
        <v>1973.0</v>
      </c>
      <c r="B58" s="4">
        <v>208.0</v>
      </c>
      <c r="C58" s="4">
        <v>14.6</v>
      </c>
      <c r="D58" s="4">
        <v>24.2</v>
      </c>
      <c r="E58" s="4">
        <f t="shared" si="1"/>
        <v>0</v>
      </c>
      <c r="F58" s="4">
        <f t="shared" si="2"/>
        <v>0</v>
      </c>
      <c r="G58" s="4">
        <f t="shared" si="3"/>
        <v>22.42</v>
      </c>
      <c r="H58" s="4">
        <f t="shared" si="4"/>
        <v>18.2395</v>
      </c>
      <c r="I58" s="4" t="str">
        <f t="shared" si="5"/>
        <v> </v>
      </c>
      <c r="K58" s="4">
        <v>19.3</v>
      </c>
      <c r="L58" s="4">
        <f t="shared" si="6"/>
        <v>3</v>
      </c>
      <c r="M58" s="4">
        <f t="shared" si="7"/>
        <v>0</v>
      </c>
      <c r="N58" s="4">
        <f t="shared" si="8"/>
        <v>-10.7001</v>
      </c>
      <c r="O58" s="4" t="str">
        <f t="shared" si="9"/>
        <v/>
      </c>
      <c r="P58" s="4">
        <f t="shared" si="10"/>
        <v>19.3</v>
      </c>
    </row>
    <row r="59" ht="15.75" customHeight="1">
      <c r="A59" s="4">
        <v>1973.0</v>
      </c>
      <c r="B59" s="4">
        <v>209.0</v>
      </c>
      <c r="C59" s="4">
        <v>12.2</v>
      </c>
      <c r="D59" s="4">
        <v>23.9</v>
      </c>
      <c r="E59" s="4">
        <f t="shared" si="1"/>
        <v>0</v>
      </c>
      <c r="F59" s="4">
        <f t="shared" si="2"/>
        <v>0</v>
      </c>
      <c r="G59" s="4">
        <f t="shared" si="3"/>
        <v>24.051</v>
      </c>
      <c r="H59" s="4">
        <f t="shared" si="4"/>
        <v>18.5585</v>
      </c>
      <c r="I59" s="4" t="str">
        <f t="shared" si="5"/>
        <v> </v>
      </c>
      <c r="K59" s="4">
        <v>18.5</v>
      </c>
      <c r="L59" s="4">
        <f t="shared" si="6"/>
        <v>3</v>
      </c>
      <c r="M59" s="4">
        <f t="shared" si="7"/>
        <v>0</v>
      </c>
      <c r="N59" s="4">
        <f t="shared" si="8"/>
        <v>-9.0186</v>
      </c>
      <c r="O59" s="4" t="str">
        <f t="shared" si="9"/>
        <v/>
      </c>
      <c r="P59" s="4">
        <f t="shared" si="10"/>
        <v>18.5</v>
      </c>
    </row>
    <row r="60" ht="15.75" customHeight="1">
      <c r="A60" s="4">
        <v>1973.0</v>
      </c>
      <c r="B60" s="4">
        <v>210.0</v>
      </c>
      <c r="C60" s="4">
        <v>8.0</v>
      </c>
      <c r="D60" s="4">
        <v>19.8</v>
      </c>
      <c r="E60" s="4">
        <f t="shared" si="1"/>
        <v>0</v>
      </c>
      <c r="F60" s="4">
        <f t="shared" si="2"/>
        <v>0</v>
      </c>
      <c r="G60" s="4">
        <f t="shared" si="3"/>
        <v>19.675</v>
      </c>
      <c r="H60" s="4">
        <f t="shared" si="4"/>
        <v>15.536</v>
      </c>
      <c r="I60" s="4" t="str">
        <f t="shared" si="5"/>
        <v> </v>
      </c>
      <c r="K60" s="4">
        <v>14.6</v>
      </c>
      <c r="L60" s="4">
        <f t="shared" si="6"/>
        <v>3</v>
      </c>
      <c r="M60" s="4">
        <f t="shared" si="7"/>
        <v>0</v>
      </c>
      <c r="N60" s="4">
        <f t="shared" si="8"/>
        <v>-6.1927</v>
      </c>
      <c r="O60" s="4" t="str">
        <f t="shared" si="9"/>
        <v/>
      </c>
      <c r="P60" s="4">
        <f t="shared" si="10"/>
        <v>14.6</v>
      </c>
    </row>
    <row r="61" ht="15.75" customHeight="1">
      <c r="A61" s="4">
        <v>1973.0</v>
      </c>
      <c r="B61" s="4">
        <v>211.0</v>
      </c>
      <c r="C61" s="4">
        <v>7.1</v>
      </c>
      <c r="D61" s="4">
        <v>14.0</v>
      </c>
      <c r="E61" s="4">
        <f t="shared" si="1"/>
        <v>0</v>
      </c>
      <c r="F61" s="4">
        <f t="shared" si="2"/>
        <v>0</v>
      </c>
      <c r="G61" s="4">
        <f t="shared" si="3"/>
        <v>19.202</v>
      </c>
      <c r="H61" s="4">
        <f t="shared" si="4"/>
        <v>16.0235</v>
      </c>
      <c r="I61" s="4" t="str">
        <f t="shared" si="5"/>
        <v> </v>
      </c>
      <c r="K61" s="4">
        <v>10.3</v>
      </c>
      <c r="L61" s="4">
        <f t="shared" si="6"/>
        <v>3</v>
      </c>
      <c r="M61" s="4">
        <f t="shared" si="7"/>
        <v>0</v>
      </c>
      <c r="N61" s="4">
        <f t="shared" si="8"/>
        <v>-6.7708</v>
      </c>
      <c r="O61" s="4" t="str">
        <f t="shared" si="9"/>
        <v/>
      </c>
      <c r="P61" s="4">
        <f t="shared" si="10"/>
        <v>10.3</v>
      </c>
    </row>
    <row r="62" ht="15.75" customHeight="1">
      <c r="A62" s="4">
        <v>1973.0</v>
      </c>
      <c r="B62" s="4">
        <v>212.0</v>
      </c>
      <c r="C62" s="4">
        <v>8.7</v>
      </c>
      <c r="D62" s="4">
        <v>16.6</v>
      </c>
      <c r="E62" s="4">
        <f t="shared" si="1"/>
        <v>0</v>
      </c>
      <c r="F62" s="4">
        <f t="shared" si="2"/>
        <v>0</v>
      </c>
      <c r="G62" s="4">
        <f t="shared" si="3"/>
        <v>25.163</v>
      </c>
      <c r="H62" s="4">
        <f t="shared" si="4"/>
        <v>20.599</v>
      </c>
      <c r="I62" s="4" t="str">
        <f t="shared" si="5"/>
        <v> </v>
      </c>
      <c r="K62" s="4">
        <v>12.8</v>
      </c>
      <c r="L62" s="4">
        <f t="shared" si="6"/>
        <v>3</v>
      </c>
      <c r="M62" s="4">
        <f t="shared" si="7"/>
        <v>0</v>
      </c>
      <c r="N62" s="4">
        <f t="shared" si="8"/>
        <v>-6.7645</v>
      </c>
      <c r="O62" s="4" t="str">
        <f t="shared" si="9"/>
        <v/>
      </c>
      <c r="P62" s="4">
        <f t="shared" si="10"/>
        <v>12.8</v>
      </c>
    </row>
    <row r="63" ht="15.75" customHeight="1">
      <c r="A63" s="4">
        <v>1973.0</v>
      </c>
      <c r="B63" s="4">
        <v>213.0</v>
      </c>
      <c r="C63" s="4">
        <v>8.4</v>
      </c>
      <c r="D63" s="4">
        <v>23.9</v>
      </c>
      <c r="E63" s="4">
        <f t="shared" si="1"/>
        <v>0</v>
      </c>
      <c r="F63" s="4">
        <f t="shared" si="2"/>
        <v>0</v>
      </c>
      <c r="G63" s="4">
        <f t="shared" si="3"/>
        <v>30.175</v>
      </c>
      <c r="H63" s="4">
        <f t="shared" si="4"/>
        <v>24.881</v>
      </c>
      <c r="I63" s="4" t="str">
        <f t="shared" si="5"/>
        <v> </v>
      </c>
      <c r="K63" s="4">
        <v>16.8</v>
      </c>
      <c r="L63" s="4">
        <f t="shared" si="6"/>
        <v>3</v>
      </c>
      <c r="M63" s="4">
        <f t="shared" si="7"/>
        <v>0</v>
      </c>
      <c r="N63" s="4">
        <f t="shared" si="8"/>
        <v>-7.5353</v>
      </c>
      <c r="O63" s="4" t="str">
        <f t="shared" si="9"/>
        <v/>
      </c>
      <c r="P63" s="4">
        <f t="shared" si="10"/>
        <v>16.8</v>
      </c>
    </row>
    <row r="64" ht="15.75" customHeight="1">
      <c r="A64" s="4">
        <v>1973.0</v>
      </c>
      <c r="B64" s="4">
        <v>214.0</v>
      </c>
      <c r="C64" s="4">
        <v>11.3</v>
      </c>
      <c r="D64" s="4">
        <v>23.2</v>
      </c>
      <c r="E64" s="4">
        <f t="shared" si="1"/>
        <v>0</v>
      </c>
      <c r="F64" s="4">
        <f t="shared" si="2"/>
        <v>0</v>
      </c>
      <c r="G64" s="4">
        <f t="shared" si="3"/>
        <v>32.72</v>
      </c>
      <c r="H64" s="4">
        <f t="shared" si="4"/>
        <v>27.842</v>
      </c>
      <c r="I64" s="4" t="str">
        <f t="shared" si="5"/>
        <v> </v>
      </c>
      <c r="K64" s="4">
        <v>17.2</v>
      </c>
      <c r="L64" s="4">
        <f t="shared" si="6"/>
        <v>3</v>
      </c>
      <c r="M64" s="4">
        <f t="shared" si="7"/>
        <v>0</v>
      </c>
      <c r="N64" s="4">
        <f t="shared" si="8"/>
        <v>-8.5421</v>
      </c>
      <c r="O64" s="4" t="str">
        <f t="shared" si="9"/>
        <v/>
      </c>
      <c r="P64" s="4">
        <f t="shared" si="10"/>
        <v>17.2</v>
      </c>
    </row>
    <row r="65" ht="15.75" customHeight="1">
      <c r="A65" s="4">
        <v>1973.0</v>
      </c>
      <c r="B65" s="4">
        <v>215.0</v>
      </c>
      <c r="C65" s="4">
        <v>13.2</v>
      </c>
      <c r="D65" s="4">
        <v>23.4</v>
      </c>
      <c r="E65" s="4">
        <f t="shared" si="1"/>
        <v>0</v>
      </c>
      <c r="F65" s="4">
        <f t="shared" si="2"/>
        <v>0</v>
      </c>
      <c r="G65" s="4">
        <f t="shared" si="3"/>
        <v>34.221</v>
      </c>
      <c r="H65" s="4">
        <f t="shared" si="4"/>
        <v>28.607</v>
      </c>
      <c r="I65" s="4" t="str">
        <f t="shared" si="5"/>
        <v> </v>
      </c>
      <c r="K65" s="4">
        <v>18.2</v>
      </c>
      <c r="L65" s="4">
        <f t="shared" si="6"/>
        <v>3</v>
      </c>
      <c r="M65" s="4">
        <f t="shared" si="7"/>
        <v>0</v>
      </c>
      <c r="N65" s="4">
        <f t="shared" si="8"/>
        <v>-9.07</v>
      </c>
      <c r="O65" s="4" t="str">
        <f t="shared" si="9"/>
        <v/>
      </c>
      <c r="P65" s="4">
        <f t="shared" si="10"/>
        <v>18.2</v>
      </c>
    </row>
    <row r="66" ht="15.75" customHeight="1">
      <c r="A66" s="4">
        <v>1973.0</v>
      </c>
      <c r="B66" s="4">
        <v>216.0</v>
      </c>
      <c r="C66" s="4">
        <v>12.2</v>
      </c>
      <c r="D66" s="4">
        <v>24.9</v>
      </c>
      <c r="E66" s="4">
        <f t="shared" si="1"/>
        <v>0</v>
      </c>
      <c r="F66" s="4">
        <f t="shared" si="2"/>
        <v>0</v>
      </c>
      <c r="G66" s="4">
        <f t="shared" si="3"/>
        <v>36.75</v>
      </c>
      <c r="H66" s="4">
        <f t="shared" si="4"/>
        <v>32.87</v>
      </c>
      <c r="I66" s="4" t="str">
        <f t="shared" si="5"/>
        <v> </v>
      </c>
      <c r="K66" s="4">
        <v>18.9</v>
      </c>
      <c r="L66" s="4">
        <f t="shared" si="6"/>
        <v>3</v>
      </c>
      <c r="M66" s="4">
        <f t="shared" si="7"/>
        <v>0</v>
      </c>
      <c r="N66" s="4">
        <f t="shared" si="8"/>
        <v>-7.5238</v>
      </c>
      <c r="O66" s="4" t="str">
        <f t="shared" si="9"/>
        <v/>
      </c>
      <c r="P66" s="4">
        <f t="shared" si="10"/>
        <v>18.9</v>
      </c>
    </row>
    <row r="67" ht="15.75" customHeight="1">
      <c r="A67" s="4">
        <v>1973.0</v>
      </c>
      <c r="B67" s="4">
        <v>217.0</v>
      </c>
      <c r="C67" s="4">
        <v>11.6</v>
      </c>
      <c r="D67" s="4">
        <v>24.9</v>
      </c>
      <c r="E67" s="4">
        <f t="shared" si="1"/>
        <v>0</v>
      </c>
      <c r="F67" s="4">
        <f t="shared" si="2"/>
        <v>0</v>
      </c>
      <c r="G67" s="4">
        <f t="shared" si="3"/>
        <v>32.986</v>
      </c>
      <c r="H67" s="4">
        <f t="shared" si="4"/>
        <v>29.842</v>
      </c>
      <c r="I67" s="4" t="str">
        <f t="shared" si="5"/>
        <v> </v>
      </c>
      <c r="K67" s="4">
        <v>19.1</v>
      </c>
      <c r="L67" s="4">
        <f t="shared" si="6"/>
        <v>3</v>
      </c>
      <c r="M67" s="4">
        <f t="shared" si="7"/>
        <v>0</v>
      </c>
      <c r="N67" s="4">
        <f t="shared" si="8"/>
        <v>-7.834</v>
      </c>
      <c r="O67" s="4" t="str">
        <f t="shared" si="9"/>
        <v/>
      </c>
      <c r="P67" s="4">
        <f t="shared" si="10"/>
        <v>19.1</v>
      </c>
    </row>
    <row r="68" ht="15.75" customHeight="1">
      <c r="A68" s="4">
        <v>1973.0</v>
      </c>
      <c r="B68" s="4">
        <v>218.0</v>
      </c>
      <c r="C68" s="4">
        <v>14.8</v>
      </c>
      <c r="D68" s="4">
        <v>26.9</v>
      </c>
      <c r="E68" s="4">
        <f t="shared" si="1"/>
        <v>0</v>
      </c>
      <c r="F68" s="4">
        <f t="shared" si="2"/>
        <v>0</v>
      </c>
      <c r="G68" s="4">
        <f t="shared" si="3"/>
        <v>33.539</v>
      </c>
      <c r="H68" s="4">
        <f t="shared" si="4"/>
        <v>32.489</v>
      </c>
      <c r="I68" s="4" t="str">
        <f t="shared" si="5"/>
        <v> </v>
      </c>
      <c r="K68" s="4">
        <v>20.6</v>
      </c>
      <c r="L68" s="4">
        <f t="shared" si="6"/>
        <v>3</v>
      </c>
      <c r="M68" s="4">
        <f t="shared" si="7"/>
        <v>0</v>
      </c>
      <c r="N68" s="4">
        <f t="shared" si="8"/>
        <v>-3.1796</v>
      </c>
      <c r="O68" s="4" t="str">
        <f t="shared" si="9"/>
        <v/>
      </c>
      <c r="P68" s="4">
        <f t="shared" si="10"/>
        <v>20.6</v>
      </c>
    </row>
    <row r="69" ht="15.75" customHeight="1">
      <c r="A69" s="4">
        <v>1973.0</v>
      </c>
      <c r="B69" s="4">
        <v>219.0</v>
      </c>
      <c r="C69" s="4">
        <v>15.6</v>
      </c>
      <c r="D69" s="4">
        <v>25.9</v>
      </c>
      <c r="E69" s="4">
        <f t="shared" si="1"/>
        <v>0</v>
      </c>
      <c r="F69" s="4">
        <f t="shared" si="2"/>
        <v>0</v>
      </c>
      <c r="G69" s="4">
        <f t="shared" si="3"/>
        <v>34.946</v>
      </c>
      <c r="H69" s="4">
        <f t="shared" si="4"/>
        <v>32.915</v>
      </c>
      <c r="I69" s="4" t="str">
        <f t="shared" si="5"/>
        <v> </v>
      </c>
      <c r="K69" s="4">
        <v>20.9</v>
      </c>
      <c r="L69" s="4">
        <f t="shared" si="6"/>
        <v>3</v>
      </c>
      <c r="M69" s="4">
        <f t="shared" si="7"/>
        <v>1</v>
      </c>
      <c r="N69" s="4">
        <f t="shared" si="8"/>
        <v>5.2981</v>
      </c>
      <c r="O69" s="4" t="str">
        <f t="shared" si="9"/>
        <v/>
      </c>
      <c r="P69" s="4">
        <f t="shared" si="10"/>
        <v>20.9</v>
      </c>
    </row>
    <row r="70" ht="15.75" customHeight="1">
      <c r="A70" s="4">
        <v>1973.0</v>
      </c>
      <c r="B70" s="4">
        <v>220.0</v>
      </c>
      <c r="C70" s="4">
        <v>16.6</v>
      </c>
      <c r="D70" s="4">
        <v>27.3</v>
      </c>
      <c r="E70" s="4">
        <f t="shared" si="1"/>
        <v>1</v>
      </c>
      <c r="F70" s="4">
        <f t="shared" si="2"/>
        <v>1</v>
      </c>
      <c r="G70" s="4">
        <f t="shared" si="3"/>
        <v>32.362</v>
      </c>
      <c r="H70" s="4">
        <f t="shared" si="4"/>
        <v>33.3335</v>
      </c>
      <c r="I70" s="4">
        <f t="shared" si="5"/>
        <v>0.9715</v>
      </c>
      <c r="J70" s="4">
        <v>3.4</v>
      </c>
      <c r="K70" s="4">
        <v>21.9</v>
      </c>
      <c r="L70" s="4">
        <f t="shared" si="6"/>
        <v>8</v>
      </c>
      <c r="M70" s="4">
        <f t="shared" si="7"/>
        <v>1</v>
      </c>
      <c r="N70" s="4">
        <f t="shared" si="8"/>
        <v>10.4697</v>
      </c>
      <c r="O70" s="4">
        <f t="shared" si="9"/>
        <v>3.4</v>
      </c>
      <c r="P70" s="4">
        <f t="shared" si="10"/>
        <v>21.9</v>
      </c>
    </row>
    <row r="71" ht="15.75" customHeight="1">
      <c r="A71" s="4">
        <v>1973.0</v>
      </c>
      <c r="B71" s="4">
        <v>221.0</v>
      </c>
      <c r="C71" s="4">
        <v>14.2</v>
      </c>
      <c r="D71" s="4">
        <v>19.4</v>
      </c>
      <c r="E71" s="4">
        <f t="shared" si="1"/>
        <v>1</v>
      </c>
      <c r="F71" s="4">
        <f t="shared" si="2"/>
        <v>1</v>
      </c>
      <c r="G71" s="4">
        <f t="shared" si="3"/>
        <v>25.591</v>
      </c>
      <c r="H71" s="4">
        <f t="shared" si="4"/>
        <v>27.7545</v>
      </c>
      <c r="I71" s="4">
        <f t="shared" si="5"/>
        <v>2.1635</v>
      </c>
      <c r="J71" s="4">
        <v>23.3</v>
      </c>
      <c r="K71" s="4">
        <v>17.1</v>
      </c>
      <c r="L71" s="4">
        <f t="shared" si="6"/>
        <v>8</v>
      </c>
      <c r="M71" s="4">
        <f t="shared" si="7"/>
        <v>1</v>
      </c>
      <c r="N71" s="4">
        <f t="shared" si="8"/>
        <v>7.8446</v>
      </c>
      <c r="O71" s="4">
        <f t="shared" si="9"/>
        <v>23.3</v>
      </c>
      <c r="P71" s="4">
        <f t="shared" si="10"/>
        <v>17.1</v>
      </c>
    </row>
    <row r="72" ht="15.75" customHeight="1">
      <c r="A72" s="4">
        <v>1973.0</v>
      </c>
      <c r="B72" s="4">
        <v>222.0</v>
      </c>
      <c r="C72" s="4">
        <v>13.8</v>
      </c>
      <c r="D72" s="4">
        <v>17.3</v>
      </c>
      <c r="E72" s="4">
        <f t="shared" si="1"/>
        <v>1</v>
      </c>
      <c r="F72" s="4">
        <f t="shared" si="2"/>
        <v>0</v>
      </c>
      <c r="G72" s="4">
        <f t="shared" si="3"/>
        <v>22.245</v>
      </c>
      <c r="H72" s="4">
        <f t="shared" si="4"/>
        <v>21.968</v>
      </c>
      <c r="I72" s="4" t="str">
        <f t="shared" si="5"/>
        <v> </v>
      </c>
      <c r="J72" s="4">
        <v>3.0</v>
      </c>
      <c r="K72" s="4">
        <v>15.3</v>
      </c>
      <c r="L72" s="4">
        <f t="shared" si="6"/>
        <v>8</v>
      </c>
      <c r="M72" s="4">
        <f t="shared" si="7"/>
        <v>1</v>
      </c>
      <c r="N72" s="4">
        <f t="shared" si="8"/>
        <v>3.2281</v>
      </c>
      <c r="O72" s="4">
        <f t="shared" si="9"/>
        <v>3</v>
      </c>
      <c r="P72" s="4">
        <f t="shared" si="10"/>
        <v>15.3</v>
      </c>
    </row>
    <row r="73" ht="15.75" customHeight="1">
      <c r="A73" s="4">
        <v>1973.0</v>
      </c>
      <c r="B73" s="4">
        <v>223.0</v>
      </c>
      <c r="C73" s="4">
        <v>14.3</v>
      </c>
      <c r="D73" s="4">
        <v>21.9</v>
      </c>
      <c r="E73" s="4">
        <f t="shared" si="1"/>
        <v>0</v>
      </c>
      <c r="F73" s="4">
        <f t="shared" si="2"/>
        <v>0</v>
      </c>
      <c r="G73" s="4">
        <f t="shared" si="3"/>
        <v>23.325</v>
      </c>
      <c r="H73" s="4">
        <f t="shared" si="4"/>
        <v>21.563</v>
      </c>
      <c r="I73" s="4" t="str">
        <f t="shared" si="5"/>
        <v> </v>
      </c>
      <c r="K73" s="4">
        <v>17.4</v>
      </c>
      <c r="L73" s="4">
        <f t="shared" si="6"/>
        <v>3</v>
      </c>
      <c r="M73" s="4">
        <f t="shared" si="7"/>
        <v>1</v>
      </c>
      <c r="N73" s="4">
        <f t="shared" si="8"/>
        <v>9.3453</v>
      </c>
      <c r="O73" s="4" t="str">
        <f t="shared" si="9"/>
        <v/>
      </c>
      <c r="P73" s="4">
        <f t="shared" si="10"/>
        <v>17.4</v>
      </c>
    </row>
    <row r="74" ht="15.75" customHeight="1">
      <c r="A74" s="4">
        <v>1973.0</v>
      </c>
      <c r="B74" s="4">
        <v>224.0</v>
      </c>
      <c r="C74" s="4">
        <v>14.5</v>
      </c>
      <c r="D74" s="4">
        <v>17.9</v>
      </c>
      <c r="E74" s="4">
        <f t="shared" si="1"/>
        <v>1</v>
      </c>
      <c r="F74" s="4">
        <f t="shared" si="2"/>
        <v>0</v>
      </c>
      <c r="G74" s="4">
        <f t="shared" si="3"/>
        <v>23.358</v>
      </c>
      <c r="H74" s="4">
        <f t="shared" si="4"/>
        <v>22.3095</v>
      </c>
      <c r="I74" s="4" t="str">
        <f t="shared" si="5"/>
        <v> </v>
      </c>
      <c r="J74" s="4">
        <v>41.5</v>
      </c>
      <c r="K74" s="4">
        <v>16.2</v>
      </c>
      <c r="L74" s="4">
        <f t="shared" si="6"/>
        <v>8</v>
      </c>
      <c r="M74" s="4">
        <f t="shared" si="7"/>
        <v>1</v>
      </c>
      <c r="N74" s="4">
        <f t="shared" si="8"/>
        <v>8.3247</v>
      </c>
      <c r="O74" s="4">
        <f t="shared" si="9"/>
        <v>41.5</v>
      </c>
      <c r="P74" s="4">
        <f t="shared" si="10"/>
        <v>16.2</v>
      </c>
    </row>
    <row r="75" ht="15.75" customHeight="1">
      <c r="A75" s="4">
        <v>1973.0</v>
      </c>
      <c r="B75" s="4">
        <v>225.0</v>
      </c>
      <c r="C75" s="4">
        <v>15.6</v>
      </c>
      <c r="D75" s="4">
        <v>18.1</v>
      </c>
      <c r="E75" s="4">
        <f t="shared" si="1"/>
        <v>1</v>
      </c>
      <c r="F75" s="4">
        <f t="shared" si="2"/>
        <v>0</v>
      </c>
      <c r="G75" s="4">
        <f t="shared" si="3"/>
        <v>25.537</v>
      </c>
      <c r="H75" s="4">
        <f t="shared" si="4"/>
        <v>22.326</v>
      </c>
      <c r="I75" s="4" t="str">
        <f t="shared" si="5"/>
        <v> </v>
      </c>
      <c r="J75" s="4">
        <v>6.2</v>
      </c>
      <c r="K75" s="4">
        <v>16.6</v>
      </c>
      <c r="L75" s="4">
        <f t="shared" si="6"/>
        <v>8</v>
      </c>
      <c r="M75" s="4">
        <f t="shared" si="7"/>
        <v>0</v>
      </c>
      <c r="N75" s="4">
        <f t="shared" si="8"/>
        <v>-0.8432</v>
      </c>
      <c r="O75" s="4">
        <f t="shared" si="9"/>
        <v>6.2</v>
      </c>
      <c r="P75" s="4">
        <f t="shared" si="10"/>
        <v>16.6</v>
      </c>
    </row>
    <row r="76" ht="15.75" customHeight="1">
      <c r="A76" s="4">
        <v>1973.0</v>
      </c>
      <c r="B76" s="4">
        <v>226.0</v>
      </c>
      <c r="C76" s="4">
        <v>14.2</v>
      </c>
      <c r="D76" s="4">
        <v>16.2</v>
      </c>
      <c r="E76" s="4">
        <f t="shared" si="1"/>
        <v>0</v>
      </c>
      <c r="F76" s="4">
        <f t="shared" si="2"/>
        <v>0</v>
      </c>
      <c r="G76" s="4">
        <f t="shared" si="3"/>
        <v>19.577</v>
      </c>
      <c r="H76" s="4">
        <f t="shared" si="4"/>
        <v>15.2575</v>
      </c>
      <c r="I76" s="4" t="str">
        <f t="shared" si="5"/>
        <v> </v>
      </c>
      <c r="K76" s="4">
        <v>15.4</v>
      </c>
      <c r="L76" s="4">
        <f t="shared" si="6"/>
        <v>3</v>
      </c>
      <c r="M76" s="4">
        <f t="shared" si="7"/>
        <v>0</v>
      </c>
      <c r="N76" s="4">
        <f t="shared" si="8"/>
        <v>-4.3312</v>
      </c>
      <c r="O76" s="4" t="str">
        <f t="shared" si="9"/>
        <v/>
      </c>
      <c r="P76" s="4">
        <f t="shared" si="10"/>
        <v>15.4</v>
      </c>
    </row>
    <row r="77" ht="15.75" customHeight="1">
      <c r="A77" s="4">
        <v>1973.0</v>
      </c>
      <c r="B77" s="4">
        <v>227.0</v>
      </c>
      <c r="C77" s="4">
        <v>14.1</v>
      </c>
      <c r="D77" s="4">
        <v>19.6</v>
      </c>
      <c r="E77" s="4">
        <f t="shared" si="1"/>
        <v>0</v>
      </c>
      <c r="F77" s="4">
        <f t="shared" si="2"/>
        <v>0</v>
      </c>
      <c r="G77" s="4">
        <f t="shared" si="3"/>
        <v>23.888</v>
      </c>
      <c r="H77" s="4">
        <f t="shared" si="4"/>
        <v>19.3285</v>
      </c>
      <c r="I77" s="4" t="str">
        <f t="shared" si="5"/>
        <v> </v>
      </c>
      <c r="K77" s="4">
        <v>16.5</v>
      </c>
      <c r="L77" s="4">
        <f t="shared" si="6"/>
        <v>3</v>
      </c>
      <c r="M77" s="4">
        <f t="shared" si="7"/>
        <v>0</v>
      </c>
      <c r="N77" s="4">
        <f t="shared" si="8"/>
        <v>-7.2213</v>
      </c>
      <c r="O77" s="4" t="str">
        <f t="shared" si="9"/>
        <v/>
      </c>
      <c r="P77" s="4">
        <f t="shared" si="10"/>
        <v>16.5</v>
      </c>
    </row>
    <row r="78" ht="15.75" customHeight="1">
      <c r="A78" s="4">
        <v>1973.0</v>
      </c>
      <c r="B78" s="4">
        <v>228.0</v>
      </c>
      <c r="C78" s="4">
        <v>15.0</v>
      </c>
      <c r="D78" s="4">
        <v>21.9</v>
      </c>
      <c r="E78" s="4">
        <f t="shared" si="1"/>
        <v>0</v>
      </c>
      <c r="F78" s="4">
        <f t="shared" si="2"/>
        <v>0</v>
      </c>
      <c r="G78" s="4">
        <f t="shared" si="3"/>
        <v>27.055</v>
      </c>
      <c r="H78" s="4">
        <f t="shared" si="4"/>
        <v>22.4565</v>
      </c>
      <c r="I78" s="4" t="str">
        <f t="shared" si="5"/>
        <v> </v>
      </c>
      <c r="K78" s="4">
        <v>17.7</v>
      </c>
      <c r="L78" s="4">
        <f t="shared" si="6"/>
        <v>3</v>
      </c>
      <c r="M78" s="4">
        <f t="shared" si="7"/>
        <v>0</v>
      </c>
      <c r="N78" s="4">
        <f t="shared" si="8"/>
        <v>-8.1945</v>
      </c>
      <c r="O78" s="4" t="str">
        <f t="shared" si="9"/>
        <v/>
      </c>
      <c r="P78" s="4">
        <f t="shared" si="10"/>
        <v>17.7</v>
      </c>
    </row>
    <row r="79" ht="15.75" customHeight="1">
      <c r="A79" s="4">
        <v>1973.0</v>
      </c>
      <c r="B79" s="4">
        <v>229.0</v>
      </c>
      <c r="C79" s="4">
        <v>13.1</v>
      </c>
      <c r="D79" s="4">
        <v>25.0</v>
      </c>
      <c r="E79" s="4">
        <f t="shared" si="1"/>
        <v>0</v>
      </c>
      <c r="F79" s="4">
        <f t="shared" si="2"/>
        <v>0</v>
      </c>
      <c r="G79" s="4">
        <f t="shared" si="3"/>
        <v>28.842</v>
      </c>
      <c r="H79" s="4">
        <f t="shared" si="4"/>
        <v>23.413</v>
      </c>
      <c r="I79" s="4" t="str">
        <f t="shared" si="5"/>
        <v> </v>
      </c>
      <c r="K79" s="4">
        <v>18.3</v>
      </c>
      <c r="L79" s="4">
        <f t="shared" si="6"/>
        <v>3</v>
      </c>
      <c r="M79" s="4">
        <f t="shared" si="7"/>
        <v>0</v>
      </c>
      <c r="N79" s="4">
        <f t="shared" si="8"/>
        <v>-9.6014</v>
      </c>
      <c r="O79" s="4" t="str">
        <f t="shared" si="9"/>
        <v/>
      </c>
      <c r="P79" s="4">
        <f t="shared" si="10"/>
        <v>18.3</v>
      </c>
    </row>
    <row r="80" ht="15.75" customHeight="1">
      <c r="A80" s="4">
        <v>1973.0</v>
      </c>
      <c r="B80" s="4">
        <v>230.0</v>
      </c>
      <c r="C80" s="4">
        <v>11.7</v>
      </c>
      <c r="D80" s="4">
        <v>19.4</v>
      </c>
      <c r="E80" s="4">
        <f t="shared" si="1"/>
        <v>0</v>
      </c>
      <c r="F80" s="4">
        <f t="shared" si="2"/>
        <v>0</v>
      </c>
      <c r="G80" s="4">
        <f t="shared" si="3"/>
        <v>20.376</v>
      </c>
      <c r="H80" s="4">
        <f t="shared" si="4"/>
        <v>15.5235</v>
      </c>
      <c r="I80" s="4" t="str">
        <f t="shared" si="5"/>
        <v> </v>
      </c>
      <c r="K80" s="4">
        <v>15.9</v>
      </c>
      <c r="L80" s="4">
        <f t="shared" si="6"/>
        <v>3</v>
      </c>
      <c r="M80" s="4">
        <f t="shared" si="7"/>
        <v>0</v>
      </c>
      <c r="N80" s="4">
        <f t="shared" si="8"/>
        <v>-5.8197</v>
      </c>
      <c r="O80" s="4" t="str">
        <f t="shared" si="9"/>
        <v/>
      </c>
      <c r="P80" s="4">
        <f t="shared" si="10"/>
        <v>15.9</v>
      </c>
    </row>
    <row r="81" ht="15.75" customHeight="1">
      <c r="A81" s="4">
        <v>1973.0</v>
      </c>
      <c r="B81" s="4">
        <v>231.0</v>
      </c>
      <c r="C81" s="4">
        <v>8.7</v>
      </c>
      <c r="D81" s="4">
        <v>20.7</v>
      </c>
      <c r="E81" s="4">
        <f t="shared" si="1"/>
        <v>0</v>
      </c>
      <c r="F81" s="4">
        <f t="shared" si="2"/>
        <v>0</v>
      </c>
      <c r="G81" s="4">
        <f t="shared" si="3"/>
        <v>17.672</v>
      </c>
      <c r="H81" s="4">
        <f t="shared" si="4"/>
        <v>14.0855</v>
      </c>
      <c r="I81" s="4" t="str">
        <f t="shared" si="5"/>
        <v> </v>
      </c>
      <c r="K81" s="4">
        <v>15.5</v>
      </c>
      <c r="L81" s="4">
        <f t="shared" si="6"/>
        <v>3</v>
      </c>
      <c r="M81" s="4">
        <f t="shared" si="7"/>
        <v>0</v>
      </c>
      <c r="N81" s="4">
        <f t="shared" si="8"/>
        <v>-6.8537</v>
      </c>
      <c r="O81" s="4" t="str">
        <f t="shared" si="9"/>
        <v/>
      </c>
      <c r="P81" s="4">
        <f t="shared" si="10"/>
        <v>15.5</v>
      </c>
    </row>
    <row r="82" ht="15.75" customHeight="1">
      <c r="A82" s="4">
        <v>1973.0</v>
      </c>
      <c r="B82" s="4">
        <v>232.0</v>
      </c>
      <c r="C82" s="4">
        <v>12.8</v>
      </c>
      <c r="D82" s="4">
        <v>22.9</v>
      </c>
      <c r="E82" s="4">
        <f t="shared" si="1"/>
        <v>0</v>
      </c>
      <c r="F82" s="4">
        <f t="shared" si="2"/>
        <v>0</v>
      </c>
      <c r="G82" s="4">
        <f t="shared" si="3"/>
        <v>19.62</v>
      </c>
      <c r="H82" s="4">
        <f t="shared" si="4"/>
        <v>15.3665</v>
      </c>
      <c r="I82" s="4" t="str">
        <f t="shared" si="5"/>
        <v> </v>
      </c>
      <c r="K82" s="4">
        <v>17.6</v>
      </c>
      <c r="L82" s="4">
        <f t="shared" si="6"/>
        <v>3</v>
      </c>
      <c r="M82" s="4">
        <f t="shared" si="7"/>
        <v>0</v>
      </c>
      <c r="N82" s="4">
        <f t="shared" si="8"/>
        <v>-10.1216</v>
      </c>
      <c r="O82" s="4" t="str">
        <f t="shared" si="9"/>
        <v/>
      </c>
      <c r="P82" s="4">
        <f t="shared" si="10"/>
        <v>17.6</v>
      </c>
    </row>
    <row r="83" ht="15.75" customHeight="1">
      <c r="A83" s="4">
        <v>1973.0</v>
      </c>
      <c r="B83" s="4">
        <v>233.0</v>
      </c>
      <c r="C83" s="4">
        <v>13.5</v>
      </c>
      <c r="D83" s="4">
        <v>23.4</v>
      </c>
      <c r="E83" s="4">
        <f t="shared" si="1"/>
        <v>0</v>
      </c>
      <c r="F83" s="4">
        <f t="shared" si="2"/>
        <v>0</v>
      </c>
      <c r="G83" s="4">
        <f t="shared" si="3"/>
        <v>14.4504</v>
      </c>
      <c r="H83" s="4">
        <f t="shared" si="4"/>
        <v>10.2025</v>
      </c>
      <c r="I83" s="4" t="str">
        <f t="shared" si="5"/>
        <v> </v>
      </c>
      <c r="K83" s="4">
        <v>17.2</v>
      </c>
      <c r="L83" s="4">
        <f t="shared" si="6"/>
        <v>3</v>
      </c>
      <c r="M83" s="4">
        <f t="shared" si="7"/>
        <v>0</v>
      </c>
      <c r="N83" s="4">
        <f t="shared" si="8"/>
        <v>-9.1911</v>
      </c>
      <c r="O83" s="4" t="str">
        <f t="shared" si="9"/>
        <v/>
      </c>
      <c r="P83" s="4">
        <f t="shared" si="10"/>
        <v>17.2</v>
      </c>
    </row>
    <row r="84" ht="15.75" customHeight="1">
      <c r="A84" s="4">
        <v>1973.0</v>
      </c>
      <c r="B84" s="4">
        <v>234.0</v>
      </c>
      <c r="C84" s="4">
        <v>8.1</v>
      </c>
      <c r="D84" s="4">
        <v>16.7</v>
      </c>
      <c r="E84" s="4">
        <f t="shared" si="1"/>
        <v>0</v>
      </c>
      <c r="F84" s="4">
        <f t="shared" si="2"/>
        <v>0</v>
      </c>
      <c r="G84" s="4">
        <f t="shared" si="3"/>
        <v>6.8947</v>
      </c>
      <c r="H84" s="4">
        <f t="shared" si="4"/>
        <v>4.3322</v>
      </c>
      <c r="I84" s="4" t="str">
        <f t="shared" si="5"/>
        <v> </v>
      </c>
      <c r="K84" s="4">
        <v>12.9</v>
      </c>
      <c r="L84" s="4">
        <f t="shared" si="6"/>
        <v>3</v>
      </c>
      <c r="M84" s="4">
        <f t="shared" si="7"/>
        <v>0</v>
      </c>
      <c r="N84" s="4">
        <f t="shared" si="8"/>
        <v>-6.832</v>
      </c>
      <c r="O84" s="4" t="str">
        <f t="shared" si="9"/>
        <v/>
      </c>
      <c r="P84" s="4">
        <f t="shared" si="10"/>
        <v>12.9</v>
      </c>
    </row>
    <row r="85" ht="15.75" customHeight="1">
      <c r="A85" s="4">
        <v>1973.0</v>
      </c>
      <c r="B85" s="4">
        <v>235.0</v>
      </c>
      <c r="C85" s="4">
        <v>5.9</v>
      </c>
      <c r="D85" s="4">
        <v>14.9</v>
      </c>
      <c r="E85" s="4">
        <f t="shared" si="1"/>
        <v>0</v>
      </c>
      <c r="F85" s="4">
        <f t="shared" si="2"/>
        <v>0</v>
      </c>
      <c r="G85" s="4">
        <f t="shared" si="3"/>
        <v>1.7681</v>
      </c>
      <c r="H85" s="4">
        <f t="shared" si="4"/>
        <v>-0.7676</v>
      </c>
      <c r="I85" s="4" t="str">
        <f t="shared" si="5"/>
        <v> </v>
      </c>
      <c r="K85" s="4">
        <v>10.1</v>
      </c>
      <c r="L85" s="4">
        <f t="shared" si="6"/>
        <v>3</v>
      </c>
      <c r="M85" s="4">
        <f t="shared" si="7"/>
        <v>0</v>
      </c>
      <c r="N85" s="4">
        <f t="shared" si="8"/>
        <v>-6.99259</v>
      </c>
      <c r="O85" s="4" t="str">
        <f t="shared" si="9"/>
        <v/>
      </c>
      <c r="P85" s="4">
        <f t="shared" si="10"/>
        <v>10.1</v>
      </c>
    </row>
    <row r="86" ht="15.75" customHeight="1">
      <c r="A86" s="4">
        <v>1973.0</v>
      </c>
      <c r="B86" s="4">
        <v>236.0</v>
      </c>
      <c r="C86" s="4">
        <v>6.6</v>
      </c>
      <c r="D86" s="4">
        <v>16.8</v>
      </c>
      <c r="E86" s="4">
        <f t="shared" si="1"/>
        <v>0</v>
      </c>
      <c r="F86" s="4">
        <f t="shared" si="2"/>
        <v>0</v>
      </c>
      <c r="G86" s="4">
        <f t="shared" si="3"/>
        <v>2.5151</v>
      </c>
      <c r="H86" s="4">
        <f t="shared" si="4"/>
        <v>-0.2193</v>
      </c>
      <c r="I86" s="4" t="str">
        <f t="shared" si="5"/>
        <v> </v>
      </c>
      <c r="K86" s="4">
        <v>12.0</v>
      </c>
      <c r="L86" s="4">
        <f t="shared" si="6"/>
        <v>3</v>
      </c>
      <c r="M86" s="4">
        <f t="shared" si="7"/>
        <v>0</v>
      </c>
      <c r="N86" s="4">
        <f t="shared" si="8"/>
        <v>-6.56101</v>
      </c>
      <c r="O86" s="4" t="str">
        <f t="shared" si="9"/>
        <v/>
      </c>
      <c r="P86" s="4">
        <f t="shared" si="10"/>
        <v>12</v>
      </c>
    </row>
    <row r="87" ht="15.75" customHeight="1">
      <c r="A87" s="4">
        <v>1973.0</v>
      </c>
      <c r="B87" s="4">
        <v>237.0</v>
      </c>
      <c r="C87" s="4">
        <v>5.6</v>
      </c>
      <c r="D87" s="4">
        <v>12.01</v>
      </c>
      <c r="E87" s="4">
        <f t="shared" si="1"/>
        <v>0</v>
      </c>
      <c r="F87" s="4">
        <f t="shared" si="2"/>
        <v>0</v>
      </c>
      <c r="G87" s="4">
        <f t="shared" si="3"/>
        <v>-0.2105</v>
      </c>
      <c r="H87" s="4">
        <f t="shared" si="4"/>
        <v>-2.2127</v>
      </c>
      <c r="I87" s="4" t="str">
        <f t="shared" si="5"/>
        <v> </v>
      </c>
      <c r="K87" s="4">
        <v>9.5</v>
      </c>
      <c r="L87" s="4">
        <f t="shared" si="6"/>
        <v>3</v>
      </c>
      <c r="M87" s="4">
        <f t="shared" si="7"/>
        <v>0</v>
      </c>
      <c r="N87" s="4">
        <f t="shared" si="8"/>
        <v>-5.91836</v>
      </c>
      <c r="O87" s="4">
        <f t="shared" si="9"/>
        <v>0</v>
      </c>
      <c r="P87" s="4">
        <f t="shared" si="10"/>
        <v>0</v>
      </c>
    </row>
    <row r="88" ht="15.75" customHeight="1">
      <c r="A88" s="4">
        <v>1973.0</v>
      </c>
      <c r="B88" s="4">
        <v>238.0</v>
      </c>
      <c r="C88" s="4">
        <v>5.3</v>
      </c>
      <c r="D88" s="4">
        <v>12.5</v>
      </c>
      <c r="E88" s="4">
        <f t="shared" si="1"/>
        <v>0</v>
      </c>
      <c r="K88" s="4">
        <v>8.2</v>
      </c>
      <c r="L88" s="4">
        <f t="shared" si="6"/>
        <v>3</v>
      </c>
      <c r="O88" s="4">
        <f t="shared" si="9"/>
        <v>0</v>
      </c>
      <c r="P88" s="4">
        <f t="shared" si="10"/>
        <v>0</v>
      </c>
    </row>
    <row r="89" ht="15.75" customHeight="1">
      <c r="A89" s="4">
        <v>1973.0</v>
      </c>
      <c r="B89" s="4">
        <v>239.0</v>
      </c>
      <c r="C89" s="4">
        <v>4.2</v>
      </c>
      <c r="D89" s="4">
        <v>9.6</v>
      </c>
      <c r="E89" s="4">
        <f t="shared" si="1"/>
        <v>0</v>
      </c>
      <c r="K89" s="4">
        <v>7.0</v>
      </c>
      <c r="L89" s="4">
        <f t="shared" si="6"/>
        <v>3</v>
      </c>
      <c r="O89" s="4">
        <f t="shared" si="9"/>
        <v>0</v>
      </c>
      <c r="P89" s="4">
        <f t="shared" si="10"/>
        <v>0</v>
      </c>
    </row>
    <row r="90" ht="15.75" customHeight="1">
      <c r="A90" s="4">
        <v>1973.0</v>
      </c>
      <c r="B90" s="4">
        <v>240.0</v>
      </c>
      <c r="C90" s="4">
        <v>2.0</v>
      </c>
      <c r="D90" s="4">
        <v>11.8</v>
      </c>
      <c r="E90" s="4">
        <f t="shared" si="1"/>
        <v>0</v>
      </c>
      <c r="K90" s="4">
        <v>7.5</v>
      </c>
      <c r="L90" s="4">
        <f t="shared" si="6"/>
        <v>3</v>
      </c>
      <c r="O90" s="4">
        <f t="shared" si="9"/>
        <v>0</v>
      </c>
      <c r="P90" s="4">
        <f t="shared" si="10"/>
        <v>0</v>
      </c>
    </row>
    <row r="91" ht="15.75" customHeight="1">
      <c r="A91" s="4">
        <v>1973.0</v>
      </c>
      <c r="B91" s="4">
        <v>241.0</v>
      </c>
      <c r="C91" s="4">
        <v>3.6</v>
      </c>
      <c r="D91" s="4">
        <v>13.8</v>
      </c>
      <c r="E91" s="4">
        <f t="shared" si="1"/>
        <v>0</v>
      </c>
      <c r="K91" s="4">
        <v>8.6</v>
      </c>
      <c r="L91" s="4">
        <f t="shared" si="6"/>
        <v>3</v>
      </c>
      <c r="O91" s="4">
        <f t="shared" si="9"/>
        <v>0</v>
      </c>
      <c r="P91" s="4">
        <f t="shared" si="10"/>
        <v>0</v>
      </c>
    </row>
    <row r="92" ht="15.75" customHeight="1">
      <c r="A92" s="4">
        <v>1973.0</v>
      </c>
      <c r="B92" s="4">
        <v>242.0</v>
      </c>
      <c r="C92" s="4">
        <v>1.4</v>
      </c>
      <c r="D92" s="4">
        <v>16.1</v>
      </c>
      <c r="E92" s="4">
        <f t="shared" si="1"/>
        <v>0</v>
      </c>
      <c r="K92" s="4">
        <v>9.0</v>
      </c>
      <c r="L92" s="4">
        <f t="shared" si="6"/>
        <v>3</v>
      </c>
      <c r="O92" s="4">
        <f t="shared" si="9"/>
        <v>0</v>
      </c>
      <c r="P92" s="4">
        <f t="shared" si="10"/>
        <v>0</v>
      </c>
    </row>
    <row r="93" ht="15.75" customHeight="1">
      <c r="A93" s="4">
        <v>1973.0</v>
      </c>
      <c r="B93" s="4">
        <v>243.0</v>
      </c>
      <c r="C93" s="4">
        <v>3.7</v>
      </c>
      <c r="D93" s="4">
        <v>18.8</v>
      </c>
      <c r="E93" s="4">
        <f t="shared" si="1"/>
        <v>0</v>
      </c>
      <c r="K93" s="4">
        <v>11.9</v>
      </c>
      <c r="L93" s="4">
        <f t="shared" si="6"/>
        <v>3</v>
      </c>
      <c r="O93" s="4" t="str">
        <f t="shared" si="9"/>
        <v/>
      </c>
      <c r="P93" s="4">
        <f t="shared" si="10"/>
        <v>11.9</v>
      </c>
    </row>
    <row r="94" ht="15.75" customHeight="1"/>
    <row r="95" ht="15.75" customHeight="1"/>
    <row r="96" ht="15.75" customHeight="1">
      <c r="O96" s="4">
        <f>SUM(O2:O93)</f>
        <v>178.6</v>
      </c>
      <c r="P96" s="4">
        <f>SUMIF(P2:P93,"&gt;0")/10</f>
        <v>145.95</v>
      </c>
    </row>
    <row r="97" ht="15.75" customHeight="1"/>
    <row r="98" ht="15.75" customHeight="1">
      <c r="I98" s="4">
        <f>SUM(I2:I87)</f>
        <v>4.9595</v>
      </c>
      <c r="O98" s="4" t="s">
        <v>15</v>
      </c>
      <c r="P98" s="4">
        <f>O96/P96</f>
        <v>1.223706749</v>
      </c>
    </row>
    <row r="99" ht="15.75" customHeight="1">
      <c r="I99" s="4">
        <f>SUM(I2:I31)</f>
        <v>1.8245</v>
      </c>
      <c r="O99" s="4" t="s">
        <v>16</v>
      </c>
      <c r="P99" s="4">
        <f>SUM(O2:O31)/(SUM(P2:P31)/10)</f>
        <v>0.4306598183</v>
      </c>
    </row>
    <row r="100" ht="15.75" customHeight="1">
      <c r="I100" s="4">
        <f>SUM(I32:I62)</f>
        <v>0</v>
      </c>
      <c r="O100" s="4" t="s">
        <v>17</v>
      </c>
      <c r="P100" s="4">
        <f>SUM(O33:O62)/(SUM(P33:P62)/10)</f>
        <v>1.30754352</v>
      </c>
    </row>
    <row r="101" ht="15.75" customHeight="1">
      <c r="I101" s="4">
        <f>SUM(I63:I93)</f>
        <v>3.135</v>
      </c>
      <c r="O101" s="4" t="s">
        <v>18</v>
      </c>
      <c r="P101" s="4">
        <f>SUM(O63:O93)/(SUM(P63:P93)/10)</f>
        <v>1.855225312</v>
      </c>
    </row>
    <row r="102" ht="15.75" customHeight="1">
      <c r="I102" s="4">
        <f>SUMIF(I2:I87,"&gt;0")</f>
        <v>4.9595</v>
      </c>
    </row>
    <row r="103" ht="15.75" customHeight="1">
      <c r="I103" s="4">
        <f>SUMIF(I2:I31,"&gt;0")</f>
        <v>1.8245</v>
      </c>
    </row>
    <row r="104" ht="15.75" customHeight="1">
      <c r="I104" s="4">
        <f>SUMIF(I32:I62,"&gt;0")</f>
        <v>0</v>
      </c>
      <c r="P104" s="4">
        <f>SUM(O16:O35)/(SUM(P16:P35)/10)</f>
        <v>0.9961798413</v>
      </c>
    </row>
    <row r="105" ht="15.75" customHeight="1">
      <c r="I105" s="4">
        <f>SUMIF(I63:I87,"&gt;0")</f>
        <v>3.135</v>
      </c>
      <c r="P105" s="4">
        <f>SUM(O36:O55)/(SUM(P36:P55)/10)</f>
        <v>1.898334291</v>
      </c>
    </row>
    <row r="106" ht="15.75" customHeight="1">
      <c r="P106" s="4">
        <f>SUM(O56:O77)/(SUM(P56:P77)/10)</f>
        <v>2.039525692</v>
      </c>
    </row>
    <row r="107" ht="15.75" customHeight="1">
      <c r="P107" s="4">
        <f>SUM(O16:O77)/(SUM(P16:P77)/10)</f>
        <v>1.661048689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3"/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7">
        <v>1977.0</v>
      </c>
      <c r="B2" s="4">
        <v>152.0</v>
      </c>
      <c r="C2" s="4">
        <v>8.9</v>
      </c>
      <c r="D2" s="4">
        <v>16.6</v>
      </c>
      <c r="E2" s="4">
        <f t="shared" ref="E2:E93" si="1">IF(J2&gt;0,1,0)</f>
        <v>1</v>
      </c>
      <c r="F2" s="4">
        <f t="shared" ref="F2:F87" si="2">IF(H2&gt;G2,1,0)</f>
        <v>1</v>
      </c>
      <c r="G2" s="4">
        <f t="shared" ref="G2:G87" si="3"> 0.75 * D2 + 0.41 * D3 + 0.41 * D4 + 0.27 * D5 + 0.74 *D6 + 0.3 *C2 - 0.07 * C3 - 0.16 * C4 + 0.06 * C5 + 0.01 * C6 + 2.88 * E2 + 1.98 * E3 + 1.98 * E4 + 1.79 * E5 + 0.53 * E6-32.47</f>
        <v>21.573</v>
      </c>
      <c r="H2" s="4">
        <f t="shared" ref="H2:H87" si="4">0.63 * D2 + 0.37 * D3 + 0.49 * D4 + 0.22 * D5 + 0.65 * D6 + 0.24 *C2 - 0.06 * C3- 0.15 * C4 - 0.135 * C5 + 0.15 * C6 + 4.88 * E2 + 3.55 * E3 + 3.34 *E4 + 2.5 * E5 + 2.29 *E6-31.34</f>
        <v>24.4865</v>
      </c>
      <c r="I2" s="4">
        <f t="shared" ref="I2:I87" si="5">IF((H2-G2)&gt;0,H2-G2," ")</f>
        <v>2.9135</v>
      </c>
      <c r="J2" s="4">
        <v>3.0</v>
      </c>
      <c r="K2" s="4">
        <v>12.1</v>
      </c>
      <c r="L2" s="4">
        <f t="shared" ref="L2:L93" si="6">IF(E2&gt;0,8,3)</f>
        <v>8</v>
      </c>
      <c r="M2" s="4">
        <f t="shared" ref="M2:M87" si="7">IF(N2&gt;=0,1,0)</f>
        <v>1</v>
      </c>
      <c r="N2" s="4">
        <f t="shared" ref="N2:N87" si="8">-0.216*D2-0.191*D3-0.119*D4+0.004*C2-0.171*C3+0.628*C4-0.479*L2+0.513*L3+0.046*L4+5.947*E2+6.699*E3+4.328*E4-1.788</f>
        <v>4.6931</v>
      </c>
      <c r="O2" s="4">
        <f t="shared" ref="O2:O93" si="9">IF(K2&gt;10,J2,0)</f>
        <v>3</v>
      </c>
      <c r="P2" s="4">
        <f t="shared" ref="P2:P93" si="10">IF(K2&gt;10,K2,0)</f>
        <v>12.1</v>
      </c>
    </row>
    <row r="3">
      <c r="A3" s="7">
        <v>1977.0</v>
      </c>
      <c r="B3" s="4">
        <v>153.0</v>
      </c>
      <c r="C3" s="4">
        <v>8.6</v>
      </c>
      <c r="D3" s="4">
        <v>19.7</v>
      </c>
      <c r="E3" s="4">
        <f t="shared" si="1"/>
        <v>1</v>
      </c>
      <c r="F3" s="4">
        <f t="shared" si="2"/>
        <v>1</v>
      </c>
      <c r="G3" s="4">
        <f t="shared" si="3"/>
        <v>24.135</v>
      </c>
      <c r="H3" s="4">
        <f t="shared" si="4"/>
        <v>26.064</v>
      </c>
      <c r="I3" s="4">
        <f t="shared" si="5"/>
        <v>1.929</v>
      </c>
      <c r="J3" s="4">
        <v>5.9</v>
      </c>
      <c r="K3" s="4">
        <v>13.1</v>
      </c>
      <c r="L3" s="4">
        <f t="shared" si="6"/>
        <v>8</v>
      </c>
      <c r="M3" s="4">
        <f t="shared" si="7"/>
        <v>1</v>
      </c>
      <c r="N3" s="4">
        <f t="shared" si="8"/>
        <v>0.1541</v>
      </c>
      <c r="O3" s="4">
        <f t="shared" si="9"/>
        <v>5.9</v>
      </c>
      <c r="P3" s="4">
        <f t="shared" si="10"/>
        <v>13.1</v>
      </c>
    </row>
    <row r="4">
      <c r="A4" s="7">
        <v>1977.0</v>
      </c>
      <c r="B4" s="4">
        <v>154.0</v>
      </c>
      <c r="C4" s="4">
        <v>6.7</v>
      </c>
      <c r="D4" s="4">
        <v>16.8</v>
      </c>
      <c r="E4" s="4">
        <f t="shared" si="1"/>
        <v>0</v>
      </c>
      <c r="F4" s="4">
        <f t="shared" si="2"/>
        <v>0</v>
      </c>
      <c r="G4" s="4">
        <f t="shared" si="3"/>
        <v>20.221</v>
      </c>
      <c r="H4" s="4">
        <f t="shared" si="4"/>
        <v>19.9395</v>
      </c>
      <c r="I4" s="4" t="str">
        <f t="shared" si="5"/>
        <v> </v>
      </c>
      <c r="K4" s="4">
        <v>11.6</v>
      </c>
      <c r="L4" s="4">
        <f t="shared" si="6"/>
        <v>3</v>
      </c>
      <c r="M4" s="4">
        <f t="shared" si="7"/>
        <v>1</v>
      </c>
      <c r="N4" s="4">
        <f t="shared" si="8"/>
        <v>8.2015</v>
      </c>
      <c r="O4" s="4" t="str">
        <f t="shared" si="9"/>
        <v/>
      </c>
      <c r="P4" s="4">
        <f t="shared" si="10"/>
        <v>11.6</v>
      </c>
    </row>
    <row r="5">
      <c r="A5" s="7">
        <v>1977.0</v>
      </c>
      <c r="B5" s="4">
        <v>155.0</v>
      </c>
      <c r="C5" s="4">
        <v>6.9</v>
      </c>
      <c r="D5" s="4">
        <v>18.2</v>
      </c>
      <c r="E5" s="4">
        <f t="shared" si="1"/>
        <v>1</v>
      </c>
      <c r="F5" s="4">
        <f t="shared" si="2"/>
        <v>1</v>
      </c>
      <c r="G5" s="4">
        <f t="shared" si="3"/>
        <v>24.808</v>
      </c>
      <c r="H5" s="4">
        <f t="shared" si="4"/>
        <v>25.8145</v>
      </c>
      <c r="I5" s="4">
        <f t="shared" si="5"/>
        <v>1.0065</v>
      </c>
      <c r="J5" s="4">
        <v>14.1</v>
      </c>
      <c r="K5" s="4">
        <v>13.0</v>
      </c>
      <c r="L5" s="4">
        <f t="shared" si="6"/>
        <v>8</v>
      </c>
      <c r="M5" s="4">
        <f t="shared" si="7"/>
        <v>1</v>
      </c>
      <c r="N5" s="4">
        <f t="shared" si="8"/>
        <v>11.0939</v>
      </c>
      <c r="O5" s="4">
        <f t="shared" si="9"/>
        <v>14.1</v>
      </c>
      <c r="P5" s="4">
        <f t="shared" si="10"/>
        <v>13</v>
      </c>
    </row>
    <row r="6">
      <c r="A6" s="7">
        <v>1977.0</v>
      </c>
      <c r="B6" s="4">
        <v>156.0</v>
      </c>
      <c r="C6" s="4">
        <v>10.0</v>
      </c>
      <c r="D6" s="4">
        <v>17.6</v>
      </c>
      <c r="E6" s="4">
        <f t="shared" si="1"/>
        <v>1</v>
      </c>
      <c r="F6" s="4">
        <f t="shared" si="2"/>
        <v>0</v>
      </c>
      <c r="G6" s="4">
        <f t="shared" si="3"/>
        <v>24.689</v>
      </c>
      <c r="H6" s="4">
        <f t="shared" si="4"/>
        <v>24.376</v>
      </c>
      <c r="I6" s="4" t="str">
        <f t="shared" si="5"/>
        <v> </v>
      </c>
      <c r="J6" s="4">
        <v>9.3</v>
      </c>
      <c r="K6" s="4">
        <v>14.1</v>
      </c>
      <c r="L6" s="4">
        <f t="shared" si="6"/>
        <v>8</v>
      </c>
      <c r="M6" s="4">
        <f t="shared" si="7"/>
        <v>1</v>
      </c>
      <c r="N6" s="4">
        <f t="shared" si="8"/>
        <v>5.1367</v>
      </c>
      <c r="O6" s="4">
        <f t="shared" si="9"/>
        <v>9.3</v>
      </c>
      <c r="P6" s="4">
        <f t="shared" si="10"/>
        <v>14.1</v>
      </c>
    </row>
    <row r="7">
      <c r="A7" s="7">
        <v>1977.0</v>
      </c>
      <c r="B7" s="4">
        <v>157.0</v>
      </c>
      <c r="C7" s="4">
        <v>10.3</v>
      </c>
      <c r="D7" s="4">
        <v>18.7</v>
      </c>
      <c r="E7" s="4">
        <f t="shared" si="1"/>
        <v>1</v>
      </c>
      <c r="F7" s="4">
        <f t="shared" si="2"/>
        <v>0</v>
      </c>
      <c r="G7" s="4">
        <f t="shared" si="3"/>
        <v>25.403</v>
      </c>
      <c r="H7" s="4">
        <f t="shared" si="4"/>
        <v>24.1245</v>
      </c>
      <c r="I7" s="4" t="str">
        <f t="shared" si="5"/>
        <v> </v>
      </c>
      <c r="J7" s="4">
        <v>1.6</v>
      </c>
      <c r="K7" s="4">
        <v>14.0</v>
      </c>
      <c r="L7" s="4">
        <f t="shared" si="6"/>
        <v>8</v>
      </c>
      <c r="M7" s="4">
        <f t="shared" si="7"/>
        <v>0</v>
      </c>
      <c r="N7" s="4">
        <f t="shared" si="8"/>
        <v>-4.6529</v>
      </c>
      <c r="O7" s="4">
        <f t="shared" si="9"/>
        <v>1.6</v>
      </c>
      <c r="P7" s="4">
        <f t="shared" si="10"/>
        <v>14</v>
      </c>
    </row>
    <row r="8">
      <c r="A8" s="7">
        <v>1977.0</v>
      </c>
      <c r="B8" s="4">
        <v>158.0</v>
      </c>
      <c r="C8" s="4">
        <v>8.3</v>
      </c>
      <c r="D8" s="4">
        <v>18.9</v>
      </c>
      <c r="E8" s="4">
        <f t="shared" si="1"/>
        <v>0</v>
      </c>
      <c r="F8" s="4">
        <f t="shared" si="2"/>
        <v>0</v>
      </c>
      <c r="G8" s="4">
        <f t="shared" si="3"/>
        <v>24.719</v>
      </c>
      <c r="H8" s="4">
        <f t="shared" si="4"/>
        <v>21.7815</v>
      </c>
      <c r="I8" s="4" t="str">
        <f t="shared" si="5"/>
        <v> </v>
      </c>
      <c r="K8" s="4">
        <v>14.6</v>
      </c>
      <c r="L8" s="4">
        <f t="shared" si="6"/>
        <v>3</v>
      </c>
      <c r="M8" s="4">
        <f t="shared" si="7"/>
        <v>0</v>
      </c>
      <c r="N8" s="4">
        <f t="shared" si="8"/>
        <v>-7.6015</v>
      </c>
      <c r="O8" s="4" t="str">
        <f t="shared" si="9"/>
        <v/>
      </c>
      <c r="P8" s="4">
        <f t="shared" si="10"/>
        <v>14.6</v>
      </c>
    </row>
    <row r="9">
      <c r="A9" s="7">
        <v>1977.0</v>
      </c>
      <c r="B9" s="4">
        <v>159.0</v>
      </c>
      <c r="C9" s="4">
        <v>8.0</v>
      </c>
      <c r="D9" s="4">
        <v>22.3</v>
      </c>
      <c r="E9" s="4">
        <f t="shared" si="1"/>
        <v>0</v>
      </c>
      <c r="F9" s="4">
        <f t="shared" si="2"/>
        <v>0</v>
      </c>
      <c r="G9" s="4">
        <f t="shared" si="3"/>
        <v>27.959</v>
      </c>
      <c r="H9" s="4">
        <f t="shared" si="4"/>
        <v>25.454</v>
      </c>
      <c r="I9" s="4" t="str">
        <f t="shared" si="5"/>
        <v> </v>
      </c>
      <c r="K9" s="4">
        <v>16.5</v>
      </c>
      <c r="L9" s="4">
        <f t="shared" si="6"/>
        <v>3</v>
      </c>
      <c r="M9" s="4">
        <f t="shared" si="7"/>
        <v>0</v>
      </c>
      <c r="N9" s="4">
        <f t="shared" si="8"/>
        <v>-4.6848</v>
      </c>
      <c r="O9" s="4" t="str">
        <f t="shared" si="9"/>
        <v/>
      </c>
      <c r="P9" s="4">
        <f t="shared" si="10"/>
        <v>16.5</v>
      </c>
    </row>
    <row r="10">
      <c r="A10" s="7">
        <v>1977.0</v>
      </c>
      <c r="B10" s="4">
        <v>160.0</v>
      </c>
      <c r="C10" s="4">
        <v>9.9</v>
      </c>
      <c r="D10" s="4">
        <v>21.8</v>
      </c>
      <c r="E10" s="4">
        <f t="shared" si="1"/>
        <v>0</v>
      </c>
      <c r="F10" s="4">
        <f t="shared" si="2"/>
        <v>0</v>
      </c>
      <c r="G10" s="4">
        <f t="shared" si="3"/>
        <v>30.309</v>
      </c>
      <c r="H10" s="4">
        <f t="shared" si="4"/>
        <v>29.174</v>
      </c>
      <c r="I10" s="4" t="str">
        <f t="shared" si="5"/>
        <v> </v>
      </c>
      <c r="K10" s="4">
        <v>17.3</v>
      </c>
      <c r="L10" s="4">
        <f t="shared" si="6"/>
        <v>3</v>
      </c>
      <c r="M10" s="4">
        <f t="shared" si="7"/>
        <v>0</v>
      </c>
      <c r="N10" s="4">
        <f t="shared" si="8"/>
        <v>-1.4098</v>
      </c>
      <c r="O10" s="4" t="str">
        <f t="shared" si="9"/>
        <v/>
      </c>
      <c r="P10" s="4">
        <f t="shared" si="10"/>
        <v>17.3</v>
      </c>
    </row>
    <row r="11">
      <c r="A11" s="7">
        <v>1977.0</v>
      </c>
      <c r="B11" s="4">
        <v>161.0</v>
      </c>
      <c r="C11" s="4">
        <v>16.1</v>
      </c>
      <c r="D11" s="4">
        <v>21.9</v>
      </c>
      <c r="E11" s="4">
        <f t="shared" si="1"/>
        <v>0</v>
      </c>
      <c r="F11" s="4">
        <f t="shared" si="2"/>
        <v>1</v>
      </c>
      <c r="G11" s="4">
        <f t="shared" si="3"/>
        <v>35.067</v>
      </c>
      <c r="H11" s="4">
        <f t="shared" si="4"/>
        <v>35.1745</v>
      </c>
      <c r="I11" s="4">
        <f t="shared" si="5"/>
        <v>0.1075</v>
      </c>
      <c r="K11" s="4">
        <v>19.2</v>
      </c>
      <c r="L11" s="4">
        <f t="shared" si="6"/>
        <v>3</v>
      </c>
      <c r="M11" s="4">
        <f t="shared" si="7"/>
        <v>1</v>
      </c>
      <c r="N11" s="4">
        <f t="shared" si="8"/>
        <v>7.6986</v>
      </c>
      <c r="O11" s="4" t="str">
        <f t="shared" si="9"/>
        <v/>
      </c>
      <c r="P11" s="4">
        <f t="shared" si="10"/>
        <v>19.2</v>
      </c>
    </row>
    <row r="12">
      <c r="A12" s="7">
        <v>1977.0</v>
      </c>
      <c r="B12" s="4">
        <v>162.0</v>
      </c>
      <c r="C12" s="4">
        <v>15.8</v>
      </c>
      <c r="D12" s="4">
        <v>23.0</v>
      </c>
      <c r="E12" s="4">
        <f t="shared" si="1"/>
        <v>1</v>
      </c>
      <c r="F12" s="4">
        <f t="shared" si="2"/>
        <v>0</v>
      </c>
      <c r="G12" s="4">
        <f t="shared" si="3"/>
        <v>39.595</v>
      </c>
      <c r="H12" s="4">
        <f t="shared" si="4"/>
        <v>39.2905</v>
      </c>
      <c r="I12" s="4" t="str">
        <f t="shared" si="5"/>
        <v> </v>
      </c>
      <c r="J12" s="4">
        <v>0.6</v>
      </c>
      <c r="K12" s="4">
        <v>19.1</v>
      </c>
      <c r="L12" s="4">
        <f t="shared" si="6"/>
        <v>8</v>
      </c>
      <c r="M12" s="4">
        <f t="shared" si="7"/>
        <v>1</v>
      </c>
      <c r="N12" s="4">
        <f t="shared" si="8"/>
        <v>10.6859</v>
      </c>
      <c r="O12" s="4">
        <f t="shared" si="9"/>
        <v>0.6</v>
      </c>
      <c r="P12" s="4">
        <f t="shared" si="10"/>
        <v>19.1</v>
      </c>
    </row>
    <row r="13">
      <c r="A13" s="7">
        <v>1977.0</v>
      </c>
      <c r="B13" s="4">
        <v>163.0</v>
      </c>
      <c r="C13" s="4">
        <v>15.8</v>
      </c>
      <c r="D13" s="4">
        <v>23.0</v>
      </c>
      <c r="E13" s="4">
        <f t="shared" si="1"/>
        <v>1</v>
      </c>
      <c r="F13" s="4">
        <f t="shared" si="2"/>
        <v>0</v>
      </c>
      <c r="G13" s="4">
        <f t="shared" si="3"/>
        <v>39.419</v>
      </c>
      <c r="H13" s="4">
        <f t="shared" si="4"/>
        <v>38.368</v>
      </c>
      <c r="I13" s="4" t="str">
        <f t="shared" si="5"/>
        <v> </v>
      </c>
      <c r="J13" s="4">
        <v>0.4</v>
      </c>
      <c r="K13" s="4">
        <v>19.8</v>
      </c>
      <c r="L13" s="4">
        <f t="shared" si="6"/>
        <v>8</v>
      </c>
      <c r="M13" s="4">
        <f t="shared" si="7"/>
        <v>1</v>
      </c>
      <c r="N13" s="4">
        <f t="shared" si="8"/>
        <v>10.944</v>
      </c>
      <c r="O13" s="4">
        <f t="shared" si="9"/>
        <v>0.4</v>
      </c>
      <c r="P13" s="4">
        <f t="shared" si="10"/>
        <v>19.8</v>
      </c>
    </row>
    <row r="14">
      <c r="A14" s="7">
        <v>1977.0</v>
      </c>
      <c r="B14" s="4">
        <v>164.0</v>
      </c>
      <c r="C14" s="4">
        <v>15.3</v>
      </c>
      <c r="D14" s="4">
        <v>23.1</v>
      </c>
      <c r="E14" s="4">
        <f t="shared" si="1"/>
        <v>1</v>
      </c>
      <c r="F14" s="4">
        <f t="shared" si="2"/>
        <v>0</v>
      </c>
      <c r="G14" s="4">
        <f t="shared" si="3"/>
        <v>38.903</v>
      </c>
      <c r="H14" s="4">
        <f t="shared" si="4"/>
        <v>36.9575</v>
      </c>
      <c r="I14" s="4" t="str">
        <f t="shared" si="5"/>
        <v> </v>
      </c>
      <c r="J14" s="4">
        <v>4.8</v>
      </c>
      <c r="K14" s="4">
        <v>19.2</v>
      </c>
      <c r="L14" s="4">
        <f t="shared" si="6"/>
        <v>8</v>
      </c>
      <c r="M14" s="4">
        <f t="shared" si="7"/>
        <v>1</v>
      </c>
      <c r="N14" s="4">
        <f t="shared" si="8"/>
        <v>4.6893</v>
      </c>
      <c r="O14" s="4">
        <f t="shared" si="9"/>
        <v>4.8</v>
      </c>
      <c r="P14" s="4">
        <f t="shared" si="10"/>
        <v>19.2</v>
      </c>
    </row>
    <row r="15">
      <c r="A15" s="7">
        <v>1977.0</v>
      </c>
      <c r="B15" s="4">
        <v>165.0</v>
      </c>
      <c r="C15" s="4">
        <v>15.7</v>
      </c>
      <c r="D15" s="4">
        <v>23.6</v>
      </c>
      <c r="E15" s="4">
        <f t="shared" si="1"/>
        <v>1</v>
      </c>
      <c r="F15" s="4">
        <f t="shared" si="2"/>
        <v>0</v>
      </c>
      <c r="G15" s="4">
        <f t="shared" si="3"/>
        <v>32.579</v>
      </c>
      <c r="H15" s="4">
        <f t="shared" si="4"/>
        <v>29.246</v>
      </c>
      <c r="I15" s="4" t="str">
        <f t="shared" si="5"/>
        <v> </v>
      </c>
      <c r="J15" s="4">
        <v>0.5</v>
      </c>
      <c r="K15" s="4">
        <v>19.2</v>
      </c>
      <c r="L15" s="4">
        <f t="shared" si="6"/>
        <v>8</v>
      </c>
      <c r="M15" s="4">
        <f t="shared" si="7"/>
        <v>0</v>
      </c>
      <c r="N15" s="4">
        <f t="shared" si="8"/>
        <v>-5.9993</v>
      </c>
      <c r="O15" s="4">
        <f t="shared" si="9"/>
        <v>0.5</v>
      </c>
      <c r="P15" s="4">
        <f t="shared" si="10"/>
        <v>19.2</v>
      </c>
    </row>
    <row r="16">
      <c r="A16" s="7">
        <v>1977.0</v>
      </c>
      <c r="B16" s="4">
        <v>166.0</v>
      </c>
      <c r="C16" s="4">
        <v>13.6</v>
      </c>
      <c r="D16" s="4">
        <v>25.2</v>
      </c>
      <c r="E16" s="4">
        <f t="shared" si="1"/>
        <v>0</v>
      </c>
      <c r="F16" s="4">
        <f t="shared" si="2"/>
        <v>0</v>
      </c>
      <c r="G16" s="4">
        <f t="shared" si="3"/>
        <v>29.303</v>
      </c>
      <c r="H16" s="4">
        <f t="shared" si="4"/>
        <v>24.202</v>
      </c>
      <c r="I16" s="4" t="str">
        <f t="shared" si="5"/>
        <v> </v>
      </c>
      <c r="K16" s="4">
        <v>20.8</v>
      </c>
      <c r="L16" s="4">
        <f t="shared" si="6"/>
        <v>3</v>
      </c>
      <c r="M16" s="4">
        <f t="shared" si="7"/>
        <v>0</v>
      </c>
      <c r="N16" s="4">
        <f t="shared" si="8"/>
        <v>-9.5648</v>
      </c>
      <c r="O16" s="4" t="str">
        <f t="shared" si="9"/>
        <v/>
      </c>
      <c r="P16" s="4">
        <f t="shared" si="10"/>
        <v>20.8</v>
      </c>
    </row>
    <row r="17">
      <c r="A17" s="7">
        <v>1977.0</v>
      </c>
      <c r="B17" s="4">
        <v>167.0</v>
      </c>
      <c r="C17" s="4">
        <v>11.7</v>
      </c>
      <c r="D17" s="4">
        <v>26.7</v>
      </c>
      <c r="E17" s="4">
        <f t="shared" si="1"/>
        <v>0</v>
      </c>
      <c r="F17" s="4">
        <f t="shared" si="2"/>
        <v>0</v>
      </c>
      <c r="G17" s="4">
        <f t="shared" si="3"/>
        <v>29.81</v>
      </c>
      <c r="H17" s="4">
        <f t="shared" si="4"/>
        <v>24.63</v>
      </c>
      <c r="I17" s="4" t="str">
        <f t="shared" si="5"/>
        <v> </v>
      </c>
      <c r="K17" s="4">
        <v>21.0</v>
      </c>
      <c r="L17" s="4">
        <f t="shared" si="6"/>
        <v>3</v>
      </c>
      <c r="M17" s="4">
        <f t="shared" si="7"/>
        <v>0</v>
      </c>
      <c r="N17" s="4">
        <f t="shared" si="8"/>
        <v>-10.9515</v>
      </c>
      <c r="O17" s="4" t="str">
        <f t="shared" si="9"/>
        <v/>
      </c>
      <c r="P17" s="4">
        <f t="shared" si="10"/>
        <v>21</v>
      </c>
    </row>
    <row r="18">
      <c r="A18" s="7">
        <v>1977.0</v>
      </c>
      <c r="B18" s="4">
        <v>168.0</v>
      </c>
      <c r="C18" s="4">
        <v>12.2</v>
      </c>
      <c r="D18" s="4">
        <v>26.8</v>
      </c>
      <c r="E18" s="4">
        <f t="shared" si="1"/>
        <v>0</v>
      </c>
      <c r="F18" s="4">
        <f t="shared" si="2"/>
        <v>0</v>
      </c>
      <c r="G18" s="4">
        <f t="shared" si="3"/>
        <v>24.687</v>
      </c>
      <c r="H18" s="4">
        <f t="shared" si="4"/>
        <v>21.565</v>
      </c>
      <c r="I18" s="4" t="str">
        <f t="shared" si="5"/>
        <v> </v>
      </c>
      <c r="K18" s="4">
        <v>20.3</v>
      </c>
      <c r="L18" s="4">
        <f t="shared" si="6"/>
        <v>3</v>
      </c>
      <c r="M18" s="4">
        <f t="shared" si="7"/>
        <v>0</v>
      </c>
      <c r="N18" s="4">
        <f t="shared" si="8"/>
        <v>-11.5163</v>
      </c>
      <c r="O18" s="4" t="str">
        <f t="shared" si="9"/>
        <v/>
      </c>
      <c r="P18" s="4">
        <f t="shared" si="10"/>
        <v>20.3</v>
      </c>
    </row>
    <row r="19">
      <c r="A19" s="7">
        <v>1977.0</v>
      </c>
      <c r="B19" s="4">
        <v>169.0</v>
      </c>
      <c r="C19" s="4">
        <v>9.0</v>
      </c>
      <c r="D19" s="4">
        <v>17.9</v>
      </c>
      <c r="E19" s="4">
        <f t="shared" si="1"/>
        <v>0</v>
      </c>
      <c r="F19" s="4">
        <f t="shared" si="2"/>
        <v>0</v>
      </c>
      <c r="G19" s="4">
        <f t="shared" si="3"/>
        <v>17.257</v>
      </c>
      <c r="H19" s="4">
        <f t="shared" si="4"/>
        <v>14.544</v>
      </c>
      <c r="I19" s="4" t="str">
        <f t="shared" si="5"/>
        <v> </v>
      </c>
      <c r="K19" s="4">
        <v>14.3</v>
      </c>
      <c r="L19" s="4">
        <f t="shared" si="6"/>
        <v>3</v>
      </c>
      <c r="M19" s="4">
        <f t="shared" si="7"/>
        <v>0</v>
      </c>
      <c r="N19" s="4">
        <f t="shared" si="8"/>
        <v>-8.1056</v>
      </c>
      <c r="O19" s="4" t="str">
        <f t="shared" si="9"/>
        <v/>
      </c>
      <c r="P19" s="4">
        <f t="shared" si="10"/>
        <v>14.3</v>
      </c>
    </row>
    <row r="20">
      <c r="A20" s="7">
        <v>1977.0</v>
      </c>
      <c r="B20" s="4">
        <v>170.0</v>
      </c>
      <c r="C20" s="4">
        <v>4.8</v>
      </c>
      <c r="D20" s="4">
        <v>19.2</v>
      </c>
      <c r="E20" s="4">
        <f t="shared" si="1"/>
        <v>0</v>
      </c>
      <c r="F20" s="4">
        <f t="shared" si="2"/>
        <v>0</v>
      </c>
      <c r="G20" s="4">
        <f t="shared" si="3"/>
        <v>16.457</v>
      </c>
      <c r="H20" s="4">
        <f t="shared" si="4"/>
        <v>16.192</v>
      </c>
      <c r="I20" s="4" t="str">
        <f t="shared" si="5"/>
        <v> </v>
      </c>
      <c r="K20" s="4">
        <v>13.5</v>
      </c>
      <c r="L20" s="4">
        <f t="shared" si="6"/>
        <v>3</v>
      </c>
      <c r="M20" s="4">
        <f t="shared" si="7"/>
        <v>0</v>
      </c>
      <c r="N20" s="4">
        <f t="shared" si="8"/>
        <v>-4.1086</v>
      </c>
      <c r="O20" s="4" t="str">
        <f t="shared" si="9"/>
        <v/>
      </c>
      <c r="P20" s="4">
        <f t="shared" si="10"/>
        <v>13.5</v>
      </c>
    </row>
    <row r="21" ht="15.75" customHeight="1">
      <c r="A21" s="7">
        <v>1977.0</v>
      </c>
      <c r="B21" s="4">
        <v>171.0</v>
      </c>
      <c r="C21" s="4">
        <v>7.2</v>
      </c>
      <c r="D21" s="4">
        <v>23.2</v>
      </c>
      <c r="E21" s="4">
        <f t="shared" si="1"/>
        <v>0</v>
      </c>
      <c r="F21" s="4">
        <f t="shared" si="2"/>
        <v>1</v>
      </c>
      <c r="G21" s="4">
        <f t="shared" si="3"/>
        <v>18.362</v>
      </c>
      <c r="H21" s="4">
        <f t="shared" si="4"/>
        <v>18.8365</v>
      </c>
      <c r="I21" s="4">
        <f t="shared" si="5"/>
        <v>0.4745</v>
      </c>
      <c r="K21" s="4">
        <v>16.6</v>
      </c>
      <c r="L21" s="4">
        <f t="shared" si="6"/>
        <v>3</v>
      </c>
      <c r="M21" s="4">
        <f t="shared" si="7"/>
        <v>0</v>
      </c>
      <c r="N21" s="4">
        <f t="shared" si="8"/>
        <v>-1.0772</v>
      </c>
      <c r="O21" s="4" t="str">
        <f t="shared" si="9"/>
        <v/>
      </c>
      <c r="P21" s="4">
        <f t="shared" si="10"/>
        <v>16.6</v>
      </c>
    </row>
    <row r="22" ht="15.75" customHeight="1">
      <c r="A22" s="7">
        <v>1977.0</v>
      </c>
      <c r="B22" s="4">
        <v>172.0</v>
      </c>
      <c r="C22" s="4">
        <v>7.4</v>
      </c>
      <c r="D22" s="4">
        <v>16.6</v>
      </c>
      <c r="E22" s="4">
        <f t="shared" si="1"/>
        <v>1</v>
      </c>
      <c r="F22" s="4">
        <f t="shared" si="2"/>
        <v>1</v>
      </c>
      <c r="G22" s="4">
        <f t="shared" si="3"/>
        <v>17.187</v>
      </c>
      <c r="H22" s="4">
        <f t="shared" si="4"/>
        <v>20.737</v>
      </c>
      <c r="I22" s="4">
        <f t="shared" si="5"/>
        <v>3.55</v>
      </c>
      <c r="J22" s="4">
        <v>1.7</v>
      </c>
      <c r="K22" s="4">
        <v>13.2</v>
      </c>
      <c r="L22" s="4">
        <f t="shared" si="6"/>
        <v>8</v>
      </c>
      <c r="M22" s="4">
        <f t="shared" si="7"/>
        <v>0</v>
      </c>
      <c r="N22" s="4">
        <f t="shared" si="8"/>
        <v>-0.404</v>
      </c>
      <c r="O22" s="4">
        <f t="shared" si="9"/>
        <v>1.7</v>
      </c>
      <c r="P22" s="4">
        <f t="shared" si="10"/>
        <v>13.2</v>
      </c>
    </row>
    <row r="23" ht="15.75" customHeight="1">
      <c r="A23" s="7">
        <v>1977.0</v>
      </c>
      <c r="B23" s="4">
        <v>173.0</v>
      </c>
      <c r="C23" s="4">
        <v>3.8</v>
      </c>
      <c r="D23" s="4">
        <v>14.8</v>
      </c>
      <c r="E23" s="4">
        <f t="shared" si="1"/>
        <v>0</v>
      </c>
      <c r="F23" s="4">
        <f t="shared" si="2"/>
        <v>0</v>
      </c>
      <c r="G23" s="4">
        <f t="shared" si="3"/>
        <v>18.696</v>
      </c>
      <c r="H23" s="4">
        <f t="shared" si="4"/>
        <v>18.669</v>
      </c>
      <c r="I23" s="4" t="str">
        <f t="shared" si="5"/>
        <v> </v>
      </c>
      <c r="K23" s="4">
        <v>9.4</v>
      </c>
      <c r="L23" s="4">
        <f t="shared" si="6"/>
        <v>3</v>
      </c>
      <c r="M23" s="4">
        <f t="shared" si="7"/>
        <v>1</v>
      </c>
      <c r="N23" s="4">
        <f t="shared" si="8"/>
        <v>6.4566</v>
      </c>
      <c r="O23" s="4">
        <f t="shared" si="9"/>
        <v>0</v>
      </c>
      <c r="P23" s="4">
        <f t="shared" si="10"/>
        <v>0</v>
      </c>
    </row>
    <row r="24" ht="15.75" customHeight="1">
      <c r="A24" s="7">
        <v>1977.0</v>
      </c>
      <c r="B24" s="4">
        <v>174.0</v>
      </c>
      <c r="C24" s="4">
        <v>3.1</v>
      </c>
      <c r="D24" s="4">
        <v>15.8</v>
      </c>
      <c r="E24" s="4">
        <f t="shared" si="1"/>
        <v>1</v>
      </c>
      <c r="F24" s="4">
        <f t="shared" si="2"/>
        <v>1</v>
      </c>
      <c r="G24" s="4">
        <f t="shared" si="3"/>
        <v>23.618</v>
      </c>
      <c r="H24" s="4">
        <f t="shared" si="4"/>
        <v>26.4865</v>
      </c>
      <c r="I24" s="4">
        <f t="shared" si="5"/>
        <v>2.8685</v>
      </c>
      <c r="J24" s="4">
        <v>1.8</v>
      </c>
      <c r="K24" s="4">
        <v>10.1</v>
      </c>
      <c r="L24" s="4">
        <f t="shared" si="6"/>
        <v>8</v>
      </c>
      <c r="M24" s="4">
        <f t="shared" si="7"/>
        <v>1</v>
      </c>
      <c r="N24" s="4">
        <f t="shared" si="8"/>
        <v>12.6978</v>
      </c>
      <c r="O24" s="4">
        <f t="shared" si="9"/>
        <v>1.8</v>
      </c>
      <c r="P24" s="4">
        <f t="shared" si="10"/>
        <v>10.1</v>
      </c>
    </row>
    <row r="25" ht="15.75" customHeight="1">
      <c r="A25" s="7">
        <v>1977.0</v>
      </c>
      <c r="B25" s="4">
        <v>175.0</v>
      </c>
      <c r="C25" s="4">
        <v>4.2</v>
      </c>
      <c r="D25" s="4">
        <v>14.5</v>
      </c>
      <c r="E25" s="4">
        <f t="shared" si="1"/>
        <v>1</v>
      </c>
      <c r="F25" s="4">
        <f t="shared" si="2"/>
        <v>1</v>
      </c>
      <c r="G25" s="4">
        <f t="shared" si="3"/>
        <v>25.346</v>
      </c>
      <c r="H25" s="4">
        <f t="shared" si="4"/>
        <v>28.584</v>
      </c>
      <c r="I25" s="4">
        <f t="shared" si="5"/>
        <v>3.238</v>
      </c>
      <c r="J25" s="4">
        <v>0.4</v>
      </c>
      <c r="K25" s="4">
        <v>10.1</v>
      </c>
      <c r="L25" s="4">
        <f t="shared" si="6"/>
        <v>8</v>
      </c>
      <c r="M25" s="4">
        <f t="shared" si="7"/>
        <v>1</v>
      </c>
      <c r="N25" s="4">
        <f t="shared" si="8"/>
        <v>6.2255</v>
      </c>
      <c r="O25" s="4">
        <f t="shared" si="9"/>
        <v>0.4</v>
      </c>
      <c r="P25" s="4">
        <f t="shared" si="10"/>
        <v>10.1</v>
      </c>
    </row>
    <row r="26" ht="15.75" customHeight="1">
      <c r="A26" s="7">
        <v>1977.0</v>
      </c>
      <c r="B26" s="4">
        <v>176.0</v>
      </c>
      <c r="C26" s="4">
        <v>9.0</v>
      </c>
      <c r="D26" s="4">
        <v>15.9</v>
      </c>
      <c r="E26" s="4">
        <f t="shared" si="1"/>
        <v>1</v>
      </c>
      <c r="F26" s="4">
        <f t="shared" si="2"/>
        <v>0</v>
      </c>
      <c r="G26" s="4">
        <f t="shared" si="3"/>
        <v>29.84</v>
      </c>
      <c r="H26" s="4">
        <f t="shared" si="4"/>
        <v>29.457</v>
      </c>
      <c r="I26" s="4" t="str">
        <f t="shared" si="5"/>
        <v> </v>
      </c>
      <c r="J26" s="4">
        <v>3.4</v>
      </c>
      <c r="K26" s="4">
        <v>12.3</v>
      </c>
      <c r="L26" s="4">
        <f t="shared" si="6"/>
        <v>8</v>
      </c>
      <c r="M26" s="4">
        <f t="shared" si="7"/>
        <v>1</v>
      </c>
      <c r="N26" s="4">
        <f t="shared" si="8"/>
        <v>0.4473</v>
      </c>
      <c r="O26" s="4">
        <f t="shared" si="9"/>
        <v>3.4</v>
      </c>
      <c r="P26" s="4">
        <f t="shared" si="10"/>
        <v>12.3</v>
      </c>
    </row>
    <row r="27" ht="15.75" customHeight="1">
      <c r="A27" s="7">
        <v>1977.0</v>
      </c>
      <c r="B27" s="4">
        <v>177.0</v>
      </c>
      <c r="C27" s="4">
        <v>8.5</v>
      </c>
      <c r="D27" s="4">
        <v>22.6</v>
      </c>
      <c r="E27" s="4">
        <f t="shared" si="1"/>
        <v>0</v>
      </c>
      <c r="F27" s="4">
        <f t="shared" si="2"/>
        <v>0</v>
      </c>
      <c r="G27" s="4">
        <f t="shared" si="3"/>
        <v>31.308</v>
      </c>
      <c r="H27" s="4">
        <f t="shared" si="4"/>
        <v>29.9625</v>
      </c>
      <c r="I27" s="4" t="str">
        <f t="shared" si="5"/>
        <v> </v>
      </c>
      <c r="K27" s="4">
        <v>16.2</v>
      </c>
      <c r="L27" s="4">
        <f t="shared" si="6"/>
        <v>3</v>
      </c>
      <c r="M27" s="4">
        <f t="shared" si="7"/>
        <v>1</v>
      </c>
      <c r="N27" s="4">
        <f t="shared" si="8"/>
        <v>6.9035</v>
      </c>
      <c r="O27" s="4" t="str">
        <f t="shared" si="9"/>
        <v/>
      </c>
      <c r="P27" s="4">
        <f t="shared" si="10"/>
        <v>16.2</v>
      </c>
    </row>
    <row r="28" ht="15.75" customHeight="1">
      <c r="A28" s="7">
        <v>1977.0</v>
      </c>
      <c r="B28" s="4">
        <v>178.0</v>
      </c>
      <c r="C28" s="4">
        <v>9.6</v>
      </c>
      <c r="D28" s="4">
        <v>25.0</v>
      </c>
      <c r="E28" s="4">
        <f t="shared" si="1"/>
        <v>1</v>
      </c>
      <c r="F28" s="4">
        <f t="shared" si="2"/>
        <v>0</v>
      </c>
      <c r="G28" s="4">
        <f t="shared" si="3"/>
        <v>33.555</v>
      </c>
      <c r="H28" s="4">
        <f t="shared" si="4"/>
        <v>31.7045</v>
      </c>
      <c r="I28" s="4" t="str">
        <f t="shared" si="5"/>
        <v> </v>
      </c>
      <c r="J28" s="4">
        <v>12.2</v>
      </c>
      <c r="K28" s="4">
        <v>17.0</v>
      </c>
      <c r="L28" s="4">
        <f t="shared" si="6"/>
        <v>8</v>
      </c>
      <c r="M28" s="4">
        <f t="shared" si="7"/>
        <v>1</v>
      </c>
      <c r="N28" s="4">
        <f t="shared" si="8"/>
        <v>2.9229</v>
      </c>
      <c r="O28" s="4">
        <f t="shared" si="9"/>
        <v>12.2</v>
      </c>
      <c r="P28" s="4">
        <f t="shared" si="10"/>
        <v>17</v>
      </c>
    </row>
    <row r="29" ht="15.75" customHeight="1">
      <c r="A29" s="7">
        <v>1977.0</v>
      </c>
      <c r="B29" s="4">
        <v>179.0</v>
      </c>
      <c r="C29" s="4">
        <v>13.8</v>
      </c>
      <c r="D29" s="4">
        <v>23.3</v>
      </c>
      <c r="E29" s="4">
        <f t="shared" si="1"/>
        <v>1</v>
      </c>
      <c r="F29" s="4">
        <f t="shared" si="2"/>
        <v>0</v>
      </c>
      <c r="G29" s="4">
        <f t="shared" si="3"/>
        <v>33.986</v>
      </c>
      <c r="H29" s="4">
        <f t="shared" si="4"/>
        <v>30.7515</v>
      </c>
      <c r="I29" s="4" t="str">
        <f t="shared" si="5"/>
        <v> </v>
      </c>
      <c r="J29" s="4">
        <v>6.3</v>
      </c>
      <c r="K29" s="4">
        <v>18.3</v>
      </c>
      <c r="L29" s="4">
        <f t="shared" si="6"/>
        <v>8</v>
      </c>
      <c r="M29" s="4">
        <f t="shared" si="7"/>
        <v>0</v>
      </c>
      <c r="N29" s="4">
        <f t="shared" si="8"/>
        <v>-3.3002</v>
      </c>
      <c r="O29" s="4">
        <f t="shared" si="9"/>
        <v>6.3</v>
      </c>
      <c r="P29" s="4">
        <f t="shared" si="10"/>
        <v>18.3</v>
      </c>
    </row>
    <row r="30" ht="15.75" customHeight="1">
      <c r="A30" s="7">
        <v>1977.0</v>
      </c>
      <c r="B30" s="4">
        <v>180.0</v>
      </c>
      <c r="C30" s="4">
        <v>10.3</v>
      </c>
      <c r="D30" s="4">
        <v>22.2</v>
      </c>
      <c r="E30" s="4">
        <f t="shared" si="1"/>
        <v>0</v>
      </c>
      <c r="F30" s="4">
        <f t="shared" si="2"/>
        <v>0</v>
      </c>
      <c r="G30" s="4">
        <f t="shared" si="3"/>
        <v>26.789</v>
      </c>
      <c r="H30" s="4">
        <f t="shared" si="4"/>
        <v>23.824</v>
      </c>
      <c r="I30" s="4" t="str">
        <f t="shared" si="5"/>
        <v> </v>
      </c>
      <c r="K30" s="4">
        <v>17.2</v>
      </c>
      <c r="L30" s="4">
        <f t="shared" si="6"/>
        <v>3</v>
      </c>
      <c r="M30" s="4">
        <f t="shared" si="7"/>
        <v>0</v>
      </c>
      <c r="N30" s="4">
        <f t="shared" si="8"/>
        <v>-8.0543</v>
      </c>
      <c r="O30" s="4" t="str">
        <f t="shared" si="9"/>
        <v/>
      </c>
      <c r="P30" s="4">
        <f t="shared" si="10"/>
        <v>17.2</v>
      </c>
    </row>
    <row r="31" ht="15.75" customHeight="1">
      <c r="A31" s="7">
        <v>1977.0</v>
      </c>
      <c r="B31" s="4">
        <v>181.0</v>
      </c>
      <c r="C31" s="4">
        <v>13.3</v>
      </c>
      <c r="D31" s="4">
        <v>22.5</v>
      </c>
      <c r="E31" s="4">
        <f t="shared" si="1"/>
        <v>0</v>
      </c>
      <c r="F31" s="4">
        <f t="shared" si="2"/>
        <v>0</v>
      </c>
      <c r="G31" s="4">
        <f t="shared" si="3"/>
        <v>30.76</v>
      </c>
      <c r="H31" s="4">
        <f t="shared" si="4"/>
        <v>26.4705</v>
      </c>
      <c r="I31" s="4" t="str">
        <f t="shared" si="5"/>
        <v> </v>
      </c>
      <c r="K31" s="4">
        <v>18.0</v>
      </c>
      <c r="L31" s="4">
        <f t="shared" si="6"/>
        <v>3</v>
      </c>
      <c r="M31" s="4">
        <f t="shared" si="7"/>
        <v>0</v>
      </c>
      <c r="N31" s="4">
        <f t="shared" si="8"/>
        <v>-7.1361</v>
      </c>
      <c r="O31" s="4" t="str">
        <f t="shared" si="9"/>
        <v/>
      </c>
      <c r="P31" s="4">
        <f t="shared" si="10"/>
        <v>18</v>
      </c>
    </row>
    <row r="32" ht="15.75" customHeight="1">
      <c r="A32" s="7">
        <v>1977.0</v>
      </c>
      <c r="B32" s="4">
        <v>182.0</v>
      </c>
      <c r="C32" s="4">
        <v>11.9</v>
      </c>
      <c r="D32" s="4">
        <v>22.3</v>
      </c>
      <c r="E32" s="4">
        <f t="shared" si="1"/>
        <v>0</v>
      </c>
      <c r="F32" s="4">
        <f t="shared" si="2"/>
        <v>0</v>
      </c>
      <c r="G32" s="4">
        <f t="shared" si="3"/>
        <v>28.501</v>
      </c>
      <c r="H32" s="4">
        <f t="shared" si="4"/>
        <v>26.2025</v>
      </c>
      <c r="I32" s="4" t="str">
        <f t="shared" si="5"/>
        <v> </v>
      </c>
      <c r="K32" s="4">
        <v>18.7</v>
      </c>
      <c r="L32" s="4">
        <f t="shared" si="6"/>
        <v>3</v>
      </c>
      <c r="M32" s="4">
        <f t="shared" si="7"/>
        <v>0</v>
      </c>
      <c r="N32" s="4">
        <f t="shared" si="8"/>
        <v>-1.9098</v>
      </c>
      <c r="O32" s="4" t="str">
        <f t="shared" si="9"/>
        <v/>
      </c>
      <c r="P32" s="4">
        <f t="shared" si="10"/>
        <v>18.7</v>
      </c>
    </row>
    <row r="33" ht="15.75" customHeight="1">
      <c r="A33" s="7">
        <v>1977.0</v>
      </c>
      <c r="B33" s="4">
        <v>183.0</v>
      </c>
      <c r="C33" s="4">
        <v>13.8</v>
      </c>
      <c r="D33" s="4">
        <v>26.5</v>
      </c>
      <c r="E33" s="4">
        <f t="shared" si="1"/>
        <v>0</v>
      </c>
      <c r="F33" s="4">
        <f t="shared" si="2"/>
        <v>0</v>
      </c>
      <c r="G33" s="4">
        <f t="shared" si="3"/>
        <v>34.487</v>
      </c>
      <c r="H33" s="4">
        <f t="shared" si="4"/>
        <v>31.5795</v>
      </c>
      <c r="I33" s="4" t="str">
        <f t="shared" si="5"/>
        <v> </v>
      </c>
      <c r="K33" s="4">
        <v>20.4</v>
      </c>
      <c r="L33" s="4">
        <f t="shared" si="6"/>
        <v>3</v>
      </c>
      <c r="M33" s="4">
        <f t="shared" si="7"/>
        <v>1</v>
      </c>
      <c r="N33" s="4">
        <f t="shared" si="8"/>
        <v>1.6983</v>
      </c>
      <c r="O33" s="4" t="str">
        <f t="shared" si="9"/>
        <v/>
      </c>
      <c r="P33" s="4">
        <f t="shared" si="10"/>
        <v>20.4</v>
      </c>
    </row>
    <row r="34" ht="15.75" customHeight="1">
      <c r="A34" s="7">
        <v>1977.0</v>
      </c>
      <c r="B34" s="4">
        <v>184.0</v>
      </c>
      <c r="C34" s="4">
        <v>15.5</v>
      </c>
      <c r="D34" s="4">
        <v>20.7</v>
      </c>
      <c r="E34" s="4">
        <f t="shared" si="1"/>
        <v>1</v>
      </c>
      <c r="F34" s="4">
        <f t="shared" si="2"/>
        <v>0</v>
      </c>
      <c r="G34" s="4">
        <f t="shared" si="3"/>
        <v>32.104</v>
      </c>
      <c r="H34" s="4">
        <f t="shared" si="4"/>
        <v>29.7285</v>
      </c>
      <c r="I34" s="4" t="str">
        <f t="shared" si="5"/>
        <v> </v>
      </c>
      <c r="J34" s="4">
        <v>19.3</v>
      </c>
      <c r="K34" s="4">
        <v>17.8</v>
      </c>
      <c r="L34" s="4">
        <f t="shared" si="6"/>
        <v>8</v>
      </c>
      <c r="M34" s="4">
        <f t="shared" si="7"/>
        <v>1</v>
      </c>
      <c r="N34" s="4">
        <f t="shared" si="8"/>
        <v>0.6304</v>
      </c>
      <c r="O34" s="4">
        <f t="shared" si="9"/>
        <v>19.3</v>
      </c>
      <c r="P34" s="4">
        <f t="shared" si="10"/>
        <v>17.8</v>
      </c>
    </row>
    <row r="35" ht="15.75" customHeight="1">
      <c r="A35" s="7">
        <v>1977.0</v>
      </c>
      <c r="B35" s="4">
        <v>185.0</v>
      </c>
      <c r="C35" s="4">
        <v>14.3</v>
      </c>
      <c r="D35" s="4">
        <v>22.9</v>
      </c>
      <c r="E35" s="4">
        <f t="shared" si="1"/>
        <v>0</v>
      </c>
      <c r="F35" s="4">
        <f t="shared" si="2"/>
        <v>0</v>
      </c>
      <c r="G35" s="4">
        <f t="shared" si="3"/>
        <v>28.534</v>
      </c>
      <c r="H35" s="4">
        <f t="shared" si="4"/>
        <v>25.217</v>
      </c>
      <c r="I35" s="4" t="str">
        <f t="shared" si="5"/>
        <v> </v>
      </c>
      <c r="K35" s="4">
        <v>18.6</v>
      </c>
      <c r="L35" s="4">
        <f t="shared" si="6"/>
        <v>3</v>
      </c>
      <c r="M35" s="4">
        <f t="shared" si="7"/>
        <v>1</v>
      </c>
      <c r="N35" s="4">
        <f t="shared" si="8"/>
        <v>2.9938</v>
      </c>
      <c r="O35" s="4" t="str">
        <f t="shared" si="9"/>
        <v/>
      </c>
      <c r="P35" s="4">
        <f t="shared" si="10"/>
        <v>18.6</v>
      </c>
    </row>
    <row r="36" ht="15.75" customHeight="1">
      <c r="A36" s="7">
        <v>1977.0</v>
      </c>
      <c r="B36" s="4">
        <v>186.0</v>
      </c>
      <c r="C36" s="4">
        <v>12.3</v>
      </c>
      <c r="D36" s="4">
        <v>20.4</v>
      </c>
      <c r="E36" s="4">
        <f t="shared" si="1"/>
        <v>1</v>
      </c>
      <c r="F36" s="4">
        <f t="shared" si="2"/>
        <v>0</v>
      </c>
      <c r="G36" s="4">
        <f t="shared" si="3"/>
        <v>27.696</v>
      </c>
      <c r="H36" s="4">
        <f t="shared" si="4"/>
        <v>24.817</v>
      </c>
      <c r="I36" s="4" t="str">
        <f t="shared" si="5"/>
        <v> </v>
      </c>
      <c r="J36" s="4">
        <v>9.4</v>
      </c>
      <c r="K36" s="4">
        <v>17.0</v>
      </c>
      <c r="L36" s="4">
        <f t="shared" si="6"/>
        <v>8</v>
      </c>
      <c r="M36" s="4">
        <f t="shared" si="7"/>
        <v>0</v>
      </c>
      <c r="N36" s="4">
        <f t="shared" si="8"/>
        <v>-4.6377</v>
      </c>
      <c r="O36" s="4">
        <f t="shared" si="9"/>
        <v>9.4</v>
      </c>
      <c r="P36" s="4">
        <f t="shared" si="10"/>
        <v>17</v>
      </c>
    </row>
    <row r="37" ht="15.75" customHeight="1">
      <c r="A37" s="7">
        <v>1977.0</v>
      </c>
      <c r="B37" s="4">
        <v>187.0</v>
      </c>
      <c r="C37" s="4">
        <v>14.5</v>
      </c>
      <c r="D37" s="4">
        <v>24.7</v>
      </c>
      <c r="E37" s="4">
        <f t="shared" si="1"/>
        <v>0</v>
      </c>
      <c r="F37" s="4">
        <f t="shared" si="2"/>
        <v>0</v>
      </c>
      <c r="G37" s="4">
        <f t="shared" si="3"/>
        <v>28.273</v>
      </c>
      <c r="H37" s="4">
        <f t="shared" si="4"/>
        <v>23.274</v>
      </c>
      <c r="I37" s="4" t="str">
        <f t="shared" si="5"/>
        <v> </v>
      </c>
      <c r="K37" s="4">
        <v>19.4</v>
      </c>
      <c r="L37" s="4">
        <f t="shared" si="6"/>
        <v>3</v>
      </c>
      <c r="M37" s="4">
        <f t="shared" si="7"/>
        <v>0</v>
      </c>
      <c r="N37" s="4">
        <f t="shared" si="8"/>
        <v>-8.855</v>
      </c>
      <c r="O37" s="4" t="str">
        <f t="shared" si="9"/>
        <v/>
      </c>
      <c r="P37" s="4">
        <f t="shared" si="10"/>
        <v>19.4</v>
      </c>
    </row>
    <row r="38" ht="15.75" customHeight="1">
      <c r="A38" s="7">
        <v>1977.0</v>
      </c>
      <c r="B38" s="4">
        <v>188.0</v>
      </c>
      <c r="C38" s="4">
        <v>12.2</v>
      </c>
      <c r="D38" s="4">
        <v>23.1</v>
      </c>
      <c r="E38" s="4">
        <f t="shared" si="1"/>
        <v>0</v>
      </c>
      <c r="F38" s="4">
        <f t="shared" si="2"/>
        <v>0</v>
      </c>
      <c r="G38" s="4">
        <f t="shared" si="3"/>
        <v>27.37</v>
      </c>
      <c r="H38" s="4">
        <f t="shared" si="4"/>
        <v>22.948</v>
      </c>
      <c r="I38" s="4" t="str">
        <f t="shared" si="5"/>
        <v> </v>
      </c>
      <c r="K38" s="4">
        <v>18.4</v>
      </c>
      <c r="L38" s="4">
        <f t="shared" si="6"/>
        <v>3</v>
      </c>
      <c r="M38" s="4">
        <f t="shared" si="7"/>
        <v>0</v>
      </c>
      <c r="N38" s="4">
        <f t="shared" si="8"/>
        <v>-9.8621</v>
      </c>
      <c r="O38" s="4" t="str">
        <f t="shared" si="9"/>
        <v/>
      </c>
      <c r="P38" s="4">
        <f t="shared" si="10"/>
        <v>18.4</v>
      </c>
    </row>
    <row r="39" ht="15.75" customHeight="1">
      <c r="A39" s="7">
        <v>1977.0</v>
      </c>
      <c r="B39" s="4">
        <v>189.0</v>
      </c>
      <c r="C39" s="4">
        <v>11.0</v>
      </c>
      <c r="D39" s="4">
        <v>20.5</v>
      </c>
      <c r="E39" s="4">
        <f t="shared" si="1"/>
        <v>0</v>
      </c>
      <c r="F39" s="4">
        <f t="shared" si="2"/>
        <v>0</v>
      </c>
      <c r="G39" s="4">
        <f t="shared" si="3"/>
        <v>22.509</v>
      </c>
      <c r="H39" s="4">
        <f t="shared" si="4"/>
        <v>17.852</v>
      </c>
      <c r="I39" s="4" t="str">
        <f t="shared" si="5"/>
        <v> </v>
      </c>
      <c r="K39" s="4">
        <v>17.0</v>
      </c>
      <c r="L39" s="4">
        <f t="shared" si="6"/>
        <v>3</v>
      </c>
      <c r="M39" s="4">
        <f t="shared" si="7"/>
        <v>0</v>
      </c>
      <c r="N39" s="4">
        <f t="shared" si="8"/>
        <v>-7.9772</v>
      </c>
      <c r="O39" s="4" t="str">
        <f t="shared" si="9"/>
        <v/>
      </c>
      <c r="P39" s="4">
        <f t="shared" si="10"/>
        <v>17</v>
      </c>
    </row>
    <row r="40" ht="15.75" customHeight="1">
      <c r="A40" s="7">
        <v>1977.0</v>
      </c>
      <c r="B40" s="4">
        <v>190.0</v>
      </c>
      <c r="C40" s="4">
        <v>7.8</v>
      </c>
      <c r="D40" s="4">
        <v>20.8</v>
      </c>
      <c r="E40" s="4">
        <f t="shared" si="1"/>
        <v>0</v>
      </c>
      <c r="F40" s="4">
        <f t="shared" si="2"/>
        <v>0</v>
      </c>
      <c r="G40" s="4">
        <f t="shared" si="3"/>
        <v>23.004</v>
      </c>
      <c r="H40" s="4">
        <f t="shared" si="4"/>
        <v>20.5495</v>
      </c>
      <c r="I40" s="4" t="str">
        <f t="shared" si="5"/>
        <v> </v>
      </c>
      <c r="K40" s="4">
        <v>15.6</v>
      </c>
      <c r="L40" s="4">
        <f t="shared" si="6"/>
        <v>3</v>
      </c>
      <c r="M40" s="4">
        <f t="shared" si="7"/>
        <v>0</v>
      </c>
      <c r="N40" s="4">
        <f t="shared" si="8"/>
        <v>-5.8379</v>
      </c>
      <c r="O40" s="4" t="str">
        <f t="shared" si="9"/>
        <v/>
      </c>
      <c r="P40" s="4">
        <f t="shared" si="10"/>
        <v>15.6</v>
      </c>
    </row>
    <row r="41" ht="15.75" customHeight="1">
      <c r="A41" s="7">
        <v>1977.0</v>
      </c>
      <c r="B41" s="4">
        <v>191.0</v>
      </c>
      <c r="C41" s="4">
        <v>9.4</v>
      </c>
      <c r="D41" s="4">
        <v>22.2</v>
      </c>
      <c r="E41" s="4">
        <f t="shared" si="1"/>
        <v>0</v>
      </c>
      <c r="F41" s="4">
        <f t="shared" si="2"/>
        <v>0</v>
      </c>
      <c r="G41" s="4">
        <f t="shared" si="3"/>
        <v>26.217</v>
      </c>
      <c r="H41" s="4">
        <f t="shared" si="4"/>
        <v>23.2995</v>
      </c>
      <c r="I41" s="4" t="str">
        <f t="shared" si="5"/>
        <v> </v>
      </c>
      <c r="K41" s="4">
        <v>16.2</v>
      </c>
      <c r="L41" s="4">
        <f t="shared" si="6"/>
        <v>3</v>
      </c>
      <c r="M41" s="4">
        <f t="shared" si="7"/>
        <v>0</v>
      </c>
      <c r="N41" s="4">
        <f t="shared" si="8"/>
        <v>-7.4657</v>
      </c>
      <c r="O41" s="4" t="str">
        <f t="shared" si="9"/>
        <v/>
      </c>
      <c r="P41" s="4">
        <f t="shared" si="10"/>
        <v>16.2</v>
      </c>
    </row>
    <row r="42" ht="15.75" customHeight="1">
      <c r="A42" s="7">
        <v>1977.0</v>
      </c>
      <c r="B42" s="4">
        <v>192.0</v>
      </c>
      <c r="C42" s="4">
        <v>14.0</v>
      </c>
      <c r="D42" s="4">
        <v>23.3</v>
      </c>
      <c r="E42" s="4">
        <f t="shared" si="1"/>
        <v>0</v>
      </c>
      <c r="F42" s="4">
        <f t="shared" si="2"/>
        <v>0</v>
      </c>
      <c r="G42" s="4">
        <f t="shared" si="3"/>
        <v>32.047</v>
      </c>
      <c r="H42" s="4">
        <f t="shared" si="4"/>
        <v>31.6365</v>
      </c>
      <c r="I42" s="4" t="str">
        <f t="shared" si="5"/>
        <v> </v>
      </c>
      <c r="K42" s="4">
        <v>18.3</v>
      </c>
      <c r="L42" s="4">
        <f t="shared" si="6"/>
        <v>3</v>
      </c>
      <c r="M42" s="4">
        <f t="shared" si="7"/>
        <v>0</v>
      </c>
      <c r="N42" s="4">
        <f t="shared" si="8"/>
        <v>-2.72</v>
      </c>
      <c r="O42" s="4" t="str">
        <f t="shared" si="9"/>
        <v/>
      </c>
      <c r="P42" s="4">
        <f t="shared" si="10"/>
        <v>18.3</v>
      </c>
    </row>
    <row r="43" ht="15.75" customHeight="1">
      <c r="A43" s="7">
        <v>1977.0</v>
      </c>
      <c r="B43" s="4">
        <v>193.0</v>
      </c>
      <c r="C43" s="4">
        <v>12.5</v>
      </c>
      <c r="D43" s="4">
        <v>18.2</v>
      </c>
      <c r="E43" s="4">
        <f t="shared" si="1"/>
        <v>0</v>
      </c>
      <c r="F43" s="4">
        <f t="shared" si="2"/>
        <v>0</v>
      </c>
      <c r="G43" s="4">
        <f t="shared" si="3"/>
        <v>28.197</v>
      </c>
      <c r="H43" s="4">
        <f t="shared" si="4"/>
        <v>26.461</v>
      </c>
      <c r="I43" s="4" t="str">
        <f t="shared" si="5"/>
        <v> </v>
      </c>
      <c r="K43" s="4">
        <v>15.4</v>
      </c>
      <c r="L43" s="4">
        <f t="shared" si="6"/>
        <v>3</v>
      </c>
      <c r="M43" s="4">
        <f t="shared" si="7"/>
        <v>1</v>
      </c>
      <c r="N43" s="4">
        <f t="shared" si="8"/>
        <v>5.3476</v>
      </c>
      <c r="O43" s="4" t="str">
        <f t="shared" si="9"/>
        <v/>
      </c>
      <c r="P43" s="4">
        <f t="shared" si="10"/>
        <v>15.4</v>
      </c>
    </row>
    <row r="44" ht="15.75" customHeight="1">
      <c r="A44" s="7">
        <v>1977.0</v>
      </c>
      <c r="B44" s="4">
        <v>194.0</v>
      </c>
      <c r="C44" s="4">
        <v>11.7</v>
      </c>
      <c r="D44" s="4">
        <v>20.9</v>
      </c>
      <c r="E44" s="4">
        <f t="shared" si="1"/>
        <v>1</v>
      </c>
      <c r="F44" s="4">
        <f t="shared" si="2"/>
        <v>1</v>
      </c>
      <c r="G44" s="4">
        <f t="shared" si="3"/>
        <v>28.097</v>
      </c>
      <c r="H44" s="4">
        <f t="shared" si="4"/>
        <v>28.856</v>
      </c>
      <c r="I44" s="4">
        <f t="shared" si="5"/>
        <v>0.759</v>
      </c>
      <c r="J44" s="4">
        <v>0.5</v>
      </c>
      <c r="K44" s="4">
        <v>16.4</v>
      </c>
      <c r="L44" s="4">
        <f t="shared" si="6"/>
        <v>8</v>
      </c>
      <c r="M44" s="4">
        <f t="shared" si="7"/>
        <v>1</v>
      </c>
      <c r="N44" s="4">
        <f t="shared" si="8"/>
        <v>12.4062</v>
      </c>
      <c r="O44" s="4">
        <f t="shared" si="9"/>
        <v>0.5</v>
      </c>
      <c r="P44" s="4">
        <f t="shared" si="10"/>
        <v>16.4</v>
      </c>
    </row>
    <row r="45" ht="15.75" customHeight="1">
      <c r="A45" s="7">
        <v>1977.0</v>
      </c>
      <c r="B45" s="4">
        <v>195.0</v>
      </c>
      <c r="C45" s="4">
        <v>8.9</v>
      </c>
      <c r="D45" s="4">
        <v>22.2</v>
      </c>
      <c r="E45" s="4">
        <f t="shared" si="1"/>
        <v>1</v>
      </c>
      <c r="F45" s="4">
        <f t="shared" si="2"/>
        <v>0</v>
      </c>
      <c r="G45" s="4">
        <f t="shared" si="3"/>
        <v>27.437</v>
      </c>
      <c r="H45" s="4">
        <f t="shared" si="4"/>
        <v>26.5125</v>
      </c>
      <c r="I45" s="4" t="str">
        <f t="shared" si="5"/>
        <v> </v>
      </c>
      <c r="J45" s="4">
        <v>4.1</v>
      </c>
      <c r="K45" s="4">
        <v>17.5</v>
      </c>
      <c r="L45" s="4">
        <f t="shared" si="6"/>
        <v>8</v>
      </c>
      <c r="M45" s="4">
        <f t="shared" si="7"/>
        <v>1</v>
      </c>
      <c r="N45" s="4">
        <f t="shared" si="8"/>
        <v>2.6532</v>
      </c>
      <c r="O45" s="4">
        <f t="shared" si="9"/>
        <v>4.1</v>
      </c>
      <c r="P45" s="4">
        <f t="shared" si="10"/>
        <v>17.5</v>
      </c>
    </row>
    <row r="46" ht="15.75" customHeight="1">
      <c r="A46" s="7">
        <v>1977.0</v>
      </c>
      <c r="B46" s="4">
        <v>196.0</v>
      </c>
      <c r="C46" s="4">
        <v>15.6</v>
      </c>
      <c r="D46" s="4">
        <v>25.1</v>
      </c>
      <c r="E46" s="4">
        <f t="shared" si="1"/>
        <v>1</v>
      </c>
      <c r="F46" s="4">
        <f t="shared" si="2"/>
        <v>0</v>
      </c>
      <c r="G46" s="4">
        <f t="shared" si="3"/>
        <v>29.025</v>
      </c>
      <c r="H46" s="4">
        <f t="shared" si="4"/>
        <v>25.9915</v>
      </c>
      <c r="I46" s="4" t="str">
        <f t="shared" si="5"/>
        <v> </v>
      </c>
      <c r="J46" s="4">
        <v>24.0</v>
      </c>
      <c r="K46" s="4">
        <v>18.4</v>
      </c>
      <c r="L46" s="4">
        <f t="shared" si="6"/>
        <v>8</v>
      </c>
      <c r="M46" s="4">
        <f t="shared" si="7"/>
        <v>0</v>
      </c>
      <c r="N46" s="4">
        <f t="shared" si="8"/>
        <v>-6.8173</v>
      </c>
      <c r="O46" s="4">
        <f t="shared" si="9"/>
        <v>24</v>
      </c>
      <c r="P46" s="4">
        <f t="shared" si="10"/>
        <v>18.4</v>
      </c>
    </row>
    <row r="47" ht="15.75" customHeight="1">
      <c r="A47" s="7">
        <v>1977.0</v>
      </c>
      <c r="B47" s="4">
        <v>197.0</v>
      </c>
      <c r="C47" s="4">
        <v>9.4</v>
      </c>
      <c r="D47" s="4">
        <v>19.3</v>
      </c>
      <c r="E47" s="4">
        <f t="shared" si="1"/>
        <v>0</v>
      </c>
      <c r="F47" s="4">
        <f t="shared" si="2"/>
        <v>0</v>
      </c>
      <c r="G47" s="4">
        <f t="shared" si="3"/>
        <v>22.917</v>
      </c>
      <c r="H47" s="4">
        <f t="shared" si="4"/>
        <v>20.731</v>
      </c>
      <c r="I47" s="4" t="str">
        <f t="shared" si="5"/>
        <v> </v>
      </c>
      <c r="K47" s="4">
        <v>13.8</v>
      </c>
      <c r="L47" s="4">
        <f t="shared" si="6"/>
        <v>3</v>
      </c>
      <c r="M47" s="4">
        <f t="shared" si="7"/>
        <v>0</v>
      </c>
      <c r="N47" s="4">
        <f t="shared" si="8"/>
        <v>-9.419</v>
      </c>
      <c r="O47" s="4" t="str">
        <f t="shared" si="9"/>
        <v/>
      </c>
      <c r="P47" s="4">
        <f t="shared" si="10"/>
        <v>13.8</v>
      </c>
    </row>
    <row r="48" ht="15.75" customHeight="1">
      <c r="A48" s="7">
        <v>1977.0</v>
      </c>
      <c r="B48" s="4">
        <v>198.0</v>
      </c>
      <c r="C48" s="4">
        <v>6.1</v>
      </c>
      <c r="D48" s="4">
        <v>16.8</v>
      </c>
      <c r="E48" s="4">
        <f t="shared" si="1"/>
        <v>0</v>
      </c>
      <c r="F48" s="4">
        <f t="shared" si="2"/>
        <v>0</v>
      </c>
      <c r="G48" s="4">
        <f t="shared" si="3"/>
        <v>24.801</v>
      </c>
      <c r="H48" s="4">
        <f t="shared" si="4"/>
        <v>22.0215</v>
      </c>
      <c r="I48" s="4" t="str">
        <f t="shared" si="5"/>
        <v> </v>
      </c>
      <c r="K48" s="4">
        <v>12.0</v>
      </c>
      <c r="L48" s="4">
        <f t="shared" si="6"/>
        <v>3</v>
      </c>
      <c r="M48" s="4">
        <f t="shared" si="7"/>
        <v>0</v>
      </c>
      <c r="N48" s="4">
        <f t="shared" si="8"/>
        <v>-8.1835</v>
      </c>
      <c r="O48" s="4" t="str">
        <f t="shared" si="9"/>
        <v/>
      </c>
      <c r="P48" s="4">
        <f t="shared" si="10"/>
        <v>12</v>
      </c>
    </row>
    <row r="49" ht="15.75" customHeight="1">
      <c r="A49" s="7">
        <v>1977.0</v>
      </c>
      <c r="B49" s="4">
        <v>199.0</v>
      </c>
      <c r="C49" s="4">
        <v>4.7</v>
      </c>
      <c r="D49" s="4">
        <v>20.5</v>
      </c>
      <c r="E49" s="4">
        <f t="shared" si="1"/>
        <v>0</v>
      </c>
      <c r="F49" s="4">
        <f t="shared" si="2"/>
        <v>0</v>
      </c>
      <c r="G49" s="4">
        <f t="shared" si="3"/>
        <v>29.674</v>
      </c>
      <c r="H49" s="4">
        <f t="shared" si="4"/>
        <v>26.1655</v>
      </c>
      <c r="I49" s="4" t="str">
        <f t="shared" si="5"/>
        <v> </v>
      </c>
      <c r="K49" s="4">
        <v>13.7</v>
      </c>
      <c r="L49" s="4">
        <f t="shared" si="6"/>
        <v>3</v>
      </c>
      <c r="M49" s="4">
        <f t="shared" si="7"/>
        <v>0</v>
      </c>
      <c r="N49" s="4">
        <f t="shared" si="8"/>
        <v>-3.992</v>
      </c>
      <c r="O49" s="4" t="str">
        <f t="shared" si="9"/>
        <v/>
      </c>
      <c r="P49" s="4">
        <f t="shared" si="10"/>
        <v>13.7</v>
      </c>
    </row>
    <row r="50" ht="15.75" customHeight="1">
      <c r="A50" s="7">
        <v>1977.0</v>
      </c>
      <c r="B50" s="4">
        <v>200.0</v>
      </c>
      <c r="C50" s="4">
        <v>6.8</v>
      </c>
      <c r="D50" s="4">
        <v>21.7</v>
      </c>
      <c r="E50" s="4">
        <f t="shared" si="1"/>
        <v>0</v>
      </c>
      <c r="F50" s="4">
        <f t="shared" si="2"/>
        <v>0</v>
      </c>
      <c r="G50" s="4">
        <f t="shared" si="3"/>
        <v>26.893</v>
      </c>
      <c r="H50" s="4">
        <f t="shared" si="4"/>
        <v>26.276</v>
      </c>
      <c r="I50" s="4" t="str">
        <f t="shared" si="5"/>
        <v> </v>
      </c>
      <c r="K50" s="4">
        <v>15.2</v>
      </c>
      <c r="L50" s="4">
        <f t="shared" si="6"/>
        <v>3</v>
      </c>
      <c r="M50" s="4">
        <f t="shared" si="7"/>
        <v>1</v>
      </c>
      <c r="N50" s="4">
        <f t="shared" si="8"/>
        <v>2.3181</v>
      </c>
      <c r="O50" s="4" t="str">
        <f t="shared" si="9"/>
        <v/>
      </c>
      <c r="P50" s="4">
        <f t="shared" si="10"/>
        <v>15.2</v>
      </c>
    </row>
    <row r="51" ht="15.75" customHeight="1">
      <c r="A51" s="7">
        <v>1977.0</v>
      </c>
      <c r="B51" s="4">
        <v>201.0</v>
      </c>
      <c r="C51" s="4">
        <v>8.7</v>
      </c>
      <c r="D51" s="4">
        <v>23.1</v>
      </c>
      <c r="E51" s="4">
        <f t="shared" si="1"/>
        <v>1</v>
      </c>
      <c r="F51" s="4">
        <f t="shared" si="2"/>
        <v>1</v>
      </c>
      <c r="G51" s="4">
        <f t="shared" si="3"/>
        <v>28.97</v>
      </c>
      <c r="H51" s="4">
        <f t="shared" si="4"/>
        <v>29.001</v>
      </c>
      <c r="I51" s="4">
        <f t="shared" si="5"/>
        <v>0.031</v>
      </c>
      <c r="J51" s="4">
        <v>1.1</v>
      </c>
      <c r="K51" s="4">
        <v>16.7</v>
      </c>
      <c r="L51" s="4">
        <f t="shared" si="6"/>
        <v>8</v>
      </c>
      <c r="M51" s="4">
        <f t="shared" si="7"/>
        <v>0</v>
      </c>
      <c r="N51" s="4">
        <f t="shared" si="8"/>
        <v>-5.3187</v>
      </c>
      <c r="O51" s="4">
        <f t="shared" si="9"/>
        <v>1.1</v>
      </c>
      <c r="P51" s="4">
        <f t="shared" si="10"/>
        <v>16.7</v>
      </c>
    </row>
    <row r="52" ht="15.75" customHeight="1">
      <c r="A52" s="7">
        <v>1977.0</v>
      </c>
      <c r="B52" s="4">
        <v>202.0</v>
      </c>
      <c r="C52" s="4">
        <v>12.9</v>
      </c>
      <c r="D52" s="4">
        <v>24.7</v>
      </c>
      <c r="E52" s="4">
        <f t="shared" si="1"/>
        <v>0</v>
      </c>
      <c r="F52" s="4">
        <f t="shared" si="2"/>
        <v>0</v>
      </c>
      <c r="G52" s="4">
        <f t="shared" si="3"/>
        <v>31.887</v>
      </c>
      <c r="H52" s="4">
        <f t="shared" si="4"/>
        <v>28.2835</v>
      </c>
      <c r="I52" s="4" t="str">
        <f t="shared" si="5"/>
        <v> </v>
      </c>
      <c r="K52" s="4">
        <v>18.6</v>
      </c>
      <c r="L52" s="4">
        <f t="shared" si="6"/>
        <v>3</v>
      </c>
      <c r="M52" s="4">
        <f t="shared" si="7"/>
        <v>0</v>
      </c>
      <c r="N52" s="4">
        <f t="shared" si="8"/>
        <v>-2.5032</v>
      </c>
      <c r="O52" s="4" t="str">
        <f t="shared" si="9"/>
        <v/>
      </c>
      <c r="P52" s="4">
        <f t="shared" si="10"/>
        <v>18.6</v>
      </c>
    </row>
    <row r="53" ht="15.75" customHeight="1">
      <c r="A53" s="7">
        <v>1977.0</v>
      </c>
      <c r="B53" s="4">
        <v>203.0</v>
      </c>
      <c r="C53" s="4">
        <v>12.2</v>
      </c>
      <c r="D53" s="4">
        <v>26.1</v>
      </c>
      <c r="E53" s="4">
        <f t="shared" si="1"/>
        <v>0</v>
      </c>
      <c r="F53" s="4">
        <f t="shared" si="2"/>
        <v>0</v>
      </c>
      <c r="G53" s="4">
        <f t="shared" si="3"/>
        <v>32.821</v>
      </c>
      <c r="H53" s="4">
        <f t="shared" si="4"/>
        <v>30.5525</v>
      </c>
      <c r="I53" s="4" t="str">
        <f t="shared" si="5"/>
        <v> </v>
      </c>
      <c r="K53" s="4">
        <v>19.3</v>
      </c>
      <c r="L53" s="4">
        <f t="shared" si="6"/>
        <v>3</v>
      </c>
      <c r="M53" s="4">
        <f t="shared" si="7"/>
        <v>1</v>
      </c>
      <c r="N53" s="4">
        <f t="shared" si="8"/>
        <v>5.924</v>
      </c>
      <c r="O53" s="4" t="str">
        <f t="shared" si="9"/>
        <v/>
      </c>
      <c r="P53" s="4">
        <f t="shared" si="10"/>
        <v>19.3</v>
      </c>
    </row>
    <row r="54" ht="15.75" customHeight="1">
      <c r="A54" s="7">
        <v>1977.0</v>
      </c>
      <c r="B54" s="4">
        <v>204.0</v>
      </c>
      <c r="C54" s="4">
        <v>14.4</v>
      </c>
      <c r="D54" s="4">
        <v>18.5</v>
      </c>
      <c r="E54" s="4">
        <f t="shared" si="1"/>
        <v>1</v>
      </c>
      <c r="F54" s="4">
        <f t="shared" si="2"/>
        <v>0</v>
      </c>
      <c r="G54" s="4">
        <f t="shared" si="3"/>
        <v>32.981</v>
      </c>
      <c r="H54" s="4">
        <f t="shared" si="4"/>
        <v>31.243</v>
      </c>
      <c r="I54" s="4" t="str">
        <f t="shared" si="5"/>
        <v> </v>
      </c>
      <c r="J54" s="4">
        <v>1.1</v>
      </c>
      <c r="K54" s="4">
        <v>16.2</v>
      </c>
      <c r="L54" s="4">
        <f t="shared" si="6"/>
        <v>8</v>
      </c>
      <c r="M54" s="4">
        <f t="shared" si="7"/>
        <v>1</v>
      </c>
      <c r="N54" s="4">
        <f t="shared" si="8"/>
        <v>5.9114</v>
      </c>
      <c r="O54" s="4">
        <f t="shared" si="9"/>
        <v>1.1</v>
      </c>
      <c r="P54" s="4">
        <f t="shared" si="10"/>
        <v>16.2</v>
      </c>
    </row>
    <row r="55" ht="15.75" customHeight="1">
      <c r="A55" s="7">
        <v>1977.0</v>
      </c>
      <c r="B55" s="4">
        <v>205.0</v>
      </c>
      <c r="C55" s="4">
        <v>11.5</v>
      </c>
      <c r="D55" s="4">
        <v>16.7</v>
      </c>
      <c r="E55" s="4">
        <f t="shared" si="1"/>
        <v>1</v>
      </c>
      <c r="F55" s="4">
        <f t="shared" si="2"/>
        <v>0</v>
      </c>
      <c r="G55" s="4">
        <f t="shared" si="3"/>
        <v>32.52</v>
      </c>
      <c r="H55" s="4">
        <f t="shared" si="4"/>
        <v>31.845</v>
      </c>
      <c r="I55" s="4" t="str">
        <f t="shared" si="5"/>
        <v> </v>
      </c>
      <c r="J55" s="4">
        <v>1.2</v>
      </c>
      <c r="K55" s="4">
        <v>13.5</v>
      </c>
      <c r="L55" s="4">
        <f t="shared" si="6"/>
        <v>8</v>
      </c>
      <c r="M55" s="4">
        <f t="shared" si="7"/>
        <v>0</v>
      </c>
      <c r="N55" s="4">
        <f t="shared" si="8"/>
        <v>-0.8571</v>
      </c>
      <c r="O55" s="4">
        <f t="shared" si="9"/>
        <v>1.2</v>
      </c>
      <c r="P55" s="4">
        <f t="shared" si="10"/>
        <v>13.5</v>
      </c>
    </row>
    <row r="56" ht="15.75" customHeight="1">
      <c r="A56" s="7">
        <v>1977.0</v>
      </c>
      <c r="B56" s="4">
        <v>206.0</v>
      </c>
      <c r="C56" s="4">
        <v>10.5</v>
      </c>
      <c r="D56" s="4">
        <v>24.0</v>
      </c>
      <c r="E56" s="4">
        <f t="shared" si="1"/>
        <v>0</v>
      </c>
      <c r="F56" s="4">
        <f t="shared" si="2"/>
        <v>0</v>
      </c>
      <c r="G56" s="4">
        <f t="shared" si="3"/>
        <v>38.283</v>
      </c>
      <c r="H56" s="4">
        <f t="shared" si="4"/>
        <v>33.1885</v>
      </c>
      <c r="I56" s="4" t="str">
        <f t="shared" si="5"/>
        <v> </v>
      </c>
      <c r="K56" s="4">
        <v>17.2</v>
      </c>
      <c r="L56" s="4">
        <f t="shared" si="6"/>
        <v>3</v>
      </c>
      <c r="M56" s="4">
        <f t="shared" si="7"/>
        <v>0</v>
      </c>
      <c r="N56" s="4">
        <f t="shared" si="8"/>
        <v>-8.3567</v>
      </c>
      <c r="O56" s="4" t="str">
        <f t="shared" si="9"/>
        <v/>
      </c>
      <c r="P56" s="4">
        <f t="shared" si="10"/>
        <v>17.2</v>
      </c>
    </row>
    <row r="57" ht="15.75" customHeight="1">
      <c r="A57" s="7">
        <v>1977.0</v>
      </c>
      <c r="B57" s="4">
        <v>207.0</v>
      </c>
      <c r="C57" s="4">
        <v>16.2</v>
      </c>
      <c r="D57" s="4">
        <v>26.0</v>
      </c>
      <c r="E57" s="4">
        <f t="shared" si="1"/>
        <v>0</v>
      </c>
      <c r="F57" s="4">
        <f t="shared" si="2"/>
        <v>0</v>
      </c>
      <c r="G57" s="4">
        <f t="shared" si="3"/>
        <v>39.36</v>
      </c>
      <c r="H57" s="4">
        <f t="shared" si="4"/>
        <v>34.4235</v>
      </c>
      <c r="I57" s="4" t="str">
        <f t="shared" si="5"/>
        <v> </v>
      </c>
      <c r="K57" s="4">
        <v>20.9</v>
      </c>
      <c r="L57" s="4">
        <f t="shared" si="6"/>
        <v>3</v>
      </c>
      <c r="M57" s="4">
        <f t="shared" si="7"/>
        <v>0</v>
      </c>
      <c r="N57" s="4">
        <f t="shared" si="8"/>
        <v>-2.6086</v>
      </c>
      <c r="O57" s="4" t="str">
        <f t="shared" si="9"/>
        <v/>
      </c>
      <c r="P57" s="4">
        <f t="shared" si="10"/>
        <v>20.9</v>
      </c>
    </row>
    <row r="58" ht="15.75" customHeight="1">
      <c r="A58" s="7">
        <v>1977.0</v>
      </c>
      <c r="B58" s="4">
        <v>208.0</v>
      </c>
      <c r="C58" s="4">
        <v>14.8</v>
      </c>
      <c r="D58" s="4">
        <v>27.1</v>
      </c>
      <c r="E58" s="4">
        <f t="shared" si="1"/>
        <v>0</v>
      </c>
      <c r="F58" s="4">
        <f t="shared" si="2"/>
        <v>0</v>
      </c>
      <c r="G58" s="4">
        <f t="shared" si="3"/>
        <v>39.474</v>
      </c>
      <c r="H58" s="4">
        <f t="shared" si="4"/>
        <v>36.82</v>
      </c>
      <c r="I58" s="4" t="str">
        <f t="shared" si="5"/>
        <v> </v>
      </c>
      <c r="K58" s="4">
        <v>22.0</v>
      </c>
      <c r="L58" s="4">
        <f t="shared" si="6"/>
        <v>3</v>
      </c>
      <c r="M58" s="4">
        <f t="shared" si="7"/>
        <v>1</v>
      </c>
      <c r="N58" s="4">
        <f t="shared" si="8"/>
        <v>1.272</v>
      </c>
      <c r="O58" s="4" t="str">
        <f t="shared" si="9"/>
        <v/>
      </c>
      <c r="P58" s="4">
        <f t="shared" si="10"/>
        <v>22</v>
      </c>
    </row>
    <row r="59" ht="15.75" customHeight="1">
      <c r="A59" s="7">
        <v>1977.0</v>
      </c>
      <c r="B59" s="4">
        <v>209.0</v>
      </c>
      <c r="C59" s="4">
        <v>17.3</v>
      </c>
      <c r="D59" s="4">
        <v>27.1</v>
      </c>
      <c r="E59" s="4">
        <f t="shared" si="1"/>
        <v>1</v>
      </c>
      <c r="F59" s="4">
        <f t="shared" si="2"/>
        <v>0</v>
      </c>
      <c r="G59" s="4">
        <f t="shared" si="3"/>
        <v>42.996</v>
      </c>
      <c r="H59" s="4">
        <f t="shared" si="4"/>
        <v>39.4425</v>
      </c>
      <c r="I59" s="4" t="str">
        <f t="shared" si="5"/>
        <v> </v>
      </c>
      <c r="J59" s="4">
        <v>1.2</v>
      </c>
      <c r="K59" s="4">
        <v>22.7</v>
      </c>
      <c r="L59" s="4">
        <f t="shared" si="6"/>
        <v>8</v>
      </c>
      <c r="M59" s="4">
        <f t="shared" si="7"/>
        <v>0</v>
      </c>
      <c r="N59" s="4">
        <f t="shared" si="8"/>
        <v>-4.9169</v>
      </c>
      <c r="O59" s="4">
        <f t="shared" si="9"/>
        <v>1.2</v>
      </c>
      <c r="P59" s="4">
        <f t="shared" si="10"/>
        <v>22.7</v>
      </c>
    </row>
    <row r="60" ht="15.75" customHeight="1">
      <c r="A60" s="7">
        <v>1977.0</v>
      </c>
      <c r="B60" s="4">
        <v>210.0</v>
      </c>
      <c r="C60" s="4">
        <v>17.3</v>
      </c>
      <c r="D60" s="4">
        <v>28.4</v>
      </c>
      <c r="E60" s="4">
        <f t="shared" si="1"/>
        <v>0</v>
      </c>
      <c r="F60" s="4">
        <f t="shared" si="2"/>
        <v>0</v>
      </c>
      <c r="G60" s="4">
        <f t="shared" si="3"/>
        <v>43.207</v>
      </c>
      <c r="H60" s="4">
        <f t="shared" si="4"/>
        <v>37.7675</v>
      </c>
      <c r="I60" s="4" t="str">
        <f t="shared" si="5"/>
        <v> </v>
      </c>
      <c r="K60" s="4">
        <v>22.5</v>
      </c>
      <c r="L60" s="4">
        <f t="shared" si="6"/>
        <v>3</v>
      </c>
      <c r="M60" s="4">
        <f t="shared" si="7"/>
        <v>0</v>
      </c>
      <c r="N60" s="4">
        <f t="shared" si="8"/>
        <v>-4.0823</v>
      </c>
      <c r="O60" s="4" t="str">
        <f t="shared" si="9"/>
        <v/>
      </c>
      <c r="P60" s="4">
        <f t="shared" si="10"/>
        <v>22.5</v>
      </c>
    </row>
    <row r="61" ht="15.75" customHeight="1">
      <c r="A61" s="7">
        <v>1977.0</v>
      </c>
      <c r="B61" s="4">
        <v>211.0</v>
      </c>
      <c r="C61" s="4">
        <v>16.2</v>
      </c>
      <c r="D61" s="4">
        <v>24.6</v>
      </c>
      <c r="E61" s="4">
        <f t="shared" si="1"/>
        <v>0</v>
      </c>
      <c r="F61" s="4">
        <f t="shared" si="2"/>
        <v>0</v>
      </c>
      <c r="G61" s="4">
        <f t="shared" si="3"/>
        <v>41.39</v>
      </c>
      <c r="H61" s="4">
        <f t="shared" si="4"/>
        <v>36.551</v>
      </c>
      <c r="I61" s="4" t="str">
        <f t="shared" si="5"/>
        <v> </v>
      </c>
      <c r="K61" s="4">
        <v>20.4</v>
      </c>
      <c r="L61" s="4">
        <f t="shared" si="6"/>
        <v>3</v>
      </c>
      <c r="M61" s="4">
        <f t="shared" si="7"/>
        <v>1</v>
      </c>
      <c r="N61" s="4">
        <f t="shared" si="8"/>
        <v>2.1852</v>
      </c>
      <c r="O61" s="4" t="str">
        <f t="shared" si="9"/>
        <v/>
      </c>
      <c r="P61" s="4">
        <f t="shared" si="10"/>
        <v>20.4</v>
      </c>
    </row>
    <row r="62" ht="15.75" customHeight="1">
      <c r="A62" s="7">
        <v>1977.0</v>
      </c>
      <c r="B62" s="4">
        <v>212.0</v>
      </c>
      <c r="C62" s="4">
        <v>14.9</v>
      </c>
      <c r="D62" s="4">
        <v>24.5</v>
      </c>
      <c r="E62" s="4">
        <f t="shared" si="1"/>
        <v>1</v>
      </c>
      <c r="F62" s="4">
        <f t="shared" si="2"/>
        <v>0</v>
      </c>
      <c r="G62" s="4">
        <f t="shared" si="3"/>
        <v>43.896</v>
      </c>
      <c r="H62" s="4">
        <f t="shared" si="4"/>
        <v>39.8005</v>
      </c>
      <c r="I62" s="4" t="str">
        <f t="shared" si="5"/>
        <v> </v>
      </c>
      <c r="J62" s="4">
        <v>6.1</v>
      </c>
      <c r="K62" s="4">
        <v>19.7</v>
      </c>
      <c r="L62" s="4">
        <f t="shared" si="6"/>
        <v>8</v>
      </c>
      <c r="M62" s="4">
        <f t="shared" si="7"/>
        <v>0</v>
      </c>
      <c r="N62" s="4">
        <f t="shared" si="8"/>
        <v>-3.8424</v>
      </c>
      <c r="O62" s="4">
        <f t="shared" si="9"/>
        <v>6.1</v>
      </c>
      <c r="P62" s="4">
        <f t="shared" si="10"/>
        <v>19.7</v>
      </c>
    </row>
    <row r="63" ht="15.75" customHeight="1">
      <c r="A63" s="7">
        <v>1977.0</v>
      </c>
      <c r="B63" s="4">
        <v>213.0</v>
      </c>
      <c r="C63" s="4">
        <v>16.1</v>
      </c>
      <c r="D63" s="4">
        <v>26.6</v>
      </c>
      <c r="E63" s="4">
        <f t="shared" si="1"/>
        <v>0</v>
      </c>
      <c r="F63" s="4">
        <f t="shared" si="2"/>
        <v>0</v>
      </c>
      <c r="G63" s="4">
        <f t="shared" si="3"/>
        <v>44.726</v>
      </c>
      <c r="H63" s="4">
        <f t="shared" si="4"/>
        <v>39.6355</v>
      </c>
      <c r="I63" s="4" t="str">
        <f t="shared" si="5"/>
        <v> </v>
      </c>
      <c r="K63" s="4">
        <v>20.7</v>
      </c>
      <c r="L63" s="4">
        <f t="shared" si="6"/>
        <v>3</v>
      </c>
      <c r="M63" s="4">
        <f t="shared" si="7"/>
        <v>0</v>
      </c>
      <c r="N63" s="4">
        <f t="shared" si="8"/>
        <v>-8.4519</v>
      </c>
      <c r="O63" s="4" t="str">
        <f t="shared" si="9"/>
        <v/>
      </c>
      <c r="P63" s="4">
        <f t="shared" si="10"/>
        <v>20.7</v>
      </c>
    </row>
    <row r="64" ht="15.75" customHeight="1">
      <c r="A64" s="7">
        <v>1977.0</v>
      </c>
      <c r="B64" s="4">
        <v>214.0</v>
      </c>
      <c r="C64" s="4">
        <v>17.2</v>
      </c>
      <c r="D64" s="4">
        <v>30.1</v>
      </c>
      <c r="E64" s="4">
        <f t="shared" si="1"/>
        <v>0</v>
      </c>
      <c r="F64" s="4">
        <f t="shared" si="2"/>
        <v>0</v>
      </c>
      <c r="G64" s="4">
        <f t="shared" si="3"/>
        <v>46.036</v>
      </c>
      <c r="H64" s="4">
        <f t="shared" si="4"/>
        <v>41.8285</v>
      </c>
      <c r="I64" s="4" t="str">
        <f t="shared" si="5"/>
        <v> </v>
      </c>
      <c r="K64" s="4">
        <v>23.7</v>
      </c>
      <c r="L64" s="4">
        <f t="shared" si="6"/>
        <v>3</v>
      </c>
      <c r="M64" s="4">
        <f t="shared" si="7"/>
        <v>0</v>
      </c>
      <c r="N64" s="4">
        <f t="shared" si="8"/>
        <v>-8.9319</v>
      </c>
      <c r="O64" s="4" t="str">
        <f t="shared" si="9"/>
        <v/>
      </c>
      <c r="P64" s="4">
        <f t="shared" si="10"/>
        <v>23.7</v>
      </c>
    </row>
    <row r="65" ht="15.75" customHeight="1">
      <c r="A65" s="7">
        <v>1977.0</v>
      </c>
      <c r="B65" s="4">
        <v>215.0</v>
      </c>
      <c r="C65" s="4">
        <v>17.5</v>
      </c>
      <c r="D65" s="4">
        <v>29.6</v>
      </c>
      <c r="E65" s="4">
        <f t="shared" si="1"/>
        <v>0</v>
      </c>
      <c r="F65" s="4">
        <f t="shared" si="2"/>
        <v>0</v>
      </c>
      <c r="G65" s="4">
        <f t="shared" si="3"/>
        <v>48.119</v>
      </c>
      <c r="H65" s="4">
        <f t="shared" si="4"/>
        <v>45.4235</v>
      </c>
      <c r="I65" s="4" t="str">
        <f t="shared" si="5"/>
        <v> </v>
      </c>
      <c r="K65" s="4">
        <v>24.2</v>
      </c>
      <c r="L65" s="4">
        <f t="shared" si="6"/>
        <v>3</v>
      </c>
      <c r="M65" s="4">
        <f t="shared" si="7"/>
        <v>0</v>
      </c>
      <c r="N65" s="4">
        <f t="shared" si="8"/>
        <v>-5.1368</v>
      </c>
      <c r="O65" s="4" t="str">
        <f t="shared" si="9"/>
        <v/>
      </c>
      <c r="P65" s="4">
        <f t="shared" si="10"/>
        <v>24.2</v>
      </c>
    </row>
    <row r="66" ht="15.75" customHeight="1">
      <c r="A66" s="7">
        <v>1977.0</v>
      </c>
      <c r="B66" s="4">
        <v>216.0</v>
      </c>
      <c r="C66" s="4">
        <v>17.9</v>
      </c>
      <c r="D66" s="4">
        <v>29.8</v>
      </c>
      <c r="E66" s="4">
        <f t="shared" si="1"/>
        <v>0</v>
      </c>
      <c r="F66" s="4">
        <f t="shared" si="2"/>
        <v>0</v>
      </c>
      <c r="G66" s="4">
        <f t="shared" si="3"/>
        <v>48.963</v>
      </c>
      <c r="H66" s="4">
        <f t="shared" si="4"/>
        <v>45.2325</v>
      </c>
      <c r="I66" s="4" t="str">
        <f t="shared" si="5"/>
        <v> </v>
      </c>
      <c r="K66" s="4">
        <v>23.3</v>
      </c>
      <c r="L66" s="4">
        <f t="shared" si="6"/>
        <v>3</v>
      </c>
      <c r="M66" s="4">
        <f t="shared" si="7"/>
        <v>1</v>
      </c>
      <c r="N66" s="4">
        <f t="shared" si="8"/>
        <v>4.7834</v>
      </c>
      <c r="O66" s="4" t="str">
        <f t="shared" si="9"/>
        <v/>
      </c>
      <c r="P66" s="4">
        <f t="shared" si="10"/>
        <v>23.3</v>
      </c>
    </row>
    <row r="67" ht="15.75" customHeight="1">
      <c r="A67" s="7">
        <v>1977.0</v>
      </c>
      <c r="B67" s="4">
        <v>217.0</v>
      </c>
      <c r="C67" s="4">
        <v>16.7</v>
      </c>
      <c r="D67" s="4">
        <v>29.9</v>
      </c>
      <c r="E67" s="4">
        <f t="shared" si="1"/>
        <v>1</v>
      </c>
      <c r="F67" s="4">
        <f t="shared" si="2"/>
        <v>1</v>
      </c>
      <c r="G67" s="4">
        <f t="shared" si="3"/>
        <v>48.208</v>
      </c>
      <c r="H67" s="4">
        <f t="shared" si="4"/>
        <v>48.272</v>
      </c>
      <c r="I67" s="4">
        <f t="shared" si="5"/>
        <v>0.064</v>
      </c>
      <c r="J67" s="4">
        <v>6.6</v>
      </c>
      <c r="K67" s="4">
        <v>20.9</v>
      </c>
      <c r="L67" s="4">
        <f t="shared" si="6"/>
        <v>8</v>
      </c>
      <c r="M67" s="4">
        <f t="shared" si="7"/>
        <v>1</v>
      </c>
      <c r="N67" s="4">
        <f t="shared" si="8"/>
        <v>9.1792</v>
      </c>
      <c r="O67" s="4">
        <f t="shared" si="9"/>
        <v>6.6</v>
      </c>
      <c r="P67" s="4">
        <f t="shared" si="10"/>
        <v>20.9</v>
      </c>
    </row>
    <row r="68" ht="15.75" customHeight="1">
      <c r="A68" s="7">
        <v>1977.0</v>
      </c>
      <c r="B68" s="4">
        <v>218.0</v>
      </c>
      <c r="C68" s="4">
        <v>16.7</v>
      </c>
      <c r="D68" s="4">
        <v>25.6</v>
      </c>
      <c r="E68" s="4">
        <f t="shared" si="1"/>
        <v>1</v>
      </c>
      <c r="F68" s="4">
        <f t="shared" si="2"/>
        <v>1</v>
      </c>
      <c r="G68" s="4">
        <f t="shared" si="3"/>
        <v>41.18</v>
      </c>
      <c r="H68" s="4">
        <f t="shared" si="4"/>
        <v>42.057</v>
      </c>
      <c r="I68" s="4">
        <f t="shared" si="5"/>
        <v>0.877</v>
      </c>
      <c r="J68" s="4">
        <v>5.0</v>
      </c>
      <c r="K68" s="4">
        <v>20.9</v>
      </c>
      <c r="L68" s="4">
        <f t="shared" si="6"/>
        <v>8</v>
      </c>
      <c r="M68" s="4">
        <f t="shared" si="7"/>
        <v>1</v>
      </c>
      <c r="N68" s="4">
        <f t="shared" si="8"/>
        <v>4.0417</v>
      </c>
      <c r="O68" s="4">
        <f t="shared" si="9"/>
        <v>5</v>
      </c>
      <c r="P68" s="4">
        <f t="shared" si="10"/>
        <v>20.9</v>
      </c>
    </row>
    <row r="69" ht="15.75" customHeight="1">
      <c r="A69" s="7">
        <v>1977.0</v>
      </c>
      <c r="B69" s="4">
        <v>219.0</v>
      </c>
      <c r="C69" s="4">
        <v>17.1</v>
      </c>
      <c r="D69" s="4">
        <v>27.3</v>
      </c>
      <c r="E69" s="4">
        <f t="shared" si="1"/>
        <v>1</v>
      </c>
      <c r="F69" s="4">
        <f t="shared" si="2"/>
        <v>0</v>
      </c>
      <c r="G69" s="4">
        <f t="shared" si="3"/>
        <v>42.553</v>
      </c>
      <c r="H69" s="4">
        <f t="shared" si="4"/>
        <v>42.3735</v>
      </c>
      <c r="I69" s="4" t="str">
        <f t="shared" si="5"/>
        <v> </v>
      </c>
      <c r="J69" s="4">
        <v>5.2</v>
      </c>
      <c r="K69" s="4">
        <v>22.1</v>
      </c>
      <c r="L69" s="4">
        <f t="shared" si="6"/>
        <v>8</v>
      </c>
      <c r="M69" s="4">
        <f t="shared" si="7"/>
        <v>0</v>
      </c>
      <c r="N69" s="4">
        <f t="shared" si="8"/>
        <v>-0.9121</v>
      </c>
      <c r="O69" s="4">
        <f t="shared" si="9"/>
        <v>5.2</v>
      </c>
      <c r="P69" s="4">
        <f t="shared" si="10"/>
        <v>22.1</v>
      </c>
    </row>
    <row r="70" ht="15.75" customHeight="1">
      <c r="A70" s="7">
        <v>1977.0</v>
      </c>
      <c r="B70" s="4">
        <v>220.0</v>
      </c>
      <c r="C70" s="4">
        <v>15.4</v>
      </c>
      <c r="D70" s="4">
        <v>27.7</v>
      </c>
      <c r="E70" s="4">
        <f t="shared" si="1"/>
        <v>0</v>
      </c>
      <c r="F70" s="4">
        <f t="shared" si="2"/>
        <v>0</v>
      </c>
      <c r="G70" s="4">
        <f t="shared" si="3"/>
        <v>35.476</v>
      </c>
      <c r="H70" s="4">
        <f t="shared" si="4"/>
        <v>34.51</v>
      </c>
      <c r="I70" s="4" t="str">
        <f t="shared" si="5"/>
        <v> </v>
      </c>
      <c r="K70" s="4">
        <v>21.6</v>
      </c>
      <c r="L70" s="4">
        <f t="shared" si="6"/>
        <v>3</v>
      </c>
      <c r="M70" s="4">
        <f t="shared" si="7"/>
        <v>1</v>
      </c>
      <c r="N70" s="4">
        <f t="shared" si="8"/>
        <v>7.1699</v>
      </c>
      <c r="O70" s="4" t="str">
        <f t="shared" si="9"/>
        <v/>
      </c>
      <c r="P70" s="4">
        <f t="shared" si="10"/>
        <v>21.6</v>
      </c>
    </row>
    <row r="71" ht="15.75" customHeight="1">
      <c r="A71" s="7">
        <v>1977.0</v>
      </c>
      <c r="B71" s="4">
        <v>221.0</v>
      </c>
      <c r="C71" s="4">
        <v>15.0</v>
      </c>
      <c r="D71" s="4">
        <v>26.4</v>
      </c>
      <c r="E71" s="4">
        <f t="shared" si="1"/>
        <v>1</v>
      </c>
      <c r="F71" s="4">
        <f t="shared" si="2"/>
        <v>1</v>
      </c>
      <c r="G71" s="4">
        <f t="shared" si="3"/>
        <v>34.71</v>
      </c>
      <c r="H71" s="4">
        <f t="shared" si="4"/>
        <v>36.7715</v>
      </c>
      <c r="I71" s="4">
        <f t="shared" si="5"/>
        <v>2.0615</v>
      </c>
      <c r="J71" s="4">
        <v>17.8</v>
      </c>
      <c r="K71" s="4">
        <v>20.9</v>
      </c>
      <c r="L71" s="4">
        <f t="shared" si="6"/>
        <v>8</v>
      </c>
      <c r="M71" s="4">
        <f t="shared" si="7"/>
        <v>1</v>
      </c>
      <c r="N71" s="4">
        <f t="shared" si="8"/>
        <v>10.9077</v>
      </c>
      <c r="O71" s="4">
        <f t="shared" si="9"/>
        <v>17.8</v>
      </c>
      <c r="P71" s="4">
        <f t="shared" si="10"/>
        <v>20.9</v>
      </c>
    </row>
    <row r="72" ht="15.75" customHeight="1">
      <c r="A72" s="7">
        <v>1977.0</v>
      </c>
      <c r="B72" s="4">
        <v>222.0</v>
      </c>
      <c r="C72" s="4">
        <v>17.3</v>
      </c>
      <c r="D72" s="4">
        <v>20.5</v>
      </c>
      <c r="E72" s="4">
        <f t="shared" si="1"/>
        <v>1</v>
      </c>
      <c r="F72" s="4">
        <f t="shared" si="2"/>
        <v>1</v>
      </c>
      <c r="G72" s="4">
        <f t="shared" si="3"/>
        <v>27.463</v>
      </c>
      <c r="H72" s="4">
        <f t="shared" si="4"/>
        <v>28.4955</v>
      </c>
      <c r="I72" s="4">
        <f t="shared" si="5"/>
        <v>1.0325</v>
      </c>
      <c r="J72" s="4">
        <v>14.2</v>
      </c>
      <c r="K72" s="4">
        <v>18.3</v>
      </c>
      <c r="L72" s="4">
        <f t="shared" si="6"/>
        <v>8</v>
      </c>
      <c r="M72" s="4">
        <f t="shared" si="7"/>
        <v>1</v>
      </c>
      <c r="N72" s="4">
        <f t="shared" si="8"/>
        <v>10.3643</v>
      </c>
      <c r="O72" s="4">
        <f t="shared" si="9"/>
        <v>14.2</v>
      </c>
      <c r="P72" s="4">
        <f t="shared" si="10"/>
        <v>18.3</v>
      </c>
    </row>
    <row r="73" ht="15.75" customHeight="1">
      <c r="A73" s="7">
        <v>1977.0</v>
      </c>
      <c r="B73" s="4">
        <v>223.0</v>
      </c>
      <c r="C73" s="4">
        <v>16.4</v>
      </c>
      <c r="D73" s="4">
        <v>22.7</v>
      </c>
      <c r="E73" s="4">
        <f t="shared" si="1"/>
        <v>1</v>
      </c>
      <c r="F73" s="4">
        <f t="shared" si="2"/>
        <v>1</v>
      </c>
      <c r="G73" s="4">
        <f t="shared" si="3"/>
        <v>24.409</v>
      </c>
      <c r="H73" s="4">
        <f t="shared" si="4"/>
        <v>24.708</v>
      </c>
      <c r="I73" s="4">
        <f t="shared" si="5"/>
        <v>0.299</v>
      </c>
      <c r="J73" s="4">
        <v>2.8</v>
      </c>
      <c r="K73" s="4">
        <v>18.9</v>
      </c>
      <c r="L73" s="4">
        <f t="shared" si="6"/>
        <v>8</v>
      </c>
      <c r="M73" s="4">
        <f t="shared" si="7"/>
        <v>1</v>
      </c>
      <c r="N73" s="4">
        <f t="shared" si="8"/>
        <v>9.4532</v>
      </c>
      <c r="O73" s="4">
        <f t="shared" si="9"/>
        <v>2.8</v>
      </c>
      <c r="P73" s="4">
        <f t="shared" si="10"/>
        <v>18.9</v>
      </c>
    </row>
    <row r="74" ht="15.75" customHeight="1">
      <c r="A74" s="7">
        <v>1977.0</v>
      </c>
      <c r="B74" s="4">
        <v>224.0</v>
      </c>
      <c r="C74" s="4">
        <v>13.1</v>
      </c>
      <c r="D74" s="4">
        <v>18.4</v>
      </c>
      <c r="E74" s="4">
        <f t="shared" si="1"/>
        <v>1</v>
      </c>
      <c r="F74" s="4">
        <f t="shared" si="2"/>
        <v>1</v>
      </c>
      <c r="G74" s="4">
        <f t="shared" si="3"/>
        <v>16.114</v>
      </c>
      <c r="H74" s="4">
        <f t="shared" si="4"/>
        <v>16.4775</v>
      </c>
      <c r="I74" s="4">
        <f t="shared" si="5"/>
        <v>0.3635</v>
      </c>
      <c r="J74" s="4">
        <v>7.1</v>
      </c>
      <c r="K74" s="4">
        <v>15.8</v>
      </c>
      <c r="L74" s="4">
        <f t="shared" si="6"/>
        <v>8</v>
      </c>
      <c r="M74" s="4">
        <f t="shared" si="7"/>
        <v>1</v>
      </c>
      <c r="N74" s="4">
        <f t="shared" si="8"/>
        <v>5.6805</v>
      </c>
      <c r="O74" s="4">
        <f t="shared" si="9"/>
        <v>7.1</v>
      </c>
      <c r="P74" s="4">
        <f t="shared" si="10"/>
        <v>15.8</v>
      </c>
    </row>
    <row r="75" ht="15.75" customHeight="1">
      <c r="A75" s="7">
        <v>1977.0</v>
      </c>
      <c r="B75" s="4">
        <v>225.0</v>
      </c>
      <c r="C75" s="4">
        <v>10.3</v>
      </c>
      <c r="D75" s="4">
        <v>18.9</v>
      </c>
      <c r="E75" s="4">
        <f t="shared" si="1"/>
        <v>1</v>
      </c>
      <c r="F75" s="4">
        <f t="shared" si="2"/>
        <v>0</v>
      </c>
      <c r="G75" s="4">
        <f t="shared" si="3"/>
        <v>13.483</v>
      </c>
      <c r="H75" s="4">
        <f t="shared" si="4"/>
        <v>11.9165</v>
      </c>
      <c r="I75" s="4" t="str">
        <f t="shared" si="5"/>
        <v> </v>
      </c>
      <c r="J75" s="4">
        <v>1.2</v>
      </c>
      <c r="K75" s="4">
        <v>14.7</v>
      </c>
      <c r="L75" s="4">
        <f t="shared" si="6"/>
        <v>8</v>
      </c>
      <c r="M75" s="4">
        <f t="shared" si="7"/>
        <v>0</v>
      </c>
      <c r="N75" s="4">
        <f t="shared" si="8"/>
        <v>-4.9751</v>
      </c>
      <c r="O75" s="4">
        <f t="shared" si="9"/>
        <v>1.2</v>
      </c>
      <c r="P75" s="4">
        <f t="shared" si="10"/>
        <v>14.7</v>
      </c>
    </row>
    <row r="76" ht="15.75" customHeight="1">
      <c r="A76" s="7">
        <v>1977.0</v>
      </c>
      <c r="B76" s="4">
        <v>226.0</v>
      </c>
      <c r="C76" s="4">
        <v>8.8</v>
      </c>
      <c r="D76" s="4">
        <v>15.3</v>
      </c>
      <c r="E76" s="4">
        <f t="shared" si="1"/>
        <v>0</v>
      </c>
      <c r="F76" s="4">
        <f t="shared" si="2"/>
        <v>0</v>
      </c>
      <c r="G76" s="4">
        <f t="shared" si="3"/>
        <v>6.223</v>
      </c>
      <c r="H76" s="4">
        <f t="shared" si="4"/>
        <v>3.172</v>
      </c>
      <c r="I76" s="4" t="str">
        <f t="shared" si="5"/>
        <v> </v>
      </c>
      <c r="K76" s="4">
        <v>11.7</v>
      </c>
      <c r="L76" s="4">
        <f t="shared" si="6"/>
        <v>3</v>
      </c>
      <c r="M76" s="4">
        <f t="shared" si="7"/>
        <v>0</v>
      </c>
      <c r="N76" s="4">
        <f t="shared" si="8"/>
        <v>-5.9408</v>
      </c>
      <c r="O76" s="4" t="str">
        <f t="shared" si="9"/>
        <v/>
      </c>
      <c r="P76" s="4">
        <f t="shared" si="10"/>
        <v>11.7</v>
      </c>
    </row>
    <row r="77" ht="15.75" customHeight="1">
      <c r="A77" s="7">
        <v>1977.0</v>
      </c>
      <c r="B77" s="4">
        <v>227.0</v>
      </c>
      <c r="C77" s="4">
        <v>5.1</v>
      </c>
      <c r="D77" s="4">
        <v>14.4</v>
      </c>
      <c r="E77" s="4">
        <f t="shared" si="1"/>
        <v>0</v>
      </c>
      <c r="F77" s="4">
        <f t="shared" si="2"/>
        <v>0</v>
      </c>
      <c r="G77" s="4">
        <f t="shared" si="3"/>
        <v>4.411</v>
      </c>
      <c r="H77" s="4">
        <f t="shared" si="4"/>
        <v>3.7295</v>
      </c>
      <c r="I77" s="4" t="str">
        <f t="shared" si="5"/>
        <v> </v>
      </c>
      <c r="K77" s="4">
        <v>11.0</v>
      </c>
      <c r="L77" s="4">
        <f t="shared" si="6"/>
        <v>3</v>
      </c>
      <c r="M77" s="4">
        <f t="shared" si="7"/>
        <v>0</v>
      </c>
      <c r="N77" s="4">
        <f t="shared" si="8"/>
        <v>-6.5461</v>
      </c>
      <c r="O77" s="4" t="str">
        <f t="shared" si="9"/>
        <v/>
      </c>
      <c r="P77" s="4">
        <f t="shared" si="10"/>
        <v>11</v>
      </c>
    </row>
    <row r="78" ht="15.75" customHeight="1">
      <c r="A78" s="7">
        <v>1977.0</v>
      </c>
      <c r="B78" s="4">
        <v>228.0</v>
      </c>
      <c r="C78" s="4">
        <v>6.5</v>
      </c>
      <c r="D78" s="4">
        <v>13.3</v>
      </c>
      <c r="E78" s="4">
        <f t="shared" si="1"/>
        <v>0</v>
      </c>
      <c r="F78" s="4">
        <f t="shared" si="2"/>
        <v>0</v>
      </c>
      <c r="G78" s="4">
        <f t="shared" si="3"/>
        <v>6.673</v>
      </c>
      <c r="H78" s="4">
        <f t="shared" si="4"/>
        <v>4.628</v>
      </c>
      <c r="I78" s="4" t="str">
        <f t="shared" si="5"/>
        <v> </v>
      </c>
      <c r="K78" s="4">
        <v>10.4</v>
      </c>
      <c r="L78" s="4">
        <f t="shared" si="6"/>
        <v>3</v>
      </c>
      <c r="M78" s="4">
        <f t="shared" si="7"/>
        <v>0</v>
      </c>
      <c r="N78" s="4">
        <f t="shared" si="8"/>
        <v>-6.8889</v>
      </c>
      <c r="O78" s="4" t="str">
        <f t="shared" si="9"/>
        <v/>
      </c>
      <c r="P78" s="4">
        <f t="shared" si="10"/>
        <v>10.4</v>
      </c>
    </row>
    <row r="79" ht="15.75" customHeight="1">
      <c r="A79" s="7">
        <v>1977.0</v>
      </c>
      <c r="B79" s="4">
        <v>229.0</v>
      </c>
      <c r="C79" s="4">
        <v>5.6</v>
      </c>
      <c r="D79" s="4">
        <v>14.9</v>
      </c>
      <c r="E79" s="4">
        <f t="shared" si="1"/>
        <v>0</v>
      </c>
      <c r="F79" s="4">
        <f t="shared" si="2"/>
        <v>0</v>
      </c>
      <c r="G79" s="4">
        <f t="shared" si="3"/>
        <v>6.596</v>
      </c>
      <c r="H79" s="4">
        <f t="shared" si="4"/>
        <v>5.7875</v>
      </c>
      <c r="I79" s="4" t="str">
        <f t="shared" si="5"/>
        <v> </v>
      </c>
      <c r="K79" s="4">
        <v>10.4</v>
      </c>
      <c r="L79" s="4">
        <f t="shared" si="6"/>
        <v>3</v>
      </c>
      <c r="M79" s="4">
        <f t="shared" si="7"/>
        <v>0</v>
      </c>
      <c r="N79" s="4">
        <f t="shared" si="8"/>
        <v>-3.0611</v>
      </c>
      <c r="O79" s="4" t="str">
        <f t="shared" si="9"/>
        <v/>
      </c>
      <c r="P79" s="4">
        <f t="shared" si="10"/>
        <v>10.4</v>
      </c>
    </row>
    <row r="80" ht="15.75" customHeight="1">
      <c r="A80" s="7">
        <v>1977.0</v>
      </c>
      <c r="B80" s="4">
        <v>230.0</v>
      </c>
      <c r="C80" s="4">
        <v>4.7</v>
      </c>
      <c r="D80" s="4">
        <v>13.8</v>
      </c>
      <c r="E80" s="4">
        <f t="shared" si="1"/>
        <v>0</v>
      </c>
      <c r="F80" s="4">
        <f t="shared" si="2"/>
        <v>0</v>
      </c>
      <c r="G80" s="4">
        <f t="shared" si="3"/>
        <v>7.899</v>
      </c>
      <c r="H80" s="4">
        <f t="shared" si="4"/>
        <v>7.2445</v>
      </c>
      <c r="I80" s="4" t="str">
        <f t="shared" si="5"/>
        <v> </v>
      </c>
      <c r="K80" s="4">
        <v>8.4</v>
      </c>
      <c r="L80" s="4">
        <f t="shared" si="6"/>
        <v>3</v>
      </c>
      <c r="M80" s="4">
        <f t="shared" si="7"/>
        <v>1</v>
      </c>
      <c r="N80" s="4">
        <f t="shared" si="8"/>
        <v>0.5691</v>
      </c>
      <c r="O80" s="4">
        <f t="shared" si="9"/>
        <v>0</v>
      </c>
      <c r="P80" s="4">
        <f t="shared" si="10"/>
        <v>0</v>
      </c>
    </row>
    <row r="81" ht="15.75" customHeight="1">
      <c r="A81" s="7">
        <v>1977.0</v>
      </c>
      <c r="B81" s="4">
        <v>231.0</v>
      </c>
      <c r="C81" s="4">
        <v>3.4</v>
      </c>
      <c r="D81" s="4">
        <v>13.2</v>
      </c>
      <c r="E81" s="4">
        <f t="shared" si="1"/>
        <v>1</v>
      </c>
      <c r="F81" s="4">
        <f t="shared" si="2"/>
        <v>0</v>
      </c>
      <c r="G81" s="4">
        <f t="shared" si="3"/>
        <v>7.853</v>
      </c>
      <c r="H81" s="4">
        <f t="shared" si="4"/>
        <v>7.058</v>
      </c>
      <c r="I81" s="4" t="str">
        <f t="shared" si="5"/>
        <v> </v>
      </c>
      <c r="J81" s="4">
        <v>5.0</v>
      </c>
      <c r="K81" s="4">
        <v>7.7</v>
      </c>
      <c r="L81" s="4">
        <f t="shared" si="6"/>
        <v>8</v>
      </c>
      <c r="M81" s="4">
        <f t="shared" si="7"/>
        <v>0</v>
      </c>
      <c r="N81" s="4">
        <f t="shared" si="8"/>
        <v>-3.641</v>
      </c>
      <c r="O81" s="4">
        <f t="shared" si="9"/>
        <v>0</v>
      </c>
      <c r="P81" s="4">
        <f t="shared" si="10"/>
        <v>0</v>
      </c>
    </row>
    <row r="82" ht="15.75" customHeight="1">
      <c r="A82" s="7">
        <v>1977.0</v>
      </c>
      <c r="B82" s="4">
        <v>232.0</v>
      </c>
      <c r="C82" s="4">
        <v>1.1</v>
      </c>
      <c r="D82" s="4">
        <v>14.9</v>
      </c>
      <c r="E82" s="4">
        <f t="shared" si="1"/>
        <v>0</v>
      </c>
      <c r="F82" s="4">
        <f t="shared" si="2"/>
        <v>1</v>
      </c>
      <c r="G82" s="4">
        <f t="shared" si="3"/>
        <v>7.524</v>
      </c>
      <c r="H82" s="4">
        <f t="shared" si="4"/>
        <v>7.5955</v>
      </c>
      <c r="I82" s="4">
        <f t="shared" si="5"/>
        <v>0.0715</v>
      </c>
      <c r="K82" s="4">
        <v>8.6</v>
      </c>
      <c r="L82" s="4">
        <f t="shared" si="6"/>
        <v>3</v>
      </c>
      <c r="M82" s="4">
        <f t="shared" si="7"/>
        <v>0</v>
      </c>
      <c r="N82" s="4">
        <f t="shared" si="8"/>
        <v>-7.3111</v>
      </c>
      <c r="O82" s="4">
        <f t="shared" si="9"/>
        <v>0</v>
      </c>
      <c r="P82" s="4">
        <f t="shared" si="10"/>
        <v>0</v>
      </c>
    </row>
    <row r="83" ht="15.75" customHeight="1">
      <c r="A83" s="7">
        <v>1977.0</v>
      </c>
      <c r="B83" s="4">
        <v>233.0</v>
      </c>
      <c r="C83" s="4">
        <v>2.9</v>
      </c>
      <c r="D83" s="4">
        <v>13.4</v>
      </c>
      <c r="E83" s="4">
        <f t="shared" si="1"/>
        <v>0</v>
      </c>
      <c r="F83" s="4">
        <f t="shared" si="2"/>
        <v>0</v>
      </c>
      <c r="G83" s="4">
        <f t="shared" si="3"/>
        <v>10.672</v>
      </c>
      <c r="H83" s="4">
        <f t="shared" si="4"/>
        <v>8.182</v>
      </c>
      <c r="I83" s="4" t="str">
        <f t="shared" si="5"/>
        <v> </v>
      </c>
      <c r="K83" s="4">
        <v>8.6</v>
      </c>
      <c r="L83" s="4">
        <f t="shared" si="6"/>
        <v>3</v>
      </c>
      <c r="M83" s="4">
        <f t="shared" si="7"/>
        <v>0</v>
      </c>
      <c r="N83" s="4">
        <f t="shared" si="8"/>
        <v>-8.9176</v>
      </c>
      <c r="O83" s="4">
        <f t="shared" si="9"/>
        <v>0</v>
      </c>
      <c r="P83" s="4">
        <f t="shared" si="10"/>
        <v>0</v>
      </c>
    </row>
    <row r="84" ht="15.75" customHeight="1">
      <c r="A84" s="7">
        <v>1977.0</v>
      </c>
      <c r="B84" s="4">
        <v>234.0</v>
      </c>
      <c r="C84" s="4">
        <v>3.8</v>
      </c>
      <c r="D84" s="4">
        <v>15.8</v>
      </c>
      <c r="E84" s="4">
        <f t="shared" si="1"/>
        <v>0</v>
      </c>
      <c r="F84" s="4">
        <f t="shared" si="2"/>
        <v>0</v>
      </c>
      <c r="G84" s="4">
        <f t="shared" si="3"/>
        <v>13.652</v>
      </c>
      <c r="H84" s="4">
        <f t="shared" si="4"/>
        <v>12.1075</v>
      </c>
      <c r="I84" s="4" t="str">
        <f t="shared" si="5"/>
        <v> </v>
      </c>
      <c r="K84" s="4">
        <v>9.2</v>
      </c>
      <c r="L84" s="4">
        <f t="shared" si="6"/>
        <v>3</v>
      </c>
      <c r="M84" s="4">
        <f t="shared" si="7"/>
        <v>0</v>
      </c>
      <c r="N84" s="4">
        <f t="shared" si="8"/>
        <v>-1.8634</v>
      </c>
      <c r="O84" s="4">
        <f t="shared" si="9"/>
        <v>0</v>
      </c>
      <c r="P84" s="4">
        <f t="shared" si="10"/>
        <v>0</v>
      </c>
    </row>
    <row r="85" ht="15.75" customHeight="1">
      <c r="A85" s="7">
        <v>1977.0</v>
      </c>
      <c r="B85" s="4">
        <v>235.0</v>
      </c>
      <c r="C85" s="4">
        <v>1.5</v>
      </c>
      <c r="D85" s="4">
        <v>14.8</v>
      </c>
      <c r="E85" s="4">
        <f t="shared" si="1"/>
        <v>0</v>
      </c>
      <c r="F85" s="4">
        <f t="shared" si="2"/>
        <v>0</v>
      </c>
      <c r="G85" s="4">
        <f t="shared" si="3"/>
        <v>14.572</v>
      </c>
      <c r="H85" s="4">
        <f t="shared" si="4"/>
        <v>13.5375</v>
      </c>
      <c r="I85" s="4" t="str">
        <f t="shared" si="5"/>
        <v> </v>
      </c>
      <c r="K85" s="4">
        <v>10.0</v>
      </c>
      <c r="L85" s="4">
        <f t="shared" si="6"/>
        <v>3</v>
      </c>
      <c r="M85" s="4">
        <f t="shared" si="7"/>
        <v>1</v>
      </c>
      <c r="N85" s="4">
        <f t="shared" si="8"/>
        <v>0.1858</v>
      </c>
      <c r="O85" s="4">
        <f t="shared" si="9"/>
        <v>0</v>
      </c>
      <c r="P85" s="4">
        <f t="shared" si="10"/>
        <v>0</v>
      </c>
    </row>
    <row r="86" ht="15.75" customHeight="1">
      <c r="A86" s="7">
        <v>1977.0</v>
      </c>
      <c r="B86" s="4">
        <v>236.0</v>
      </c>
      <c r="C86" s="4">
        <v>5.8</v>
      </c>
      <c r="D86" s="4">
        <v>17.1</v>
      </c>
      <c r="E86" s="4">
        <f t="shared" si="1"/>
        <v>1</v>
      </c>
      <c r="F86" s="4">
        <f t="shared" si="2"/>
        <v>0</v>
      </c>
      <c r="G86" s="4">
        <f t="shared" si="3"/>
        <v>20.075</v>
      </c>
      <c r="H86" s="4">
        <f t="shared" si="4"/>
        <v>18.7145</v>
      </c>
      <c r="I86" s="4" t="str">
        <f t="shared" si="5"/>
        <v> </v>
      </c>
      <c r="J86" s="4">
        <v>0.5</v>
      </c>
      <c r="K86" s="4">
        <v>11.6</v>
      </c>
      <c r="L86" s="4">
        <f t="shared" si="6"/>
        <v>8</v>
      </c>
      <c r="M86" s="4">
        <f t="shared" si="7"/>
        <v>0</v>
      </c>
      <c r="N86" s="4">
        <f t="shared" si="8"/>
        <v>-5.7389</v>
      </c>
      <c r="O86" s="4">
        <f t="shared" si="9"/>
        <v>0.5</v>
      </c>
      <c r="P86" s="4">
        <f t="shared" si="10"/>
        <v>11.6</v>
      </c>
    </row>
    <row r="87" ht="15.75" customHeight="1">
      <c r="A87" s="7">
        <v>1977.0</v>
      </c>
      <c r="B87" s="4">
        <v>237.0</v>
      </c>
      <c r="C87" s="4">
        <v>3.3</v>
      </c>
      <c r="D87" s="4">
        <v>18.1</v>
      </c>
      <c r="E87" s="4">
        <f t="shared" si="1"/>
        <v>0</v>
      </c>
      <c r="F87" s="4">
        <f t="shared" si="2"/>
        <v>0</v>
      </c>
      <c r="G87" s="4">
        <f t="shared" si="3"/>
        <v>14.818</v>
      </c>
      <c r="H87" s="4">
        <f t="shared" si="4"/>
        <v>14.4345</v>
      </c>
      <c r="I87" s="4" t="str">
        <f t="shared" si="5"/>
        <v> </v>
      </c>
      <c r="K87" s="4">
        <v>11.3</v>
      </c>
      <c r="L87" s="4">
        <f t="shared" si="6"/>
        <v>3</v>
      </c>
      <c r="M87" s="4">
        <f t="shared" si="7"/>
        <v>0</v>
      </c>
      <c r="N87" s="4">
        <f t="shared" si="8"/>
        <v>-8.9318</v>
      </c>
      <c r="O87" s="4" t="str">
        <f t="shared" si="9"/>
        <v/>
      </c>
      <c r="P87" s="4">
        <f t="shared" si="10"/>
        <v>11.3</v>
      </c>
    </row>
    <row r="88" ht="15.75" customHeight="1">
      <c r="A88" s="7">
        <v>1977.0</v>
      </c>
      <c r="B88" s="4">
        <v>238.0</v>
      </c>
      <c r="C88" s="4">
        <v>3.5</v>
      </c>
      <c r="D88" s="4">
        <v>18.9</v>
      </c>
      <c r="E88" s="4">
        <f t="shared" si="1"/>
        <v>0</v>
      </c>
      <c r="K88" s="4">
        <v>11.3</v>
      </c>
      <c r="L88" s="4">
        <f t="shared" si="6"/>
        <v>3</v>
      </c>
      <c r="O88" s="4" t="str">
        <f t="shared" si="9"/>
        <v/>
      </c>
      <c r="P88" s="4">
        <f t="shared" si="10"/>
        <v>11.3</v>
      </c>
    </row>
    <row r="89" ht="15.75" customHeight="1">
      <c r="A89" s="7">
        <v>1977.0</v>
      </c>
      <c r="B89" s="4">
        <v>239.0</v>
      </c>
      <c r="C89" s="4">
        <v>4.9</v>
      </c>
      <c r="D89" s="4">
        <v>19.8</v>
      </c>
      <c r="E89" s="4">
        <f t="shared" si="1"/>
        <v>0</v>
      </c>
      <c r="K89" s="4">
        <v>12.1</v>
      </c>
      <c r="L89" s="4">
        <f t="shared" si="6"/>
        <v>3</v>
      </c>
      <c r="O89" s="4" t="str">
        <f t="shared" si="9"/>
        <v/>
      </c>
      <c r="P89" s="4">
        <f t="shared" si="10"/>
        <v>12.1</v>
      </c>
    </row>
    <row r="90" ht="15.75" customHeight="1">
      <c r="A90" s="7">
        <v>1977.0</v>
      </c>
      <c r="B90" s="4">
        <v>240.0</v>
      </c>
      <c r="C90" s="4">
        <v>5.9</v>
      </c>
      <c r="D90" s="4">
        <v>20.3</v>
      </c>
      <c r="E90" s="4">
        <f t="shared" si="1"/>
        <v>0</v>
      </c>
      <c r="K90" s="4">
        <v>13.7</v>
      </c>
      <c r="L90" s="4">
        <f t="shared" si="6"/>
        <v>3</v>
      </c>
      <c r="O90" s="4" t="str">
        <f t="shared" si="9"/>
        <v/>
      </c>
      <c r="P90" s="4">
        <f t="shared" si="10"/>
        <v>13.7</v>
      </c>
    </row>
    <row r="91" ht="15.75" customHeight="1">
      <c r="A91" s="7">
        <v>1977.0</v>
      </c>
      <c r="B91" s="4">
        <v>241.0</v>
      </c>
      <c r="C91" s="4">
        <v>12.4</v>
      </c>
      <c r="D91" s="4">
        <v>15.4</v>
      </c>
      <c r="E91" s="4">
        <f t="shared" si="1"/>
        <v>1</v>
      </c>
      <c r="J91" s="4">
        <v>2.0</v>
      </c>
      <c r="K91" s="4">
        <v>13.7</v>
      </c>
      <c r="L91" s="4">
        <f t="shared" si="6"/>
        <v>8</v>
      </c>
      <c r="O91" s="4">
        <f t="shared" si="9"/>
        <v>2</v>
      </c>
      <c r="P91" s="4">
        <f t="shared" si="10"/>
        <v>13.7</v>
      </c>
    </row>
    <row r="92" ht="15.75" customHeight="1">
      <c r="A92" s="7">
        <v>1977.0</v>
      </c>
      <c r="B92" s="4">
        <v>242.0</v>
      </c>
      <c r="C92" s="4">
        <v>6.1</v>
      </c>
      <c r="D92" s="4">
        <v>17.5</v>
      </c>
      <c r="E92" s="4">
        <f t="shared" si="1"/>
        <v>1</v>
      </c>
      <c r="J92" s="4">
        <v>1.4</v>
      </c>
      <c r="K92" s="4">
        <v>13.2</v>
      </c>
      <c r="L92" s="4">
        <f t="shared" si="6"/>
        <v>8</v>
      </c>
      <c r="O92" s="4">
        <f t="shared" si="9"/>
        <v>1.4</v>
      </c>
      <c r="P92" s="4">
        <f t="shared" si="10"/>
        <v>13.2</v>
      </c>
    </row>
    <row r="93" ht="15.75" customHeight="1">
      <c r="A93" s="7">
        <v>1977.0</v>
      </c>
      <c r="B93" s="4">
        <v>243.0</v>
      </c>
      <c r="C93" s="4">
        <v>5.3</v>
      </c>
      <c r="D93" s="4">
        <v>20.9</v>
      </c>
      <c r="E93" s="4">
        <f t="shared" si="1"/>
        <v>0</v>
      </c>
      <c r="K93" s="4">
        <v>13.9</v>
      </c>
      <c r="L93" s="4">
        <f t="shared" si="6"/>
        <v>3</v>
      </c>
      <c r="O93" s="4" t="str">
        <f t="shared" si="9"/>
        <v/>
      </c>
      <c r="P93" s="4">
        <f t="shared" si="10"/>
        <v>13.9</v>
      </c>
    </row>
    <row r="94" ht="15.75" customHeight="1"/>
    <row r="95" ht="15.75" customHeight="1"/>
    <row r="96" ht="15.75" customHeight="1">
      <c r="O96" s="4">
        <f>SUM(O2:O93)</f>
        <v>197.8</v>
      </c>
      <c r="P96" s="4">
        <f>SUMIF(P2:P93,"&gt;0")/10</f>
        <v>142.15</v>
      </c>
    </row>
    <row r="97" ht="15.75" customHeight="1"/>
    <row r="98" ht="15.75" customHeight="1">
      <c r="I98" s="4">
        <f>SUM(I2:I87)</f>
        <v>21.6465</v>
      </c>
      <c r="O98" s="4" t="s">
        <v>15</v>
      </c>
      <c r="P98" s="4">
        <f>O96/P96</f>
        <v>1.391487865</v>
      </c>
    </row>
    <row r="99" ht="15.75" customHeight="1">
      <c r="I99" s="4">
        <f>SUM(I2:I31)</f>
        <v>16.0875</v>
      </c>
      <c r="O99" s="4" t="s">
        <v>16</v>
      </c>
      <c r="P99" s="4">
        <f>SUM(O2:O31)/(SUM(P2:P31)/10)</f>
        <v>1.429499675</v>
      </c>
    </row>
    <row r="100" ht="15.75" customHeight="1">
      <c r="I100" s="4">
        <f>SUM(I32:I62)</f>
        <v>0.79</v>
      </c>
      <c r="O100" s="4" t="s">
        <v>17</v>
      </c>
      <c r="P100" s="4">
        <f>SUM(O33:O62)/(SUM(P33:P62)/10)</f>
        <v>1.281085154</v>
      </c>
    </row>
    <row r="101" ht="15.75" customHeight="1">
      <c r="I101" s="4">
        <f>SUM(I63:I93)</f>
        <v>4.769</v>
      </c>
      <c r="O101" s="4" t="s">
        <v>18</v>
      </c>
      <c r="P101" s="4">
        <f>SUM(O63:O93)/(SUM(P63:P93)/10)</f>
        <v>1.554959786</v>
      </c>
    </row>
    <row r="102" ht="15.75" customHeight="1">
      <c r="I102" s="4">
        <f>SUMIF(I2:I87,"&gt;0")</f>
        <v>21.6465</v>
      </c>
    </row>
    <row r="103" ht="15.75" customHeight="1">
      <c r="I103" s="4">
        <f>SUMIF(I2:I31,"&gt;0")</f>
        <v>16.0875</v>
      </c>
    </row>
    <row r="104" ht="15.75" customHeight="1">
      <c r="I104" s="4">
        <f>SUMIF(I32:I62,"&gt;0")</f>
        <v>0.79</v>
      </c>
      <c r="P104" s="4">
        <f>SUM(O16:O35)/(SUM(P16:P35)/10)</f>
        <v>1.434478372</v>
      </c>
    </row>
    <row r="105" ht="15.75" customHeight="1">
      <c r="I105" s="4">
        <f>SUMIF(I63:I87,"&gt;0")</f>
        <v>4.769</v>
      </c>
      <c r="P105" s="4">
        <f>SUM(O36:O55)/(SUM(P36:P55)/10)</f>
        <v>1.259890444</v>
      </c>
    </row>
    <row r="106" ht="15.75" customHeight="1">
      <c r="P106" s="4">
        <f>SUM(O56:O77)/(SUM(P56:P77)/10)</f>
        <v>1.548030408</v>
      </c>
    </row>
    <row r="107" ht="15.75" customHeight="1">
      <c r="P107" s="4">
        <f>SUM(O16:O77)/(SUM(P16:P77)/10)</f>
        <v>1.426979853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3"/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7">
        <v>1982.0</v>
      </c>
      <c r="B2" s="4">
        <v>152.0</v>
      </c>
      <c r="C2" s="4">
        <v>10.9</v>
      </c>
      <c r="D2" s="4">
        <v>20.0</v>
      </c>
      <c r="E2" s="4">
        <f t="shared" ref="E2:E93" si="1">IF(J2&gt;0,1,0)</f>
        <v>0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100.037</v>
      </c>
      <c r="H2" s="4">
        <f t="shared" ref="H2:H87" si="4">0.63 * D2 + 0.37 * D3 + 0.49 * D4 + 0.22 * D5 + 0.65 * D6 + 0.24 *C2 - 0.06 * C3- 0.15 * C4 - 0.135 * C5 + 0.15 * C6 + 4.88 * E2 + 3.55 * E3 + 3.34 *E4 + 2.5 * E5 + 2.29 *E6-31.34</f>
        <v>88.338</v>
      </c>
      <c r="I2" s="4" t="str">
        <f t="shared" ref="I2:I87" si="5">IF((H2-G2)&gt;0,H2-G2," ")</f>
        <v> </v>
      </c>
      <c r="K2" s="4">
        <v>16.6</v>
      </c>
      <c r="L2" s="4">
        <f t="shared" ref="L2:L93" si="6">IF(E2&gt;0,8,3)</f>
        <v>3</v>
      </c>
      <c r="M2" s="4">
        <f t="shared" ref="M2:M87" si="7">IF(N2&gt;=0,1,0)</f>
        <v>0</v>
      </c>
      <c r="N2" s="4">
        <f t="shared" ref="N2:N87" si="8">-0.216*D2-0.191*D3-0.119*D4+0.004*C2-0.171*C3+0.628*C4-0.479*L2+0.513*L3+0.046*L4+5.947*E2+6.699*E3+4.328*E4-1.788</f>
        <v>-43.2031</v>
      </c>
      <c r="O2" s="4" t="str">
        <f t="shared" ref="O2:O93" si="9">IF(K2&gt;10,J2,0)</f>
        <v/>
      </c>
      <c r="P2" s="4">
        <f t="shared" ref="P2:P93" si="10">IF(K2&gt;10,K2,0)</f>
        <v>16.6</v>
      </c>
    </row>
    <row r="3">
      <c r="A3" s="7">
        <v>1982.0</v>
      </c>
      <c r="B3" s="4">
        <v>153.0</v>
      </c>
      <c r="C3" s="4">
        <v>4.5</v>
      </c>
      <c r="D3" s="4">
        <v>201.7</v>
      </c>
      <c r="E3" s="4">
        <f t="shared" si="1"/>
        <v>0</v>
      </c>
      <c r="F3" s="4">
        <f t="shared" si="2"/>
        <v>0</v>
      </c>
      <c r="G3" s="4">
        <f t="shared" si="3"/>
        <v>165.033</v>
      </c>
      <c r="H3" s="4">
        <f t="shared" si="4"/>
        <v>139.9795</v>
      </c>
      <c r="I3" s="4" t="str">
        <f t="shared" si="5"/>
        <v> </v>
      </c>
      <c r="K3" s="4">
        <v>15.7</v>
      </c>
      <c r="L3" s="4">
        <f t="shared" si="6"/>
        <v>3</v>
      </c>
      <c r="M3" s="4">
        <f t="shared" si="7"/>
        <v>0</v>
      </c>
      <c r="N3" s="4">
        <f t="shared" si="8"/>
        <v>-50.033</v>
      </c>
      <c r="O3" s="4" t="str">
        <f t="shared" si="9"/>
        <v/>
      </c>
      <c r="P3" s="4">
        <f t="shared" si="10"/>
        <v>15.7</v>
      </c>
    </row>
    <row r="4">
      <c r="A4" s="7">
        <v>1982.0</v>
      </c>
      <c r="B4" s="4">
        <v>154.0</v>
      </c>
      <c r="C4" s="4">
        <v>7.2</v>
      </c>
      <c r="D4" s="4">
        <v>21.9</v>
      </c>
      <c r="E4" s="4">
        <f t="shared" si="1"/>
        <v>0</v>
      </c>
      <c r="F4" s="4">
        <f t="shared" si="2"/>
        <v>0</v>
      </c>
      <c r="G4" s="4">
        <f t="shared" si="3"/>
        <v>25.89</v>
      </c>
      <c r="H4" s="4">
        <f t="shared" si="4"/>
        <v>22.3</v>
      </c>
      <c r="I4" s="4" t="str">
        <f t="shared" si="5"/>
        <v> </v>
      </c>
      <c r="K4" s="4">
        <v>16.6</v>
      </c>
      <c r="L4" s="4">
        <f t="shared" si="6"/>
        <v>3</v>
      </c>
      <c r="M4" s="4">
        <f t="shared" si="7"/>
        <v>0</v>
      </c>
      <c r="N4" s="4">
        <f t="shared" si="8"/>
        <v>-10.8793</v>
      </c>
      <c r="O4" s="4" t="str">
        <f t="shared" si="9"/>
        <v/>
      </c>
      <c r="P4" s="4">
        <f t="shared" si="10"/>
        <v>16.6</v>
      </c>
    </row>
    <row r="5">
      <c r="A5" s="7">
        <v>1982.0</v>
      </c>
      <c r="B5" s="4">
        <v>155.0</v>
      </c>
      <c r="C5" s="4">
        <v>6.2</v>
      </c>
      <c r="D5" s="4">
        <v>28.7</v>
      </c>
      <c r="E5" s="4">
        <f t="shared" si="1"/>
        <v>0</v>
      </c>
      <c r="F5" s="4">
        <f t="shared" si="2"/>
        <v>0</v>
      </c>
      <c r="G5" s="4">
        <f t="shared" si="3"/>
        <v>23.559</v>
      </c>
      <c r="H5" s="4">
        <f t="shared" si="4"/>
        <v>22.2495</v>
      </c>
      <c r="I5" s="4" t="str">
        <f t="shared" si="5"/>
        <v> </v>
      </c>
      <c r="K5" s="4">
        <v>18.6</v>
      </c>
      <c r="L5" s="4">
        <f t="shared" si="6"/>
        <v>3</v>
      </c>
      <c r="M5" s="4">
        <f t="shared" si="7"/>
        <v>0</v>
      </c>
      <c r="N5" s="4">
        <f t="shared" si="8"/>
        <v>-9.2218</v>
      </c>
      <c r="O5" s="4" t="str">
        <f t="shared" si="9"/>
        <v/>
      </c>
      <c r="P5" s="4">
        <f t="shared" si="10"/>
        <v>18.6</v>
      </c>
    </row>
    <row r="6">
      <c r="A6" s="7">
        <v>1982.0</v>
      </c>
      <c r="B6" s="4">
        <v>156.0</v>
      </c>
      <c r="C6" s="4">
        <v>7.1</v>
      </c>
      <c r="D6" s="4">
        <v>21.4</v>
      </c>
      <c r="E6" s="4">
        <f t="shared" si="1"/>
        <v>0</v>
      </c>
      <c r="F6" s="4">
        <f t="shared" si="2"/>
        <v>1</v>
      </c>
      <c r="G6" s="4">
        <f t="shared" si="3"/>
        <v>16.234</v>
      </c>
      <c r="H6" s="4">
        <f t="shared" si="4"/>
        <v>17.1595</v>
      </c>
      <c r="I6" s="4">
        <f t="shared" si="5"/>
        <v>0.9255</v>
      </c>
      <c r="K6" s="4">
        <v>14.8</v>
      </c>
      <c r="L6" s="4">
        <f t="shared" si="6"/>
        <v>3</v>
      </c>
      <c r="M6" s="4">
        <f t="shared" si="7"/>
        <v>0</v>
      </c>
      <c r="N6" s="4">
        <f t="shared" si="8"/>
        <v>-6.6304</v>
      </c>
      <c r="O6" s="4" t="str">
        <f t="shared" si="9"/>
        <v/>
      </c>
      <c r="P6" s="4">
        <f t="shared" si="10"/>
        <v>14.8</v>
      </c>
    </row>
    <row r="7">
      <c r="A7" s="7">
        <v>1982.0</v>
      </c>
      <c r="B7" s="4">
        <v>157.0</v>
      </c>
      <c r="C7" s="4">
        <v>11.0</v>
      </c>
      <c r="D7" s="4">
        <v>26.1</v>
      </c>
      <c r="E7" s="4">
        <f t="shared" si="1"/>
        <v>0</v>
      </c>
      <c r="F7" s="4">
        <f t="shared" si="2"/>
        <v>1</v>
      </c>
      <c r="G7" s="4">
        <f t="shared" si="3"/>
        <v>16.996</v>
      </c>
      <c r="H7" s="4">
        <f t="shared" si="4"/>
        <v>17.913</v>
      </c>
      <c r="I7" s="4">
        <f t="shared" si="5"/>
        <v>0.917</v>
      </c>
      <c r="K7" s="4">
        <v>19.8</v>
      </c>
      <c r="L7" s="4">
        <f t="shared" si="6"/>
        <v>3</v>
      </c>
      <c r="M7" s="4">
        <f t="shared" si="7"/>
        <v>1</v>
      </c>
      <c r="N7" s="4">
        <f t="shared" si="8"/>
        <v>3.424</v>
      </c>
      <c r="O7" s="4" t="str">
        <f t="shared" si="9"/>
        <v/>
      </c>
      <c r="P7" s="4">
        <f t="shared" si="10"/>
        <v>19.8</v>
      </c>
    </row>
    <row r="8">
      <c r="A8" s="7">
        <v>1982.0</v>
      </c>
      <c r="B8" s="4">
        <v>158.0</v>
      </c>
      <c r="C8" s="4">
        <v>6.1</v>
      </c>
      <c r="D8" s="4">
        <v>16.9</v>
      </c>
      <c r="E8" s="4">
        <f t="shared" si="1"/>
        <v>1</v>
      </c>
      <c r="F8" s="4">
        <f t="shared" si="2"/>
        <v>1</v>
      </c>
      <c r="G8" s="4">
        <f t="shared" si="3"/>
        <v>7.641</v>
      </c>
      <c r="H8" s="4">
        <f t="shared" si="4"/>
        <v>12.8955</v>
      </c>
      <c r="I8" s="4">
        <f t="shared" si="5"/>
        <v>5.2545</v>
      </c>
      <c r="J8" s="4">
        <v>17.5</v>
      </c>
      <c r="K8" s="4">
        <v>9.3</v>
      </c>
      <c r="L8" s="4">
        <f t="shared" si="6"/>
        <v>8</v>
      </c>
      <c r="M8" s="4">
        <f t="shared" si="7"/>
        <v>1</v>
      </c>
      <c r="N8" s="4">
        <f t="shared" si="8"/>
        <v>11.0871</v>
      </c>
      <c r="O8" s="4">
        <f t="shared" si="9"/>
        <v>0</v>
      </c>
      <c r="P8" s="4">
        <f t="shared" si="10"/>
        <v>0</v>
      </c>
    </row>
    <row r="9">
      <c r="A9" s="7">
        <v>1982.0</v>
      </c>
      <c r="B9" s="4">
        <v>159.0</v>
      </c>
      <c r="C9" s="4">
        <v>3.7</v>
      </c>
      <c r="D9" s="4">
        <v>11.0</v>
      </c>
      <c r="E9" s="4">
        <f t="shared" si="1"/>
        <v>1</v>
      </c>
      <c r="F9" s="4">
        <f t="shared" si="2"/>
        <v>1</v>
      </c>
      <c r="G9" s="4">
        <f t="shared" si="3"/>
        <v>7.711</v>
      </c>
      <c r="H9" s="4">
        <f t="shared" si="4"/>
        <v>13.624</v>
      </c>
      <c r="I9" s="4">
        <f t="shared" si="5"/>
        <v>5.913</v>
      </c>
      <c r="J9" s="4">
        <v>0.7</v>
      </c>
      <c r="K9" s="4">
        <v>7.3</v>
      </c>
      <c r="L9" s="4">
        <f t="shared" si="6"/>
        <v>8</v>
      </c>
      <c r="M9" s="4">
        <f t="shared" si="7"/>
        <v>1</v>
      </c>
      <c r="N9" s="4">
        <f t="shared" si="8"/>
        <v>10.0623</v>
      </c>
      <c r="O9" s="4">
        <f t="shared" si="9"/>
        <v>0</v>
      </c>
      <c r="P9" s="4">
        <f t="shared" si="10"/>
        <v>0</v>
      </c>
    </row>
    <row r="10">
      <c r="A10" s="7">
        <v>1982.0</v>
      </c>
      <c r="B10" s="4">
        <v>160.0</v>
      </c>
      <c r="C10" s="4">
        <v>4.4</v>
      </c>
      <c r="D10" s="4">
        <v>9.6</v>
      </c>
      <c r="E10" s="4">
        <f t="shared" si="1"/>
        <v>1</v>
      </c>
      <c r="F10" s="4">
        <f t="shared" si="2"/>
        <v>1</v>
      </c>
      <c r="G10" s="4">
        <f t="shared" si="3"/>
        <v>10.098</v>
      </c>
      <c r="H10" s="4">
        <f t="shared" si="4"/>
        <v>15.986</v>
      </c>
      <c r="I10" s="4">
        <f t="shared" si="5"/>
        <v>5.888</v>
      </c>
      <c r="J10" s="4">
        <v>4.2</v>
      </c>
      <c r="K10" s="4">
        <v>6.2</v>
      </c>
      <c r="L10" s="4">
        <f t="shared" si="6"/>
        <v>8</v>
      </c>
      <c r="M10" s="4">
        <f t="shared" si="7"/>
        <v>1</v>
      </c>
      <c r="N10" s="4">
        <f t="shared" si="8"/>
        <v>11.0978</v>
      </c>
      <c r="O10" s="4">
        <f t="shared" si="9"/>
        <v>0</v>
      </c>
      <c r="P10" s="4">
        <f t="shared" si="10"/>
        <v>0</v>
      </c>
    </row>
    <row r="11">
      <c r="A11" s="7">
        <v>1982.0</v>
      </c>
      <c r="B11" s="4">
        <v>161.0</v>
      </c>
      <c r="C11" s="4">
        <v>0.5</v>
      </c>
      <c r="D11" s="4">
        <v>9.5</v>
      </c>
      <c r="E11" s="4">
        <f t="shared" si="1"/>
        <v>1</v>
      </c>
      <c r="F11" s="4">
        <f t="shared" si="2"/>
        <v>1</v>
      </c>
      <c r="G11" s="4">
        <f t="shared" si="3"/>
        <v>12.15</v>
      </c>
      <c r="H11" s="4">
        <f t="shared" si="4"/>
        <v>15.974</v>
      </c>
      <c r="I11" s="4">
        <f t="shared" si="5"/>
        <v>3.824</v>
      </c>
      <c r="J11" s="4">
        <v>2.3</v>
      </c>
      <c r="K11" s="4">
        <v>5.2</v>
      </c>
      <c r="L11" s="4">
        <f t="shared" si="6"/>
        <v>8</v>
      </c>
      <c r="M11" s="4">
        <f t="shared" si="7"/>
        <v>1</v>
      </c>
      <c r="N11" s="4">
        <f t="shared" si="8"/>
        <v>12.1706</v>
      </c>
      <c r="O11" s="4">
        <f t="shared" si="9"/>
        <v>0</v>
      </c>
      <c r="P11" s="4">
        <f t="shared" si="10"/>
        <v>0</v>
      </c>
    </row>
    <row r="12">
      <c r="A12" s="7">
        <v>1982.0</v>
      </c>
      <c r="B12" s="4">
        <v>162.0</v>
      </c>
      <c r="C12" s="4">
        <v>0.4</v>
      </c>
      <c r="D12" s="4">
        <v>8.6</v>
      </c>
      <c r="E12" s="4">
        <f t="shared" si="1"/>
        <v>1</v>
      </c>
      <c r="F12" s="4">
        <f t="shared" si="2"/>
        <v>1</v>
      </c>
      <c r="G12" s="4">
        <f t="shared" si="3"/>
        <v>18.668</v>
      </c>
      <c r="H12" s="4">
        <f t="shared" si="4"/>
        <v>22.097</v>
      </c>
      <c r="I12" s="4">
        <f t="shared" si="5"/>
        <v>3.429</v>
      </c>
      <c r="J12" s="4">
        <v>0.5</v>
      </c>
      <c r="K12" s="4">
        <v>5.3</v>
      </c>
      <c r="L12" s="4">
        <f t="shared" si="6"/>
        <v>8</v>
      </c>
      <c r="M12" s="4">
        <f t="shared" si="7"/>
        <v>1</v>
      </c>
      <c r="N12" s="4">
        <f t="shared" si="8"/>
        <v>14.8155</v>
      </c>
      <c r="O12" s="4">
        <f t="shared" si="9"/>
        <v>0</v>
      </c>
      <c r="P12" s="4">
        <f t="shared" si="10"/>
        <v>0</v>
      </c>
    </row>
    <row r="13">
      <c r="A13" s="7">
        <v>1982.0</v>
      </c>
      <c r="B13" s="4">
        <v>163.0</v>
      </c>
      <c r="C13" s="4">
        <v>3.2</v>
      </c>
      <c r="D13" s="4">
        <v>16.0</v>
      </c>
      <c r="E13" s="4">
        <f t="shared" si="1"/>
        <v>1</v>
      </c>
      <c r="F13" s="4">
        <f t="shared" si="2"/>
        <v>1</v>
      </c>
      <c r="G13" s="4">
        <f t="shared" si="3"/>
        <v>23.125</v>
      </c>
      <c r="H13" s="4">
        <f t="shared" si="4"/>
        <v>25.216</v>
      </c>
      <c r="I13" s="4">
        <f t="shared" si="5"/>
        <v>2.091</v>
      </c>
      <c r="J13" s="4">
        <v>2.2</v>
      </c>
      <c r="K13" s="4">
        <v>11.1</v>
      </c>
      <c r="L13" s="4">
        <f t="shared" si="6"/>
        <v>8</v>
      </c>
      <c r="M13" s="4">
        <f t="shared" si="7"/>
        <v>1</v>
      </c>
      <c r="N13" s="4">
        <f t="shared" si="8"/>
        <v>8.6664</v>
      </c>
      <c r="O13" s="4">
        <f t="shared" si="9"/>
        <v>2.2</v>
      </c>
      <c r="P13" s="4">
        <f t="shared" si="10"/>
        <v>11.1</v>
      </c>
    </row>
    <row r="14">
      <c r="A14" s="7">
        <v>1982.0</v>
      </c>
      <c r="B14" s="4">
        <v>164.0</v>
      </c>
      <c r="C14" s="4">
        <v>10.4</v>
      </c>
      <c r="D14" s="4">
        <v>17.5</v>
      </c>
      <c r="E14" s="4">
        <f t="shared" si="1"/>
        <v>1</v>
      </c>
      <c r="F14" s="4">
        <f t="shared" si="2"/>
        <v>1</v>
      </c>
      <c r="G14" s="4">
        <f t="shared" si="3"/>
        <v>22.606</v>
      </c>
      <c r="H14" s="4">
        <f t="shared" si="4"/>
        <v>25.261</v>
      </c>
      <c r="I14" s="4">
        <f t="shared" si="5"/>
        <v>2.655</v>
      </c>
      <c r="J14" s="4">
        <v>4.8</v>
      </c>
      <c r="K14" s="4">
        <v>13.7</v>
      </c>
      <c r="L14" s="4">
        <f t="shared" si="6"/>
        <v>8</v>
      </c>
      <c r="M14" s="4">
        <f t="shared" si="7"/>
        <v>1</v>
      </c>
      <c r="N14" s="4">
        <f t="shared" si="8"/>
        <v>1.0966</v>
      </c>
      <c r="O14" s="4">
        <f t="shared" si="9"/>
        <v>4.8</v>
      </c>
      <c r="P14" s="4">
        <f t="shared" si="10"/>
        <v>13.7</v>
      </c>
    </row>
    <row r="15">
      <c r="A15" s="7">
        <v>1982.0</v>
      </c>
      <c r="B15" s="4">
        <v>165.0</v>
      </c>
      <c r="C15" s="4">
        <v>13.0</v>
      </c>
      <c r="D15" s="4">
        <v>18.5</v>
      </c>
      <c r="E15" s="4">
        <f t="shared" si="1"/>
        <v>0</v>
      </c>
      <c r="F15" s="4">
        <f t="shared" si="2"/>
        <v>0</v>
      </c>
      <c r="G15" s="4">
        <f t="shared" si="3"/>
        <v>24.376</v>
      </c>
      <c r="H15" s="4">
        <f t="shared" si="4"/>
        <v>23.715</v>
      </c>
      <c r="I15" s="4" t="str">
        <f t="shared" si="5"/>
        <v> </v>
      </c>
      <c r="K15" s="4">
        <v>15.2</v>
      </c>
      <c r="L15" s="4">
        <f t="shared" si="6"/>
        <v>3</v>
      </c>
      <c r="M15" s="4">
        <f t="shared" si="7"/>
        <v>1</v>
      </c>
      <c r="N15" s="4">
        <f t="shared" si="8"/>
        <v>5.3776</v>
      </c>
      <c r="O15" s="4" t="str">
        <f t="shared" si="9"/>
        <v/>
      </c>
      <c r="P15" s="4">
        <f t="shared" si="10"/>
        <v>15.2</v>
      </c>
    </row>
    <row r="16">
      <c r="A16" s="7">
        <v>1982.0</v>
      </c>
      <c r="B16" s="4">
        <v>166.0</v>
      </c>
      <c r="C16" s="4">
        <v>11.4</v>
      </c>
      <c r="D16" s="4">
        <v>26.3</v>
      </c>
      <c r="E16" s="4">
        <f t="shared" si="1"/>
        <v>1</v>
      </c>
      <c r="F16" s="4">
        <f t="shared" si="2"/>
        <v>1</v>
      </c>
      <c r="G16" s="4">
        <f t="shared" si="3"/>
        <v>31.725</v>
      </c>
      <c r="H16" s="4">
        <f t="shared" si="4"/>
        <v>33.2295</v>
      </c>
      <c r="I16" s="4">
        <f t="shared" si="5"/>
        <v>1.5045</v>
      </c>
      <c r="J16" s="4">
        <v>3.5</v>
      </c>
      <c r="K16" s="4">
        <v>19.4</v>
      </c>
      <c r="L16" s="4">
        <f t="shared" si="6"/>
        <v>8</v>
      </c>
      <c r="M16" s="4">
        <f t="shared" si="7"/>
        <v>1</v>
      </c>
      <c r="N16" s="4">
        <f t="shared" si="8"/>
        <v>7.6081</v>
      </c>
      <c r="O16" s="4">
        <f t="shared" si="9"/>
        <v>3.5</v>
      </c>
      <c r="P16" s="4">
        <f t="shared" si="10"/>
        <v>19.4</v>
      </c>
    </row>
    <row r="17">
      <c r="A17" s="7">
        <v>1982.0</v>
      </c>
      <c r="B17" s="4">
        <v>167.0</v>
      </c>
      <c r="C17" s="4">
        <v>10.4</v>
      </c>
      <c r="D17" s="4">
        <v>21.1</v>
      </c>
      <c r="E17" s="4">
        <f t="shared" si="1"/>
        <v>1</v>
      </c>
      <c r="F17" s="4">
        <f t="shared" si="2"/>
        <v>1</v>
      </c>
      <c r="G17" s="4">
        <f t="shared" si="3"/>
        <v>25.214</v>
      </c>
      <c r="H17" s="4">
        <f t="shared" si="4"/>
        <v>27.486</v>
      </c>
      <c r="I17" s="4">
        <f t="shared" si="5"/>
        <v>2.272</v>
      </c>
      <c r="J17" s="4">
        <v>0.5</v>
      </c>
      <c r="K17" s="4">
        <v>11.8</v>
      </c>
      <c r="L17" s="4">
        <f t="shared" si="6"/>
        <v>8</v>
      </c>
      <c r="M17" s="4">
        <f t="shared" si="7"/>
        <v>1</v>
      </c>
      <c r="N17" s="4">
        <f t="shared" si="8"/>
        <v>2.5521</v>
      </c>
      <c r="O17" s="4">
        <f t="shared" si="9"/>
        <v>0.5</v>
      </c>
      <c r="P17" s="4">
        <f t="shared" si="10"/>
        <v>11.8</v>
      </c>
    </row>
    <row r="18">
      <c r="A18" s="7">
        <v>1982.0</v>
      </c>
      <c r="B18" s="4">
        <v>168.0</v>
      </c>
      <c r="C18" s="4">
        <v>7.6</v>
      </c>
      <c r="D18" s="4">
        <v>13.0</v>
      </c>
      <c r="E18" s="4">
        <f t="shared" si="1"/>
        <v>1</v>
      </c>
      <c r="F18" s="4">
        <f t="shared" si="2"/>
        <v>1</v>
      </c>
      <c r="G18" s="4">
        <f t="shared" si="3"/>
        <v>27.059</v>
      </c>
      <c r="H18" s="4">
        <f t="shared" si="4"/>
        <v>27.5605</v>
      </c>
      <c r="I18" s="4">
        <f t="shared" si="5"/>
        <v>0.5015</v>
      </c>
      <c r="J18" s="4">
        <v>5.7</v>
      </c>
      <c r="K18" s="4">
        <v>9.1</v>
      </c>
      <c r="L18" s="4">
        <f t="shared" si="6"/>
        <v>8</v>
      </c>
      <c r="M18" s="4">
        <f t="shared" si="7"/>
        <v>0</v>
      </c>
      <c r="N18" s="4">
        <f t="shared" si="8"/>
        <v>-0.1715</v>
      </c>
      <c r="O18" s="4">
        <f t="shared" si="9"/>
        <v>0</v>
      </c>
      <c r="P18" s="4">
        <f t="shared" si="10"/>
        <v>0</v>
      </c>
    </row>
    <row r="19">
      <c r="A19" s="7">
        <v>1982.0</v>
      </c>
      <c r="B19" s="4">
        <v>169.0</v>
      </c>
      <c r="C19" s="4">
        <v>2.5</v>
      </c>
      <c r="D19" s="4">
        <v>16.7</v>
      </c>
      <c r="E19" s="4">
        <f t="shared" si="1"/>
        <v>0</v>
      </c>
      <c r="F19" s="4">
        <f t="shared" si="2"/>
        <v>0</v>
      </c>
      <c r="G19" s="4">
        <f t="shared" si="3"/>
        <v>24.716</v>
      </c>
      <c r="H19" s="4">
        <f t="shared" si="4"/>
        <v>23.7335</v>
      </c>
      <c r="I19" s="4" t="str">
        <f t="shared" si="5"/>
        <v> </v>
      </c>
      <c r="K19" s="4">
        <v>12.6</v>
      </c>
      <c r="L19" s="4">
        <f t="shared" si="6"/>
        <v>3</v>
      </c>
      <c r="M19" s="4">
        <f t="shared" si="7"/>
        <v>1</v>
      </c>
      <c r="N19" s="4">
        <f t="shared" si="8"/>
        <v>5.5098</v>
      </c>
      <c r="O19" s="4" t="str">
        <f t="shared" si="9"/>
        <v/>
      </c>
      <c r="P19" s="4">
        <f t="shared" si="10"/>
        <v>12.6</v>
      </c>
    </row>
    <row r="20">
      <c r="A20" s="7">
        <v>1982.0</v>
      </c>
      <c r="B20" s="4">
        <v>170.0</v>
      </c>
      <c r="C20" s="4">
        <v>3.8</v>
      </c>
      <c r="D20" s="4">
        <v>22.9</v>
      </c>
      <c r="E20" s="4">
        <f t="shared" si="1"/>
        <v>1</v>
      </c>
      <c r="F20" s="4">
        <f t="shared" si="2"/>
        <v>1</v>
      </c>
      <c r="G20" s="4">
        <f t="shared" si="3"/>
        <v>28.062</v>
      </c>
      <c r="H20" s="4">
        <f t="shared" si="4"/>
        <v>28.576</v>
      </c>
      <c r="I20" s="4">
        <f t="shared" si="5"/>
        <v>0.514</v>
      </c>
      <c r="J20" s="4">
        <v>1.3</v>
      </c>
      <c r="K20" s="4">
        <v>14.5</v>
      </c>
      <c r="L20" s="4">
        <f t="shared" si="6"/>
        <v>8</v>
      </c>
      <c r="M20" s="4">
        <f t="shared" si="7"/>
        <v>1</v>
      </c>
      <c r="N20" s="4">
        <f t="shared" si="8"/>
        <v>1.6553</v>
      </c>
      <c r="O20" s="4">
        <f t="shared" si="9"/>
        <v>1.3</v>
      </c>
      <c r="P20" s="4">
        <f t="shared" si="10"/>
        <v>14.5</v>
      </c>
    </row>
    <row r="21" ht="15.75" customHeight="1">
      <c r="A21" s="7">
        <v>1982.0</v>
      </c>
      <c r="B21" s="4">
        <v>171.0</v>
      </c>
      <c r="C21" s="4">
        <v>6.5</v>
      </c>
      <c r="D21" s="4">
        <v>18.7</v>
      </c>
      <c r="E21" s="4">
        <f t="shared" si="1"/>
        <v>1</v>
      </c>
      <c r="F21" s="4">
        <f t="shared" si="2"/>
        <v>0</v>
      </c>
      <c r="G21" s="4">
        <f t="shared" si="3"/>
        <v>25.453</v>
      </c>
      <c r="H21" s="4">
        <f t="shared" si="4"/>
        <v>23.388</v>
      </c>
      <c r="I21" s="4" t="str">
        <f t="shared" si="5"/>
        <v> </v>
      </c>
      <c r="J21" s="4">
        <v>0.6</v>
      </c>
      <c r="K21" s="4">
        <v>13.5</v>
      </c>
      <c r="L21" s="4">
        <f t="shared" si="6"/>
        <v>8</v>
      </c>
      <c r="M21" s="4">
        <f t="shared" si="7"/>
        <v>0</v>
      </c>
      <c r="N21" s="4">
        <f t="shared" si="8"/>
        <v>-7.168</v>
      </c>
      <c r="O21" s="4">
        <f t="shared" si="9"/>
        <v>0.6</v>
      </c>
      <c r="P21" s="4">
        <f t="shared" si="10"/>
        <v>13.5</v>
      </c>
    </row>
    <row r="22" ht="15.75" customHeight="1">
      <c r="A22" s="7">
        <v>1982.0</v>
      </c>
      <c r="B22" s="4">
        <v>172.0</v>
      </c>
      <c r="C22" s="4">
        <v>5.1</v>
      </c>
      <c r="D22" s="4">
        <v>26.9</v>
      </c>
      <c r="E22" s="4">
        <f t="shared" si="1"/>
        <v>0</v>
      </c>
      <c r="F22" s="4">
        <f t="shared" si="2"/>
        <v>0</v>
      </c>
      <c r="G22" s="4">
        <f t="shared" si="3"/>
        <v>25.061</v>
      </c>
      <c r="H22" s="4">
        <f t="shared" si="4"/>
        <v>22.55</v>
      </c>
      <c r="I22" s="4" t="str">
        <f t="shared" si="5"/>
        <v> </v>
      </c>
      <c r="K22" s="4">
        <v>15.2</v>
      </c>
      <c r="L22" s="4">
        <f t="shared" si="6"/>
        <v>3</v>
      </c>
      <c r="M22" s="4">
        <f t="shared" si="7"/>
        <v>0</v>
      </c>
      <c r="N22" s="4">
        <f t="shared" si="8"/>
        <v>-9.7158</v>
      </c>
      <c r="O22" s="4" t="str">
        <f t="shared" si="9"/>
        <v/>
      </c>
      <c r="P22" s="4">
        <f t="shared" si="10"/>
        <v>15.2</v>
      </c>
    </row>
    <row r="23" ht="15.75" customHeight="1">
      <c r="A23" s="7">
        <v>1982.0</v>
      </c>
      <c r="B23" s="4">
        <v>173.0</v>
      </c>
      <c r="C23" s="4">
        <v>5.6</v>
      </c>
      <c r="D23" s="4">
        <v>22.4</v>
      </c>
      <c r="E23" s="4">
        <f t="shared" si="1"/>
        <v>0</v>
      </c>
      <c r="F23" s="4">
        <f t="shared" si="2"/>
        <v>0</v>
      </c>
      <c r="G23" s="4">
        <f t="shared" si="3"/>
        <v>19.1</v>
      </c>
      <c r="H23" s="4">
        <f t="shared" si="4"/>
        <v>18.119</v>
      </c>
      <c r="I23" s="4" t="str">
        <f t="shared" si="5"/>
        <v> </v>
      </c>
      <c r="K23" s="4">
        <v>16.0</v>
      </c>
      <c r="L23" s="4">
        <f t="shared" si="6"/>
        <v>3</v>
      </c>
      <c r="M23" s="4">
        <f t="shared" si="7"/>
        <v>0</v>
      </c>
      <c r="N23" s="4">
        <f t="shared" si="8"/>
        <v>-9.6708</v>
      </c>
      <c r="O23" s="4" t="str">
        <f t="shared" si="9"/>
        <v/>
      </c>
      <c r="P23" s="4">
        <f t="shared" si="10"/>
        <v>16</v>
      </c>
    </row>
    <row r="24" ht="15.75" customHeight="1">
      <c r="A24" s="7">
        <v>1982.0</v>
      </c>
      <c r="B24" s="4">
        <v>174.0</v>
      </c>
      <c r="C24" s="4">
        <v>8.0</v>
      </c>
      <c r="D24" s="4">
        <v>18.2</v>
      </c>
      <c r="E24" s="4">
        <f t="shared" si="1"/>
        <v>0</v>
      </c>
      <c r="F24" s="4">
        <f t="shared" si="2"/>
        <v>0</v>
      </c>
      <c r="G24" s="4">
        <f t="shared" si="3"/>
        <v>20.728</v>
      </c>
      <c r="H24" s="4">
        <f t="shared" si="4"/>
        <v>19.039</v>
      </c>
      <c r="I24" s="4" t="str">
        <f t="shared" si="5"/>
        <v> </v>
      </c>
      <c r="K24" s="4">
        <v>14.5</v>
      </c>
      <c r="L24" s="4">
        <f t="shared" si="6"/>
        <v>3</v>
      </c>
      <c r="M24" s="4">
        <f t="shared" si="7"/>
        <v>0</v>
      </c>
      <c r="N24" s="4">
        <f t="shared" si="8"/>
        <v>-1.7836</v>
      </c>
      <c r="O24" s="4" t="str">
        <f t="shared" si="9"/>
        <v/>
      </c>
      <c r="P24" s="4">
        <f t="shared" si="10"/>
        <v>14.5</v>
      </c>
    </row>
    <row r="25" ht="15.75" customHeight="1">
      <c r="A25" s="7">
        <v>1982.0</v>
      </c>
      <c r="B25" s="4">
        <v>175.0</v>
      </c>
      <c r="C25" s="4">
        <v>6.2</v>
      </c>
      <c r="D25" s="4">
        <v>19.8</v>
      </c>
      <c r="E25" s="4">
        <f t="shared" si="1"/>
        <v>0</v>
      </c>
      <c r="F25" s="4">
        <f t="shared" si="2"/>
        <v>0</v>
      </c>
      <c r="G25" s="4">
        <f t="shared" si="3"/>
        <v>21.398</v>
      </c>
      <c r="H25" s="4">
        <f t="shared" si="4"/>
        <v>20.7095</v>
      </c>
      <c r="I25" s="4" t="str">
        <f t="shared" si="5"/>
        <v> </v>
      </c>
      <c r="K25" s="4">
        <v>15.3</v>
      </c>
      <c r="L25" s="4">
        <f t="shared" si="6"/>
        <v>3</v>
      </c>
      <c r="M25" s="4">
        <f t="shared" si="7"/>
        <v>1</v>
      </c>
      <c r="N25" s="4">
        <f t="shared" si="8"/>
        <v>8.3789</v>
      </c>
      <c r="O25" s="4" t="str">
        <f t="shared" si="9"/>
        <v/>
      </c>
      <c r="P25" s="4">
        <f t="shared" si="10"/>
        <v>15.3</v>
      </c>
    </row>
    <row r="26" ht="15.75" customHeight="1">
      <c r="A26" s="7">
        <v>1982.0</v>
      </c>
      <c r="B26" s="4">
        <v>176.0</v>
      </c>
      <c r="C26" s="4">
        <v>10.0</v>
      </c>
      <c r="D26" s="4">
        <v>19.6</v>
      </c>
      <c r="E26" s="4">
        <f t="shared" si="1"/>
        <v>1</v>
      </c>
      <c r="F26" s="4">
        <f t="shared" si="2"/>
        <v>1</v>
      </c>
      <c r="G26" s="4">
        <f t="shared" si="3"/>
        <v>24.994</v>
      </c>
      <c r="H26" s="4">
        <f t="shared" si="4"/>
        <v>28.1845</v>
      </c>
      <c r="I26" s="4">
        <f t="shared" si="5"/>
        <v>3.1905</v>
      </c>
      <c r="J26" s="4">
        <v>6.7</v>
      </c>
      <c r="K26" s="4">
        <v>14.9</v>
      </c>
      <c r="L26" s="4">
        <f t="shared" si="6"/>
        <v>8</v>
      </c>
      <c r="M26" s="4">
        <f t="shared" si="7"/>
        <v>1</v>
      </c>
      <c r="N26" s="4">
        <f t="shared" si="8"/>
        <v>7.3937</v>
      </c>
      <c r="O26" s="4">
        <f t="shared" si="9"/>
        <v>6.7</v>
      </c>
      <c r="P26" s="4">
        <f t="shared" si="10"/>
        <v>14.9</v>
      </c>
    </row>
    <row r="27" ht="15.75" customHeight="1">
      <c r="A27" s="7">
        <v>1982.0</v>
      </c>
      <c r="B27" s="4">
        <v>177.0</v>
      </c>
      <c r="C27" s="4">
        <v>12.0</v>
      </c>
      <c r="D27" s="4">
        <v>14.5</v>
      </c>
      <c r="E27" s="4">
        <f t="shared" si="1"/>
        <v>1</v>
      </c>
      <c r="F27" s="4">
        <f t="shared" si="2"/>
        <v>1</v>
      </c>
      <c r="G27" s="4">
        <f t="shared" si="3"/>
        <v>26.075</v>
      </c>
      <c r="H27" s="4">
        <f t="shared" si="4"/>
        <v>27.9985</v>
      </c>
      <c r="I27" s="4">
        <f t="shared" si="5"/>
        <v>1.9235</v>
      </c>
      <c r="J27" s="4">
        <v>4.9</v>
      </c>
      <c r="K27" s="4">
        <v>13.5</v>
      </c>
      <c r="L27" s="4">
        <f t="shared" si="6"/>
        <v>8</v>
      </c>
      <c r="M27" s="4">
        <f t="shared" si="7"/>
        <v>0</v>
      </c>
      <c r="N27" s="4">
        <f t="shared" si="8"/>
        <v>-1.1723</v>
      </c>
      <c r="O27" s="4">
        <f t="shared" si="9"/>
        <v>4.9</v>
      </c>
      <c r="P27" s="4">
        <f t="shared" si="10"/>
        <v>13.5</v>
      </c>
    </row>
    <row r="28" ht="15.75" customHeight="1">
      <c r="A28" s="7">
        <v>1982.0</v>
      </c>
      <c r="B28" s="4">
        <v>178.0</v>
      </c>
      <c r="C28" s="4">
        <v>11.9</v>
      </c>
      <c r="D28" s="4">
        <v>19.6</v>
      </c>
      <c r="E28" s="4">
        <f t="shared" si="1"/>
        <v>0</v>
      </c>
      <c r="F28" s="4">
        <f t="shared" si="2"/>
        <v>0</v>
      </c>
      <c r="G28" s="4">
        <f t="shared" si="3"/>
        <v>27.82</v>
      </c>
      <c r="H28" s="4">
        <f t="shared" si="4"/>
        <v>26.38</v>
      </c>
      <c r="I28" s="4" t="str">
        <f t="shared" si="5"/>
        <v> </v>
      </c>
      <c r="K28" s="4">
        <v>15.0</v>
      </c>
      <c r="L28" s="4">
        <f t="shared" si="6"/>
        <v>3</v>
      </c>
      <c r="M28" s="4">
        <f t="shared" si="7"/>
        <v>1</v>
      </c>
      <c r="N28" s="4">
        <f t="shared" si="8"/>
        <v>8.5654</v>
      </c>
      <c r="O28" s="4" t="str">
        <f t="shared" si="9"/>
        <v/>
      </c>
      <c r="P28" s="4">
        <f t="shared" si="10"/>
        <v>15</v>
      </c>
    </row>
    <row r="29" ht="15.75" customHeight="1">
      <c r="A29" s="7">
        <v>1982.0</v>
      </c>
      <c r="B29" s="4">
        <v>179.0</v>
      </c>
      <c r="C29" s="4">
        <v>5.7</v>
      </c>
      <c r="D29" s="4">
        <v>20.6</v>
      </c>
      <c r="E29" s="4">
        <f t="shared" si="1"/>
        <v>1</v>
      </c>
      <c r="F29" s="4">
        <f t="shared" si="2"/>
        <v>1</v>
      </c>
      <c r="G29" s="4">
        <f t="shared" si="3"/>
        <v>24.358</v>
      </c>
      <c r="H29" s="4">
        <f t="shared" si="4"/>
        <v>28.007</v>
      </c>
      <c r="I29" s="4">
        <f t="shared" si="5"/>
        <v>3.649</v>
      </c>
      <c r="J29" s="4">
        <v>0.5</v>
      </c>
      <c r="K29" s="4">
        <v>15.7</v>
      </c>
      <c r="L29" s="4">
        <f t="shared" si="6"/>
        <v>8</v>
      </c>
      <c r="M29" s="4">
        <f t="shared" si="7"/>
        <v>1</v>
      </c>
      <c r="N29" s="4">
        <f t="shared" si="8"/>
        <v>10.698</v>
      </c>
      <c r="O29" s="4">
        <f t="shared" si="9"/>
        <v>0.5</v>
      </c>
      <c r="P29" s="4">
        <f t="shared" si="10"/>
        <v>15.7</v>
      </c>
    </row>
    <row r="30" ht="15.75" customHeight="1">
      <c r="A30" s="7">
        <v>1982.0</v>
      </c>
      <c r="B30" s="4">
        <v>180.0</v>
      </c>
      <c r="C30" s="4">
        <v>12.5</v>
      </c>
      <c r="D30" s="4">
        <v>20.7</v>
      </c>
      <c r="E30" s="4">
        <f t="shared" si="1"/>
        <v>1</v>
      </c>
      <c r="F30" s="4">
        <f t="shared" si="2"/>
        <v>1</v>
      </c>
      <c r="G30" s="4">
        <f t="shared" si="3"/>
        <v>26.729</v>
      </c>
      <c r="H30" s="4">
        <f t="shared" si="4"/>
        <v>29.0025</v>
      </c>
      <c r="I30" s="4">
        <f t="shared" si="5"/>
        <v>2.2735</v>
      </c>
      <c r="J30" s="4">
        <v>10.2</v>
      </c>
      <c r="K30" s="4">
        <v>14.6</v>
      </c>
      <c r="L30" s="4">
        <f t="shared" si="6"/>
        <v>8</v>
      </c>
      <c r="M30" s="4">
        <f t="shared" si="7"/>
        <v>1</v>
      </c>
      <c r="N30" s="4">
        <f t="shared" si="8"/>
        <v>3.6043</v>
      </c>
      <c r="O30" s="4">
        <f t="shared" si="9"/>
        <v>10.2</v>
      </c>
      <c r="P30" s="4">
        <f t="shared" si="10"/>
        <v>14.6</v>
      </c>
    </row>
    <row r="31" ht="15.75" customHeight="1">
      <c r="A31" s="7">
        <v>1982.0</v>
      </c>
      <c r="B31" s="4">
        <v>181.0</v>
      </c>
      <c r="C31" s="4">
        <v>12.6</v>
      </c>
      <c r="D31" s="4">
        <v>21.2</v>
      </c>
      <c r="E31" s="4">
        <f t="shared" si="1"/>
        <v>1</v>
      </c>
      <c r="F31" s="4">
        <f t="shared" si="2"/>
        <v>1</v>
      </c>
      <c r="G31" s="4">
        <f t="shared" si="3"/>
        <v>27.003</v>
      </c>
      <c r="H31" s="4">
        <f t="shared" si="4"/>
        <v>27.9875</v>
      </c>
      <c r="I31" s="4">
        <f t="shared" si="5"/>
        <v>0.9845</v>
      </c>
      <c r="J31" s="4">
        <v>0.9</v>
      </c>
      <c r="K31" s="4">
        <v>16.1</v>
      </c>
      <c r="L31" s="4">
        <f t="shared" si="6"/>
        <v>8</v>
      </c>
      <c r="M31" s="4">
        <f t="shared" si="7"/>
        <v>1</v>
      </c>
      <c r="N31" s="4">
        <f t="shared" si="8"/>
        <v>2.2163</v>
      </c>
      <c r="O31" s="4">
        <f t="shared" si="9"/>
        <v>0.9</v>
      </c>
      <c r="P31" s="4">
        <f t="shared" si="10"/>
        <v>16.1</v>
      </c>
    </row>
    <row r="32" ht="15.75" customHeight="1">
      <c r="A32" s="7">
        <v>1982.0</v>
      </c>
      <c r="B32" s="4">
        <v>182.0</v>
      </c>
      <c r="C32" s="4">
        <v>8.6</v>
      </c>
      <c r="D32" s="4">
        <v>20.5</v>
      </c>
      <c r="E32" s="4">
        <f t="shared" si="1"/>
        <v>0</v>
      </c>
      <c r="F32" s="4">
        <f t="shared" si="2"/>
        <v>0</v>
      </c>
      <c r="G32" s="4">
        <f t="shared" si="3"/>
        <v>25.721</v>
      </c>
      <c r="H32" s="4">
        <f t="shared" si="4"/>
        <v>24.302</v>
      </c>
      <c r="I32" s="4" t="str">
        <f t="shared" si="5"/>
        <v> </v>
      </c>
      <c r="K32" s="4">
        <v>15.4</v>
      </c>
      <c r="L32" s="4">
        <f t="shared" si="6"/>
        <v>3</v>
      </c>
      <c r="M32" s="4">
        <f t="shared" si="7"/>
        <v>1</v>
      </c>
      <c r="N32" s="4">
        <f t="shared" si="8"/>
        <v>9.7231</v>
      </c>
      <c r="O32" s="4" t="str">
        <f t="shared" si="9"/>
        <v/>
      </c>
      <c r="P32" s="4">
        <f t="shared" si="10"/>
        <v>15.4</v>
      </c>
    </row>
    <row r="33" ht="15.75" customHeight="1">
      <c r="A33" s="7">
        <v>1982.0</v>
      </c>
      <c r="B33" s="4">
        <v>183.0</v>
      </c>
      <c r="C33" s="4">
        <v>11.9</v>
      </c>
      <c r="D33" s="4">
        <v>16.0</v>
      </c>
      <c r="E33" s="4">
        <f t="shared" si="1"/>
        <v>1</v>
      </c>
      <c r="F33" s="4">
        <f t="shared" si="2"/>
        <v>1</v>
      </c>
      <c r="G33" s="4">
        <f t="shared" si="3"/>
        <v>26.726</v>
      </c>
      <c r="H33" s="4">
        <f t="shared" si="4"/>
        <v>29.2725</v>
      </c>
      <c r="I33" s="4">
        <f t="shared" si="5"/>
        <v>2.5465</v>
      </c>
      <c r="J33" s="4">
        <v>6.2</v>
      </c>
      <c r="K33" s="4">
        <v>13.9</v>
      </c>
      <c r="L33" s="4">
        <f t="shared" si="6"/>
        <v>8</v>
      </c>
      <c r="M33" s="4">
        <f t="shared" si="7"/>
        <v>1</v>
      </c>
      <c r="N33" s="4">
        <f t="shared" si="8"/>
        <v>13.6491</v>
      </c>
      <c r="O33" s="4">
        <f t="shared" si="9"/>
        <v>6.2</v>
      </c>
      <c r="P33" s="4">
        <f t="shared" si="10"/>
        <v>13.9</v>
      </c>
    </row>
    <row r="34" ht="15.75" customHeight="1">
      <c r="A34" s="7">
        <v>1982.0</v>
      </c>
      <c r="B34" s="4">
        <v>184.0</v>
      </c>
      <c r="C34" s="4">
        <v>14.3</v>
      </c>
      <c r="D34" s="4">
        <v>17.2</v>
      </c>
      <c r="E34" s="4">
        <f t="shared" si="1"/>
        <v>1</v>
      </c>
      <c r="F34" s="4">
        <f t="shared" si="2"/>
        <v>1</v>
      </c>
      <c r="G34" s="4">
        <f t="shared" si="3"/>
        <v>32.709</v>
      </c>
      <c r="H34" s="4">
        <f t="shared" si="4"/>
        <v>34.415</v>
      </c>
      <c r="I34" s="4">
        <f t="shared" si="5"/>
        <v>1.706</v>
      </c>
      <c r="J34" s="4">
        <v>10.3</v>
      </c>
      <c r="K34" s="4">
        <v>15.7</v>
      </c>
      <c r="L34" s="4">
        <f t="shared" si="6"/>
        <v>8</v>
      </c>
      <c r="M34" s="4">
        <f t="shared" si="7"/>
        <v>1</v>
      </c>
      <c r="N34" s="4">
        <f t="shared" si="8"/>
        <v>6.5927</v>
      </c>
      <c r="O34" s="4">
        <f t="shared" si="9"/>
        <v>10.3</v>
      </c>
      <c r="P34" s="4">
        <f t="shared" si="10"/>
        <v>15.7</v>
      </c>
    </row>
    <row r="35" ht="15.75" customHeight="1">
      <c r="A35" s="7">
        <v>1982.0</v>
      </c>
      <c r="B35" s="4">
        <v>185.0</v>
      </c>
      <c r="C35" s="4">
        <v>14.8</v>
      </c>
      <c r="D35" s="4">
        <v>19.6</v>
      </c>
      <c r="E35" s="4">
        <f t="shared" si="1"/>
        <v>1</v>
      </c>
      <c r="F35" s="4">
        <f t="shared" si="2"/>
        <v>1</v>
      </c>
      <c r="G35" s="4">
        <f t="shared" si="3"/>
        <v>33.501</v>
      </c>
      <c r="H35" s="4">
        <f t="shared" si="4"/>
        <v>34.103</v>
      </c>
      <c r="I35" s="4">
        <f t="shared" si="5"/>
        <v>0.602</v>
      </c>
      <c r="J35" s="4">
        <v>3.0</v>
      </c>
      <c r="K35" s="4">
        <v>16.0</v>
      </c>
      <c r="L35" s="4">
        <f t="shared" si="6"/>
        <v>8</v>
      </c>
      <c r="M35" s="4">
        <f t="shared" si="7"/>
        <v>1</v>
      </c>
      <c r="N35" s="4">
        <f t="shared" si="8"/>
        <v>1.7736</v>
      </c>
      <c r="O35" s="4">
        <f t="shared" si="9"/>
        <v>3</v>
      </c>
      <c r="P35" s="4">
        <f t="shared" si="10"/>
        <v>16</v>
      </c>
    </row>
    <row r="36" ht="15.75" customHeight="1">
      <c r="A36" s="7">
        <v>1982.0</v>
      </c>
      <c r="B36" s="4">
        <v>186.0</v>
      </c>
      <c r="C36" s="4">
        <v>12.9</v>
      </c>
      <c r="D36" s="4">
        <v>23.9</v>
      </c>
      <c r="E36" s="4">
        <f t="shared" si="1"/>
        <v>0</v>
      </c>
      <c r="F36" s="4">
        <f t="shared" si="2"/>
        <v>0</v>
      </c>
      <c r="G36" s="4">
        <f t="shared" si="3"/>
        <v>35.238</v>
      </c>
      <c r="H36" s="4">
        <f t="shared" si="4"/>
        <v>33.4185</v>
      </c>
      <c r="I36" s="4" t="str">
        <f t="shared" si="5"/>
        <v> </v>
      </c>
      <c r="K36" s="4">
        <v>19.9</v>
      </c>
      <c r="L36" s="4">
        <f t="shared" si="6"/>
        <v>3</v>
      </c>
      <c r="M36" s="4">
        <f t="shared" si="7"/>
        <v>1</v>
      </c>
      <c r="N36" s="4">
        <f t="shared" si="8"/>
        <v>7.4548</v>
      </c>
      <c r="O36" s="4" t="str">
        <f t="shared" si="9"/>
        <v/>
      </c>
      <c r="P36" s="4">
        <f t="shared" si="10"/>
        <v>19.9</v>
      </c>
    </row>
    <row r="37" ht="15.75" customHeight="1">
      <c r="A37" s="7">
        <v>1982.0</v>
      </c>
      <c r="B37" s="4">
        <v>187.0</v>
      </c>
      <c r="C37" s="4">
        <v>14.2</v>
      </c>
      <c r="D37" s="4">
        <v>23.2</v>
      </c>
      <c r="E37" s="4">
        <f t="shared" si="1"/>
        <v>1</v>
      </c>
      <c r="F37" s="4">
        <f t="shared" si="2"/>
        <v>0</v>
      </c>
      <c r="G37" s="4">
        <f t="shared" si="3"/>
        <v>37.47</v>
      </c>
      <c r="H37" s="4">
        <f t="shared" si="4"/>
        <v>36.8565</v>
      </c>
      <c r="I37" s="4" t="str">
        <f t="shared" si="5"/>
        <v> </v>
      </c>
      <c r="J37" s="4">
        <v>15.2</v>
      </c>
      <c r="K37" s="4">
        <v>18.7</v>
      </c>
      <c r="L37" s="4">
        <f t="shared" si="6"/>
        <v>8</v>
      </c>
      <c r="M37" s="4">
        <f t="shared" si="7"/>
        <v>1</v>
      </c>
      <c r="N37" s="4">
        <f t="shared" si="8"/>
        <v>9.857</v>
      </c>
      <c r="O37" s="4">
        <f t="shared" si="9"/>
        <v>15.2</v>
      </c>
      <c r="P37" s="4">
        <f t="shared" si="10"/>
        <v>18.7</v>
      </c>
    </row>
    <row r="38" ht="15.75" customHeight="1">
      <c r="A38" s="7">
        <v>1982.0</v>
      </c>
      <c r="B38" s="4">
        <v>188.0</v>
      </c>
      <c r="C38" s="4">
        <v>16.2</v>
      </c>
      <c r="D38" s="4">
        <v>25.4</v>
      </c>
      <c r="E38" s="4">
        <f t="shared" si="1"/>
        <v>1</v>
      </c>
      <c r="F38" s="4">
        <f t="shared" si="2"/>
        <v>0</v>
      </c>
      <c r="G38" s="4">
        <f t="shared" si="3"/>
        <v>39.034</v>
      </c>
      <c r="H38" s="4">
        <f t="shared" si="4"/>
        <v>36.811</v>
      </c>
      <c r="I38" s="4" t="str">
        <f t="shared" si="5"/>
        <v> </v>
      </c>
      <c r="J38" s="4">
        <v>13.1</v>
      </c>
      <c r="K38" s="4">
        <v>20.3</v>
      </c>
      <c r="L38" s="4">
        <f t="shared" si="6"/>
        <v>8</v>
      </c>
      <c r="M38" s="4">
        <f t="shared" si="7"/>
        <v>1</v>
      </c>
      <c r="N38" s="4">
        <f t="shared" si="8"/>
        <v>3.8171</v>
      </c>
      <c r="O38" s="4">
        <f t="shared" si="9"/>
        <v>13.1</v>
      </c>
      <c r="P38" s="4">
        <f t="shared" si="10"/>
        <v>20.3</v>
      </c>
    </row>
    <row r="39" ht="15.75" customHeight="1">
      <c r="A39" s="7">
        <v>1982.0</v>
      </c>
      <c r="B39" s="4">
        <v>189.0</v>
      </c>
      <c r="C39" s="4">
        <v>14.5</v>
      </c>
      <c r="D39" s="4">
        <v>21.0</v>
      </c>
      <c r="E39" s="4">
        <f t="shared" si="1"/>
        <v>1</v>
      </c>
      <c r="F39" s="4">
        <f t="shared" si="2"/>
        <v>0</v>
      </c>
      <c r="G39" s="4">
        <f t="shared" si="3"/>
        <v>35.542</v>
      </c>
      <c r="H39" s="4">
        <f t="shared" si="4"/>
        <v>32.4655</v>
      </c>
      <c r="I39" s="4" t="str">
        <f t="shared" si="5"/>
        <v> </v>
      </c>
      <c r="J39" s="4">
        <v>1.2</v>
      </c>
      <c r="K39" s="4">
        <v>16.1</v>
      </c>
      <c r="L39" s="4">
        <f t="shared" si="6"/>
        <v>8</v>
      </c>
      <c r="M39" s="4">
        <f t="shared" si="7"/>
        <v>0</v>
      </c>
      <c r="N39" s="4">
        <f t="shared" si="8"/>
        <v>-4.3583</v>
      </c>
      <c r="O39" s="4">
        <f t="shared" si="9"/>
        <v>1.2</v>
      </c>
      <c r="P39" s="4">
        <f t="shared" si="10"/>
        <v>16.1</v>
      </c>
    </row>
    <row r="40" ht="15.75" customHeight="1">
      <c r="A40" s="7">
        <v>1982.0</v>
      </c>
      <c r="B40" s="4">
        <v>190.0</v>
      </c>
      <c r="C40" s="4">
        <v>11.5</v>
      </c>
      <c r="D40" s="4">
        <v>23.2</v>
      </c>
      <c r="E40" s="4">
        <f t="shared" si="1"/>
        <v>0</v>
      </c>
      <c r="F40" s="4">
        <f t="shared" si="2"/>
        <v>0</v>
      </c>
      <c r="G40" s="4">
        <f t="shared" si="3"/>
        <v>34.879</v>
      </c>
      <c r="H40" s="4">
        <f t="shared" si="4"/>
        <v>29.272</v>
      </c>
      <c r="I40" s="4" t="str">
        <f t="shared" si="5"/>
        <v> </v>
      </c>
      <c r="K40" s="4">
        <v>18.3</v>
      </c>
      <c r="L40" s="4">
        <f t="shared" si="6"/>
        <v>3</v>
      </c>
      <c r="M40" s="4">
        <f t="shared" si="7"/>
        <v>0</v>
      </c>
      <c r="N40" s="4">
        <f t="shared" si="8"/>
        <v>-8.3671</v>
      </c>
      <c r="O40" s="4" t="str">
        <f t="shared" si="9"/>
        <v/>
      </c>
      <c r="P40" s="4">
        <f t="shared" si="10"/>
        <v>18.3</v>
      </c>
    </row>
    <row r="41" ht="15.75" customHeight="1">
      <c r="A41" s="7">
        <v>1982.0</v>
      </c>
      <c r="B41" s="4">
        <v>191.0</v>
      </c>
      <c r="C41" s="4">
        <v>12.0</v>
      </c>
      <c r="D41" s="4">
        <v>25.4</v>
      </c>
      <c r="E41" s="4">
        <f t="shared" si="1"/>
        <v>0</v>
      </c>
      <c r="F41" s="4">
        <f t="shared" si="2"/>
        <v>0</v>
      </c>
      <c r="G41" s="4">
        <f t="shared" si="3"/>
        <v>37.653</v>
      </c>
      <c r="H41" s="4">
        <f t="shared" si="4"/>
        <v>31.362</v>
      </c>
      <c r="I41" s="4" t="str">
        <f t="shared" si="5"/>
        <v> </v>
      </c>
      <c r="K41" s="4">
        <v>21.3</v>
      </c>
      <c r="L41" s="4">
        <f t="shared" si="6"/>
        <v>3</v>
      </c>
      <c r="M41" s="4">
        <f t="shared" si="7"/>
        <v>0</v>
      </c>
      <c r="N41" s="4">
        <f t="shared" si="8"/>
        <v>-7.946</v>
      </c>
      <c r="O41" s="4" t="str">
        <f t="shared" si="9"/>
        <v/>
      </c>
      <c r="P41" s="4">
        <f t="shared" si="10"/>
        <v>21.3</v>
      </c>
    </row>
    <row r="42" ht="15.75" customHeight="1">
      <c r="A42" s="7">
        <v>1982.0</v>
      </c>
      <c r="B42" s="4">
        <v>192.0</v>
      </c>
      <c r="C42" s="4">
        <v>13.1</v>
      </c>
      <c r="D42" s="4">
        <v>26.7</v>
      </c>
      <c r="E42" s="4">
        <f t="shared" si="1"/>
        <v>0</v>
      </c>
      <c r="F42" s="4">
        <f t="shared" si="2"/>
        <v>0</v>
      </c>
      <c r="G42" s="4">
        <f t="shared" si="3"/>
        <v>37.507</v>
      </c>
      <c r="H42" s="4">
        <f t="shared" si="4"/>
        <v>32.0795</v>
      </c>
      <c r="I42" s="4" t="str">
        <f t="shared" si="5"/>
        <v> </v>
      </c>
      <c r="K42" s="4">
        <v>22.5</v>
      </c>
      <c r="L42" s="4">
        <f t="shared" si="6"/>
        <v>3</v>
      </c>
      <c r="M42" s="4">
        <f t="shared" si="7"/>
        <v>0</v>
      </c>
      <c r="N42" s="4">
        <f t="shared" si="8"/>
        <v>-8.8374</v>
      </c>
      <c r="O42" s="4" t="str">
        <f t="shared" si="9"/>
        <v/>
      </c>
      <c r="P42" s="4">
        <f t="shared" si="10"/>
        <v>22.5</v>
      </c>
    </row>
    <row r="43" ht="15.75" customHeight="1">
      <c r="A43" s="7">
        <v>1982.0</v>
      </c>
      <c r="B43" s="4">
        <v>193.0</v>
      </c>
      <c r="C43" s="4">
        <v>15.2</v>
      </c>
      <c r="D43" s="4">
        <v>26.6</v>
      </c>
      <c r="E43" s="4">
        <f t="shared" si="1"/>
        <v>0</v>
      </c>
      <c r="F43" s="4">
        <f t="shared" si="2"/>
        <v>0</v>
      </c>
      <c r="G43" s="4">
        <f t="shared" si="3"/>
        <v>36.145</v>
      </c>
      <c r="H43" s="4">
        <f t="shared" si="4"/>
        <v>29.742</v>
      </c>
      <c r="I43" s="4" t="str">
        <f t="shared" si="5"/>
        <v> </v>
      </c>
      <c r="K43" s="4">
        <v>22.3</v>
      </c>
      <c r="L43" s="4">
        <f t="shared" si="6"/>
        <v>3</v>
      </c>
      <c r="M43" s="4">
        <f t="shared" si="7"/>
        <v>0</v>
      </c>
      <c r="N43" s="4">
        <f t="shared" si="8"/>
        <v>-10.3644</v>
      </c>
      <c r="O43" s="4" t="str">
        <f t="shared" si="9"/>
        <v/>
      </c>
      <c r="P43" s="4">
        <f t="shared" si="10"/>
        <v>22.3</v>
      </c>
    </row>
    <row r="44" ht="15.75" customHeight="1">
      <c r="A44" s="7">
        <v>1982.0</v>
      </c>
      <c r="B44" s="4">
        <v>194.0</v>
      </c>
      <c r="C44" s="4">
        <v>14.8</v>
      </c>
      <c r="D44" s="4">
        <v>26.8</v>
      </c>
      <c r="E44" s="4">
        <f t="shared" si="1"/>
        <v>0</v>
      </c>
      <c r="F44" s="4">
        <f t="shared" si="2"/>
        <v>0</v>
      </c>
      <c r="G44" s="4">
        <f t="shared" si="3"/>
        <v>34.493</v>
      </c>
      <c r="H44" s="4">
        <f t="shared" si="4"/>
        <v>28.7365</v>
      </c>
      <c r="I44" s="4" t="str">
        <f t="shared" si="5"/>
        <v> </v>
      </c>
      <c r="K44" s="4">
        <v>21.6</v>
      </c>
      <c r="L44" s="4">
        <f t="shared" si="6"/>
        <v>3</v>
      </c>
      <c r="M44" s="4">
        <f t="shared" si="7"/>
        <v>0</v>
      </c>
      <c r="N44" s="4">
        <f t="shared" si="8"/>
        <v>-7.9109</v>
      </c>
      <c r="O44" s="4" t="str">
        <f t="shared" si="9"/>
        <v/>
      </c>
      <c r="P44" s="4">
        <f t="shared" si="10"/>
        <v>21.6</v>
      </c>
    </row>
    <row r="45" ht="15.75" customHeight="1">
      <c r="A45" s="7">
        <v>1982.0</v>
      </c>
      <c r="B45" s="4">
        <v>195.0</v>
      </c>
      <c r="C45" s="4">
        <v>12.5</v>
      </c>
      <c r="D45" s="4">
        <v>28.0</v>
      </c>
      <c r="E45" s="4">
        <f t="shared" si="1"/>
        <v>0</v>
      </c>
      <c r="F45" s="4">
        <f t="shared" si="2"/>
        <v>0</v>
      </c>
      <c r="G45" s="4">
        <f t="shared" si="3"/>
        <v>34.544</v>
      </c>
      <c r="H45" s="4">
        <f t="shared" si="4"/>
        <v>28.3705</v>
      </c>
      <c r="I45" s="4" t="str">
        <f t="shared" si="5"/>
        <v> </v>
      </c>
      <c r="K45" s="4">
        <v>22.8</v>
      </c>
      <c r="L45" s="4">
        <f t="shared" si="6"/>
        <v>3</v>
      </c>
      <c r="M45" s="4">
        <f t="shared" si="7"/>
        <v>0</v>
      </c>
      <c r="N45" s="4">
        <f t="shared" si="8"/>
        <v>-11.0079</v>
      </c>
      <c r="O45" s="4" t="str">
        <f t="shared" si="9"/>
        <v/>
      </c>
      <c r="P45" s="4">
        <f t="shared" si="10"/>
        <v>22.8</v>
      </c>
    </row>
    <row r="46" ht="15.75" customHeight="1">
      <c r="A46" s="7">
        <v>1982.0</v>
      </c>
      <c r="B46" s="4">
        <v>196.0</v>
      </c>
      <c r="C46" s="4">
        <v>15.8</v>
      </c>
      <c r="D46" s="4">
        <v>25.8</v>
      </c>
      <c r="E46" s="4">
        <f t="shared" si="1"/>
        <v>0</v>
      </c>
      <c r="F46" s="4">
        <f t="shared" si="2"/>
        <v>0</v>
      </c>
      <c r="G46" s="4">
        <f t="shared" si="3"/>
        <v>34.479</v>
      </c>
      <c r="H46" s="4">
        <f t="shared" si="4"/>
        <v>31.648</v>
      </c>
      <c r="I46" s="4" t="str">
        <f t="shared" si="5"/>
        <v> </v>
      </c>
      <c r="K46" s="4">
        <v>20.7</v>
      </c>
      <c r="L46" s="4">
        <f t="shared" si="6"/>
        <v>3</v>
      </c>
      <c r="M46" s="4">
        <f t="shared" si="7"/>
        <v>0</v>
      </c>
      <c r="N46" s="4">
        <f t="shared" si="8"/>
        <v>-10.1037</v>
      </c>
      <c r="O46" s="4" t="str">
        <f t="shared" si="9"/>
        <v/>
      </c>
      <c r="P46" s="4">
        <f t="shared" si="10"/>
        <v>20.7</v>
      </c>
    </row>
    <row r="47" ht="15.75" customHeight="1">
      <c r="A47" s="7">
        <v>1982.0</v>
      </c>
      <c r="B47" s="4">
        <v>197.0</v>
      </c>
      <c r="C47" s="4">
        <v>10.9</v>
      </c>
      <c r="D47" s="4">
        <v>22.5</v>
      </c>
      <c r="E47" s="4">
        <f t="shared" si="1"/>
        <v>0</v>
      </c>
      <c r="F47" s="4">
        <f t="shared" si="2"/>
        <v>0</v>
      </c>
      <c r="G47" s="4">
        <f t="shared" si="3"/>
        <v>34.36</v>
      </c>
      <c r="H47" s="4">
        <f t="shared" si="4"/>
        <v>31.637</v>
      </c>
      <c r="I47" s="4" t="str">
        <f t="shared" si="5"/>
        <v> </v>
      </c>
      <c r="K47" s="4">
        <v>18.9</v>
      </c>
      <c r="L47" s="4">
        <f t="shared" si="6"/>
        <v>3</v>
      </c>
      <c r="M47" s="4">
        <f t="shared" si="7"/>
        <v>0</v>
      </c>
      <c r="N47" s="4">
        <f t="shared" si="8"/>
        <v>-10.9076</v>
      </c>
      <c r="O47" s="4" t="str">
        <f t="shared" si="9"/>
        <v/>
      </c>
      <c r="P47" s="4">
        <f t="shared" si="10"/>
        <v>18.9</v>
      </c>
    </row>
    <row r="48" ht="15.75" customHeight="1">
      <c r="A48" s="7">
        <v>1982.0</v>
      </c>
      <c r="B48" s="4">
        <v>198.0</v>
      </c>
      <c r="C48" s="4">
        <v>9.3</v>
      </c>
      <c r="D48" s="4">
        <v>22.9</v>
      </c>
      <c r="E48" s="4">
        <f t="shared" si="1"/>
        <v>0</v>
      </c>
      <c r="F48" s="4">
        <f t="shared" si="2"/>
        <v>0</v>
      </c>
      <c r="G48" s="4">
        <f t="shared" si="3"/>
        <v>35.156</v>
      </c>
      <c r="H48" s="4">
        <f t="shared" si="4"/>
        <v>31.7415</v>
      </c>
      <c r="I48" s="4" t="str">
        <f t="shared" si="5"/>
        <v> </v>
      </c>
      <c r="K48" s="4">
        <v>18.5</v>
      </c>
      <c r="L48" s="4">
        <f t="shared" si="6"/>
        <v>3</v>
      </c>
      <c r="M48" s="4">
        <f t="shared" si="7"/>
        <v>0</v>
      </c>
      <c r="N48" s="4">
        <f t="shared" si="8"/>
        <v>-1.5756</v>
      </c>
      <c r="O48" s="4" t="str">
        <f t="shared" si="9"/>
        <v/>
      </c>
      <c r="P48" s="4">
        <f t="shared" si="10"/>
        <v>18.5</v>
      </c>
    </row>
    <row r="49" ht="15.75" customHeight="1">
      <c r="A49" s="7">
        <v>1982.0</v>
      </c>
      <c r="B49" s="4">
        <v>199.0</v>
      </c>
      <c r="C49" s="4">
        <v>7.0</v>
      </c>
      <c r="D49" s="4">
        <v>25.0</v>
      </c>
      <c r="E49" s="4">
        <f t="shared" si="1"/>
        <v>0</v>
      </c>
      <c r="F49" s="4">
        <f t="shared" si="2"/>
        <v>0</v>
      </c>
      <c r="G49" s="4">
        <f t="shared" si="3"/>
        <v>35.307</v>
      </c>
      <c r="H49" s="4">
        <f t="shared" si="4"/>
        <v>34.3575</v>
      </c>
      <c r="I49" s="4" t="str">
        <f t="shared" si="5"/>
        <v> </v>
      </c>
      <c r="K49" s="4">
        <v>20.2</v>
      </c>
      <c r="L49" s="4">
        <f t="shared" si="6"/>
        <v>3</v>
      </c>
      <c r="M49" s="4">
        <f t="shared" si="7"/>
        <v>1</v>
      </c>
      <c r="N49" s="4">
        <f t="shared" si="8"/>
        <v>6.4188</v>
      </c>
      <c r="O49" s="4" t="str">
        <f t="shared" si="9"/>
        <v/>
      </c>
      <c r="P49" s="4">
        <f t="shared" si="10"/>
        <v>20.2</v>
      </c>
    </row>
    <row r="50" ht="15.75" customHeight="1">
      <c r="A50" s="7">
        <v>1982.0</v>
      </c>
      <c r="B50" s="4">
        <v>200.0</v>
      </c>
      <c r="C50" s="4">
        <v>14.8</v>
      </c>
      <c r="D50" s="4">
        <v>25.2</v>
      </c>
      <c r="E50" s="4">
        <f t="shared" si="1"/>
        <v>1</v>
      </c>
      <c r="F50" s="4">
        <f t="shared" si="2"/>
        <v>0</v>
      </c>
      <c r="G50" s="4">
        <f t="shared" si="3"/>
        <v>36.138</v>
      </c>
      <c r="H50" s="4">
        <f t="shared" si="4"/>
        <v>35.103</v>
      </c>
      <c r="I50" s="4" t="str">
        <f t="shared" si="5"/>
        <v> </v>
      </c>
      <c r="J50" s="4">
        <v>0.3</v>
      </c>
      <c r="K50" s="4">
        <v>17.9</v>
      </c>
      <c r="L50" s="4">
        <f t="shared" si="6"/>
        <v>8</v>
      </c>
      <c r="M50" s="4">
        <f t="shared" si="7"/>
        <v>1</v>
      </c>
      <c r="N50" s="4">
        <f t="shared" si="8"/>
        <v>4.4272</v>
      </c>
      <c r="O50" s="4">
        <f t="shared" si="9"/>
        <v>0.3</v>
      </c>
      <c r="P50" s="4">
        <f t="shared" si="10"/>
        <v>17.9</v>
      </c>
    </row>
    <row r="51" ht="15.75" customHeight="1">
      <c r="A51" s="7">
        <v>1982.0</v>
      </c>
      <c r="B51" s="4">
        <v>201.0</v>
      </c>
      <c r="C51" s="4">
        <v>15.7</v>
      </c>
      <c r="D51" s="4">
        <v>25.2</v>
      </c>
      <c r="E51" s="4">
        <f t="shared" si="1"/>
        <v>1</v>
      </c>
      <c r="F51" s="4">
        <f t="shared" si="2"/>
        <v>1</v>
      </c>
      <c r="G51" s="4">
        <f t="shared" si="3"/>
        <v>33.158</v>
      </c>
      <c r="H51" s="4">
        <f t="shared" si="4"/>
        <v>33.9025</v>
      </c>
      <c r="I51" s="4">
        <f t="shared" si="5"/>
        <v>0.7445</v>
      </c>
      <c r="J51" s="4">
        <v>0.7</v>
      </c>
      <c r="K51" s="4">
        <v>20.2</v>
      </c>
      <c r="L51" s="4">
        <f t="shared" si="6"/>
        <v>8</v>
      </c>
      <c r="M51" s="4">
        <f t="shared" si="7"/>
        <v>0</v>
      </c>
      <c r="N51" s="4">
        <f t="shared" si="8"/>
        <v>-2.0431</v>
      </c>
      <c r="O51" s="4">
        <f t="shared" si="9"/>
        <v>0.7</v>
      </c>
      <c r="P51" s="4">
        <f t="shared" si="10"/>
        <v>20.2</v>
      </c>
    </row>
    <row r="52" ht="15.75" customHeight="1">
      <c r="A52" s="7">
        <v>1982.0</v>
      </c>
      <c r="B52" s="4">
        <v>202.0</v>
      </c>
      <c r="C52" s="4">
        <v>14.3</v>
      </c>
      <c r="D52" s="4">
        <v>24.7</v>
      </c>
      <c r="E52" s="4">
        <f t="shared" si="1"/>
        <v>0</v>
      </c>
      <c r="F52" s="4">
        <f t="shared" si="2"/>
        <v>0</v>
      </c>
      <c r="G52" s="4">
        <f t="shared" si="3"/>
        <v>29.585</v>
      </c>
      <c r="H52" s="4">
        <f t="shared" si="4"/>
        <v>28.3855</v>
      </c>
      <c r="I52" s="4" t="str">
        <f t="shared" si="5"/>
        <v> </v>
      </c>
      <c r="K52" s="4">
        <v>19.4</v>
      </c>
      <c r="L52" s="4">
        <f t="shared" si="6"/>
        <v>3</v>
      </c>
      <c r="M52" s="4">
        <f t="shared" si="7"/>
        <v>0</v>
      </c>
      <c r="N52" s="4">
        <f t="shared" si="8"/>
        <v>-0.6931</v>
      </c>
      <c r="O52" s="4" t="str">
        <f t="shared" si="9"/>
        <v/>
      </c>
      <c r="P52" s="4">
        <f t="shared" si="10"/>
        <v>19.4</v>
      </c>
    </row>
    <row r="53" ht="15.75" customHeight="1">
      <c r="A53" s="7">
        <v>1982.0</v>
      </c>
      <c r="B53" s="4">
        <v>203.0</v>
      </c>
      <c r="C53" s="4">
        <v>10.8</v>
      </c>
      <c r="D53" s="4">
        <v>23.9</v>
      </c>
      <c r="E53" s="4">
        <f t="shared" si="1"/>
        <v>1</v>
      </c>
      <c r="F53" s="4">
        <f t="shared" si="2"/>
        <v>0</v>
      </c>
      <c r="G53" s="4">
        <f t="shared" si="3"/>
        <v>29.195</v>
      </c>
      <c r="H53" s="4">
        <f t="shared" si="4"/>
        <v>28.33</v>
      </c>
      <c r="I53" s="4" t="str">
        <f t="shared" si="5"/>
        <v> </v>
      </c>
      <c r="J53" s="4">
        <v>6.7</v>
      </c>
      <c r="K53" s="4">
        <v>16.1</v>
      </c>
      <c r="L53" s="4">
        <f t="shared" si="6"/>
        <v>8</v>
      </c>
      <c r="M53" s="4">
        <f t="shared" si="7"/>
        <v>1</v>
      </c>
      <c r="N53" s="4">
        <f t="shared" si="8"/>
        <v>1.3854</v>
      </c>
      <c r="O53" s="4">
        <f t="shared" si="9"/>
        <v>6.7</v>
      </c>
      <c r="P53" s="4">
        <f t="shared" si="10"/>
        <v>16.1</v>
      </c>
    </row>
    <row r="54" ht="15.75" customHeight="1">
      <c r="A54" s="7">
        <v>1982.0</v>
      </c>
      <c r="B54" s="4">
        <v>204.0</v>
      </c>
      <c r="C54" s="4">
        <v>8.9</v>
      </c>
      <c r="D54" s="4">
        <v>19.4</v>
      </c>
      <c r="E54" s="4">
        <f t="shared" si="1"/>
        <v>0</v>
      </c>
      <c r="F54" s="4">
        <f t="shared" si="2"/>
        <v>0</v>
      </c>
      <c r="G54" s="4">
        <f t="shared" si="3"/>
        <v>24.336</v>
      </c>
      <c r="H54" s="4">
        <f t="shared" si="4"/>
        <v>22.931</v>
      </c>
      <c r="I54" s="4" t="str">
        <f t="shared" si="5"/>
        <v> </v>
      </c>
      <c r="K54" s="4">
        <v>14.8</v>
      </c>
      <c r="L54" s="4">
        <f t="shared" si="6"/>
        <v>3</v>
      </c>
      <c r="M54" s="4">
        <f t="shared" si="7"/>
        <v>1</v>
      </c>
      <c r="N54" s="4">
        <f t="shared" si="8"/>
        <v>7.216</v>
      </c>
      <c r="O54" s="4" t="str">
        <f t="shared" si="9"/>
        <v/>
      </c>
      <c r="P54" s="4">
        <f t="shared" si="10"/>
        <v>14.8</v>
      </c>
    </row>
    <row r="55" ht="15.75" customHeight="1">
      <c r="A55" s="7">
        <v>1982.0</v>
      </c>
      <c r="B55" s="4">
        <v>205.0</v>
      </c>
      <c r="C55" s="4">
        <v>11.7</v>
      </c>
      <c r="D55" s="4">
        <v>18.3</v>
      </c>
      <c r="E55" s="4">
        <f t="shared" si="1"/>
        <v>1</v>
      </c>
      <c r="F55" s="4">
        <f t="shared" si="2"/>
        <v>1</v>
      </c>
      <c r="G55" s="4">
        <f t="shared" si="3"/>
        <v>26.303</v>
      </c>
      <c r="H55" s="4">
        <f t="shared" si="4"/>
        <v>27.2585</v>
      </c>
      <c r="I55" s="4">
        <f t="shared" si="5"/>
        <v>0.9555</v>
      </c>
      <c r="J55" s="4">
        <v>4.4</v>
      </c>
      <c r="K55" s="4">
        <v>14.2</v>
      </c>
      <c r="L55" s="4">
        <f t="shared" si="6"/>
        <v>8</v>
      </c>
      <c r="M55" s="4">
        <f t="shared" si="7"/>
        <v>1</v>
      </c>
      <c r="N55" s="4">
        <f t="shared" si="8"/>
        <v>5.9669</v>
      </c>
      <c r="O55" s="4">
        <f t="shared" si="9"/>
        <v>4.4</v>
      </c>
      <c r="P55" s="4">
        <f t="shared" si="10"/>
        <v>14.2</v>
      </c>
    </row>
    <row r="56" ht="15.75" customHeight="1">
      <c r="A56" s="7">
        <v>1982.0</v>
      </c>
      <c r="B56" s="4">
        <v>206.0</v>
      </c>
      <c r="C56" s="4">
        <v>10.8</v>
      </c>
      <c r="D56" s="4">
        <v>18.4</v>
      </c>
      <c r="E56" s="4">
        <f t="shared" si="1"/>
        <v>1</v>
      </c>
      <c r="F56" s="4">
        <f t="shared" si="2"/>
        <v>1</v>
      </c>
      <c r="G56" s="4">
        <f t="shared" si="3"/>
        <v>25.353</v>
      </c>
      <c r="H56" s="4">
        <f t="shared" si="4"/>
        <v>25.8295</v>
      </c>
      <c r="I56" s="4">
        <f t="shared" si="5"/>
        <v>0.4765</v>
      </c>
      <c r="J56" s="4">
        <v>3.0</v>
      </c>
      <c r="K56" s="4">
        <v>13.4</v>
      </c>
      <c r="L56" s="4">
        <f t="shared" si="6"/>
        <v>8</v>
      </c>
      <c r="M56" s="4">
        <f t="shared" si="7"/>
        <v>0</v>
      </c>
      <c r="N56" s="4">
        <f t="shared" si="8"/>
        <v>-3.5805</v>
      </c>
      <c r="O56" s="4">
        <f t="shared" si="9"/>
        <v>3</v>
      </c>
      <c r="P56" s="4">
        <f t="shared" si="10"/>
        <v>13.4</v>
      </c>
    </row>
    <row r="57" ht="15.75" customHeight="1">
      <c r="A57" s="7">
        <v>1982.0</v>
      </c>
      <c r="B57" s="4">
        <v>207.0</v>
      </c>
      <c r="C57" s="4">
        <v>10.2</v>
      </c>
      <c r="D57" s="4">
        <v>20.5</v>
      </c>
      <c r="E57" s="4">
        <f t="shared" si="1"/>
        <v>0</v>
      </c>
      <c r="F57" s="4">
        <f t="shared" si="2"/>
        <v>0</v>
      </c>
      <c r="G57" s="4">
        <f t="shared" si="3"/>
        <v>23.287</v>
      </c>
      <c r="H57" s="4">
        <f t="shared" si="4"/>
        <v>23.186</v>
      </c>
      <c r="I57" s="4" t="str">
        <f t="shared" si="5"/>
        <v> </v>
      </c>
      <c r="K57" s="4">
        <v>15.4</v>
      </c>
      <c r="L57" s="4">
        <f t="shared" si="6"/>
        <v>3</v>
      </c>
      <c r="M57" s="4">
        <f t="shared" si="7"/>
        <v>0</v>
      </c>
      <c r="N57" s="4">
        <f t="shared" si="8"/>
        <v>-3.7417</v>
      </c>
      <c r="O57" s="4" t="str">
        <f t="shared" si="9"/>
        <v/>
      </c>
      <c r="P57" s="4">
        <f t="shared" si="10"/>
        <v>15.4</v>
      </c>
    </row>
    <row r="58" ht="15.75" customHeight="1">
      <c r="A58" s="7">
        <v>1982.0</v>
      </c>
      <c r="B58" s="4">
        <v>208.0</v>
      </c>
      <c r="C58" s="4">
        <v>10.7</v>
      </c>
      <c r="D58" s="4">
        <v>22.8</v>
      </c>
      <c r="E58" s="4">
        <f t="shared" si="1"/>
        <v>0</v>
      </c>
      <c r="F58" s="4">
        <f t="shared" si="2"/>
        <v>1</v>
      </c>
      <c r="G58" s="4">
        <f t="shared" si="3"/>
        <v>26.81</v>
      </c>
      <c r="H58" s="4">
        <f t="shared" si="4"/>
        <v>28.176</v>
      </c>
      <c r="I58" s="4">
        <f t="shared" si="5"/>
        <v>1.366</v>
      </c>
      <c r="K58" s="4">
        <v>17.0</v>
      </c>
      <c r="L58" s="4">
        <f t="shared" si="6"/>
        <v>3</v>
      </c>
      <c r="M58" s="4">
        <f t="shared" si="7"/>
        <v>1</v>
      </c>
      <c r="N58" s="4">
        <f t="shared" si="8"/>
        <v>4.9168</v>
      </c>
      <c r="O58" s="4" t="str">
        <f t="shared" si="9"/>
        <v/>
      </c>
      <c r="P58" s="4">
        <f t="shared" si="10"/>
        <v>17</v>
      </c>
    </row>
    <row r="59" ht="15.75" customHeight="1">
      <c r="A59" s="7">
        <v>1982.0</v>
      </c>
      <c r="B59" s="4">
        <v>209.0</v>
      </c>
      <c r="C59" s="4">
        <v>10.1</v>
      </c>
      <c r="D59" s="4">
        <v>21.2</v>
      </c>
      <c r="E59" s="4">
        <f t="shared" si="1"/>
        <v>1</v>
      </c>
      <c r="F59" s="4">
        <f t="shared" si="2"/>
        <v>1</v>
      </c>
      <c r="G59" s="4">
        <f t="shared" si="3"/>
        <v>31.543</v>
      </c>
      <c r="H59" s="4">
        <f t="shared" si="4"/>
        <v>34.25</v>
      </c>
      <c r="I59" s="4">
        <f t="shared" si="5"/>
        <v>2.707</v>
      </c>
      <c r="J59" s="4">
        <v>3.0</v>
      </c>
      <c r="K59" s="4">
        <v>15.6</v>
      </c>
      <c r="L59" s="4">
        <f t="shared" si="6"/>
        <v>8</v>
      </c>
      <c r="M59" s="4">
        <f t="shared" si="7"/>
        <v>1</v>
      </c>
      <c r="N59" s="4">
        <f t="shared" si="8"/>
        <v>9.2289</v>
      </c>
      <c r="O59" s="4">
        <f t="shared" si="9"/>
        <v>3</v>
      </c>
      <c r="P59" s="4">
        <f t="shared" si="10"/>
        <v>15.6</v>
      </c>
    </row>
    <row r="60" ht="15.75" customHeight="1">
      <c r="A60" s="7">
        <v>1982.0</v>
      </c>
      <c r="B60" s="4">
        <v>210.0</v>
      </c>
      <c r="C60" s="4">
        <v>8.8</v>
      </c>
      <c r="D60" s="4">
        <v>18.7</v>
      </c>
      <c r="E60" s="4">
        <f t="shared" si="1"/>
        <v>1</v>
      </c>
      <c r="F60" s="4">
        <f t="shared" si="2"/>
        <v>1</v>
      </c>
      <c r="G60" s="4">
        <f t="shared" si="3"/>
        <v>31.359</v>
      </c>
      <c r="H60" s="4">
        <f t="shared" si="4"/>
        <v>34.612</v>
      </c>
      <c r="I60" s="4">
        <f t="shared" si="5"/>
        <v>3.253</v>
      </c>
      <c r="J60" s="4">
        <v>4.7</v>
      </c>
      <c r="K60" s="4">
        <v>14.0</v>
      </c>
      <c r="L60" s="4">
        <f t="shared" si="6"/>
        <v>8</v>
      </c>
      <c r="M60" s="4">
        <f t="shared" si="7"/>
        <v>1</v>
      </c>
      <c r="N60" s="4">
        <f t="shared" si="8"/>
        <v>11.3096</v>
      </c>
      <c r="O60" s="4">
        <f t="shared" si="9"/>
        <v>4.7</v>
      </c>
      <c r="P60" s="4">
        <f t="shared" si="10"/>
        <v>14</v>
      </c>
    </row>
    <row r="61" ht="15.75" customHeight="1">
      <c r="A61" s="7">
        <v>1982.0</v>
      </c>
      <c r="B61" s="4">
        <v>211.0</v>
      </c>
      <c r="C61" s="4">
        <v>7.8</v>
      </c>
      <c r="D61" s="4">
        <v>15.8</v>
      </c>
      <c r="E61" s="4">
        <f t="shared" si="1"/>
        <v>1</v>
      </c>
      <c r="F61" s="4">
        <f t="shared" si="2"/>
        <v>1</v>
      </c>
      <c r="G61" s="4">
        <f t="shared" si="3"/>
        <v>32.038</v>
      </c>
      <c r="H61" s="4">
        <f t="shared" si="4"/>
        <v>35.0425</v>
      </c>
      <c r="I61" s="4">
        <f t="shared" si="5"/>
        <v>3.0045</v>
      </c>
      <c r="J61" s="4">
        <v>8.3</v>
      </c>
      <c r="K61" s="4">
        <v>11.2</v>
      </c>
      <c r="L61" s="4">
        <f t="shared" si="6"/>
        <v>8</v>
      </c>
      <c r="M61" s="4">
        <f t="shared" si="7"/>
        <v>1</v>
      </c>
      <c r="N61" s="4">
        <f t="shared" si="8"/>
        <v>11.6815</v>
      </c>
      <c r="O61" s="4">
        <f t="shared" si="9"/>
        <v>8.3</v>
      </c>
      <c r="P61" s="4">
        <f t="shared" si="10"/>
        <v>11.2</v>
      </c>
    </row>
    <row r="62" ht="15.75" customHeight="1">
      <c r="A62" s="7">
        <v>1982.0</v>
      </c>
      <c r="B62" s="4">
        <v>212.0</v>
      </c>
      <c r="C62" s="4">
        <v>9.6</v>
      </c>
      <c r="D62" s="4">
        <v>18.4</v>
      </c>
      <c r="E62" s="4">
        <f t="shared" si="1"/>
        <v>1</v>
      </c>
      <c r="F62" s="4">
        <f t="shared" si="2"/>
        <v>1</v>
      </c>
      <c r="G62" s="4">
        <f t="shared" si="3"/>
        <v>34.372</v>
      </c>
      <c r="H62" s="4">
        <f t="shared" si="4"/>
        <v>35.2725</v>
      </c>
      <c r="I62" s="4">
        <f t="shared" si="5"/>
        <v>0.9005</v>
      </c>
      <c r="J62" s="4">
        <v>0.7</v>
      </c>
      <c r="K62" s="4">
        <v>14.2</v>
      </c>
      <c r="L62" s="4">
        <f t="shared" si="6"/>
        <v>8</v>
      </c>
      <c r="M62" s="4">
        <f t="shared" si="7"/>
        <v>1</v>
      </c>
      <c r="N62" s="4">
        <f t="shared" si="8"/>
        <v>12.2515</v>
      </c>
      <c r="O62" s="4">
        <f t="shared" si="9"/>
        <v>0.7</v>
      </c>
      <c r="P62" s="4">
        <f t="shared" si="10"/>
        <v>14.2</v>
      </c>
    </row>
    <row r="63" ht="15.75" customHeight="1">
      <c r="A63" s="7">
        <v>1982.0</v>
      </c>
      <c r="B63" s="4">
        <v>213.0</v>
      </c>
      <c r="C63" s="4">
        <v>11.6</v>
      </c>
      <c r="D63" s="4">
        <v>24.3</v>
      </c>
      <c r="E63" s="4">
        <f t="shared" si="1"/>
        <v>1</v>
      </c>
      <c r="F63" s="4">
        <f t="shared" si="2"/>
        <v>0</v>
      </c>
      <c r="G63" s="4">
        <f t="shared" si="3"/>
        <v>36.354</v>
      </c>
      <c r="H63" s="4">
        <f t="shared" si="4"/>
        <v>36.184</v>
      </c>
      <c r="I63" s="4" t="str">
        <f t="shared" si="5"/>
        <v> </v>
      </c>
      <c r="J63" s="4">
        <v>16.3</v>
      </c>
      <c r="K63" s="4">
        <v>17.5</v>
      </c>
      <c r="L63" s="4">
        <f t="shared" si="6"/>
        <v>8</v>
      </c>
      <c r="M63" s="4">
        <f t="shared" si="7"/>
        <v>1</v>
      </c>
      <c r="N63" s="4">
        <f t="shared" si="8"/>
        <v>9.1326</v>
      </c>
      <c r="O63" s="4">
        <f t="shared" si="9"/>
        <v>16.3</v>
      </c>
      <c r="P63" s="4">
        <f t="shared" si="10"/>
        <v>17.5</v>
      </c>
    </row>
    <row r="64" ht="15.75" customHeight="1">
      <c r="A64" s="7">
        <v>1982.0</v>
      </c>
      <c r="B64" s="4">
        <v>214.0</v>
      </c>
      <c r="C64" s="4">
        <v>15.9</v>
      </c>
      <c r="D64" s="4">
        <v>25.2</v>
      </c>
      <c r="E64" s="4">
        <f t="shared" si="1"/>
        <v>1</v>
      </c>
      <c r="F64" s="4">
        <f t="shared" si="2"/>
        <v>0</v>
      </c>
      <c r="G64" s="4">
        <f t="shared" si="3"/>
        <v>35.639</v>
      </c>
      <c r="H64" s="4">
        <f t="shared" si="4"/>
        <v>33.875</v>
      </c>
      <c r="I64" s="4" t="str">
        <f t="shared" si="5"/>
        <v> </v>
      </c>
      <c r="J64" s="4">
        <v>17.2</v>
      </c>
      <c r="K64" s="4">
        <v>19.3</v>
      </c>
      <c r="L64" s="4">
        <f t="shared" si="6"/>
        <v>8</v>
      </c>
      <c r="M64" s="4">
        <f t="shared" si="7"/>
        <v>1</v>
      </c>
      <c r="N64" s="4">
        <f t="shared" si="8"/>
        <v>3.5363</v>
      </c>
      <c r="O64" s="4">
        <f t="shared" si="9"/>
        <v>17.2</v>
      </c>
      <c r="P64" s="4">
        <f t="shared" si="10"/>
        <v>19.3</v>
      </c>
    </row>
    <row r="65" ht="15.75" customHeight="1">
      <c r="A65" s="7">
        <v>1982.0</v>
      </c>
      <c r="B65" s="4">
        <v>215.0</v>
      </c>
      <c r="C65" s="4">
        <v>14.3</v>
      </c>
      <c r="D65" s="4">
        <v>24.7</v>
      </c>
      <c r="E65" s="4">
        <f t="shared" si="1"/>
        <v>1</v>
      </c>
      <c r="F65" s="4">
        <f t="shared" si="2"/>
        <v>0</v>
      </c>
      <c r="G65" s="4">
        <f t="shared" si="3"/>
        <v>28.502</v>
      </c>
      <c r="H65" s="4">
        <f t="shared" si="4"/>
        <v>25.0905</v>
      </c>
      <c r="I65" s="4" t="str">
        <f t="shared" si="5"/>
        <v> </v>
      </c>
      <c r="J65" s="4">
        <v>3.9</v>
      </c>
      <c r="K65" s="4">
        <v>19.2</v>
      </c>
      <c r="L65" s="4">
        <f t="shared" si="6"/>
        <v>8</v>
      </c>
      <c r="M65" s="4">
        <f t="shared" si="7"/>
        <v>0</v>
      </c>
      <c r="N65" s="4">
        <f t="shared" si="8"/>
        <v>-5.2724</v>
      </c>
      <c r="O65" s="4">
        <f t="shared" si="9"/>
        <v>3.9</v>
      </c>
      <c r="P65" s="4">
        <f t="shared" si="10"/>
        <v>19.2</v>
      </c>
    </row>
    <row r="66" ht="15.75" customHeight="1">
      <c r="A66" s="7">
        <v>1982.0</v>
      </c>
      <c r="B66" s="4">
        <v>216.0</v>
      </c>
      <c r="C66" s="4">
        <v>12.0</v>
      </c>
      <c r="D66" s="4">
        <v>22.9</v>
      </c>
      <c r="E66" s="4">
        <f t="shared" si="1"/>
        <v>0</v>
      </c>
      <c r="F66" s="4">
        <f t="shared" si="2"/>
        <v>0</v>
      </c>
      <c r="G66" s="4">
        <f t="shared" si="3"/>
        <v>22.472</v>
      </c>
      <c r="H66" s="4">
        <f t="shared" si="4"/>
        <v>17.8965</v>
      </c>
      <c r="I66" s="4" t="str">
        <f t="shared" si="5"/>
        <v> </v>
      </c>
      <c r="K66" s="4">
        <v>17.5</v>
      </c>
      <c r="L66" s="4">
        <f t="shared" si="6"/>
        <v>3</v>
      </c>
      <c r="M66" s="4">
        <f t="shared" si="7"/>
        <v>0</v>
      </c>
      <c r="N66" s="4">
        <f t="shared" si="8"/>
        <v>-7.6893</v>
      </c>
      <c r="O66" s="4" t="str">
        <f t="shared" si="9"/>
        <v/>
      </c>
      <c r="P66" s="4">
        <f t="shared" si="10"/>
        <v>17.5</v>
      </c>
    </row>
    <row r="67" ht="15.75" customHeight="1">
      <c r="A67" s="7">
        <v>1982.0</v>
      </c>
      <c r="B67" s="4">
        <v>217.0</v>
      </c>
      <c r="C67" s="4">
        <v>11.2</v>
      </c>
      <c r="D67" s="4">
        <v>21.9</v>
      </c>
      <c r="E67" s="4">
        <f t="shared" si="1"/>
        <v>0</v>
      </c>
      <c r="F67" s="4">
        <f t="shared" si="2"/>
        <v>0</v>
      </c>
      <c r="G67" s="4">
        <f t="shared" si="3"/>
        <v>24.448</v>
      </c>
      <c r="H67" s="4">
        <f t="shared" si="4"/>
        <v>22.2445</v>
      </c>
      <c r="I67" s="4" t="str">
        <f t="shared" si="5"/>
        <v> </v>
      </c>
      <c r="K67" s="4">
        <v>17.1</v>
      </c>
      <c r="L67" s="4">
        <f t="shared" si="6"/>
        <v>3</v>
      </c>
      <c r="M67" s="4">
        <f t="shared" si="7"/>
        <v>0</v>
      </c>
      <c r="N67" s="4">
        <f t="shared" si="8"/>
        <v>-9.1912</v>
      </c>
      <c r="O67" s="4" t="str">
        <f t="shared" si="9"/>
        <v/>
      </c>
      <c r="P67" s="4">
        <f t="shared" si="10"/>
        <v>17.1</v>
      </c>
    </row>
    <row r="68" ht="15.75" customHeight="1">
      <c r="A68" s="7">
        <v>1982.0</v>
      </c>
      <c r="B68" s="4">
        <v>218.0</v>
      </c>
      <c r="C68" s="4">
        <v>11.9</v>
      </c>
      <c r="D68" s="4">
        <v>22.0</v>
      </c>
      <c r="E68" s="4">
        <f t="shared" si="1"/>
        <v>0</v>
      </c>
      <c r="F68" s="4">
        <f t="shared" si="2"/>
        <v>0</v>
      </c>
      <c r="G68" s="4">
        <f t="shared" si="3"/>
        <v>29.178</v>
      </c>
      <c r="H68" s="4">
        <f t="shared" si="4"/>
        <v>26.4675</v>
      </c>
      <c r="I68" s="4" t="str">
        <f t="shared" si="5"/>
        <v> </v>
      </c>
      <c r="K68" s="4">
        <v>17.6</v>
      </c>
      <c r="L68" s="4">
        <f t="shared" si="6"/>
        <v>3</v>
      </c>
      <c r="M68" s="4">
        <f t="shared" si="7"/>
        <v>0</v>
      </c>
      <c r="N68" s="4">
        <f t="shared" si="8"/>
        <v>-9.4946</v>
      </c>
      <c r="O68" s="4" t="str">
        <f t="shared" si="9"/>
        <v/>
      </c>
      <c r="P68" s="4">
        <f t="shared" si="10"/>
        <v>17.6</v>
      </c>
    </row>
    <row r="69" ht="15.75" customHeight="1">
      <c r="A69" s="7">
        <v>1982.0</v>
      </c>
      <c r="B69" s="4">
        <v>219.0</v>
      </c>
      <c r="C69" s="4">
        <v>8.5</v>
      </c>
      <c r="D69" s="4">
        <v>17.3</v>
      </c>
      <c r="E69" s="4">
        <f t="shared" si="1"/>
        <v>0</v>
      </c>
      <c r="F69" s="4">
        <f t="shared" si="2"/>
        <v>0</v>
      </c>
      <c r="G69" s="4">
        <f t="shared" si="3"/>
        <v>25.864</v>
      </c>
      <c r="H69" s="4">
        <f t="shared" si="4"/>
        <v>25.5095</v>
      </c>
      <c r="I69" s="4" t="str">
        <f t="shared" si="5"/>
        <v> </v>
      </c>
      <c r="K69" s="4">
        <v>13.8</v>
      </c>
      <c r="L69" s="4">
        <f t="shared" si="6"/>
        <v>3</v>
      </c>
      <c r="M69" s="4">
        <f t="shared" si="7"/>
        <v>0</v>
      </c>
      <c r="N69" s="4">
        <f t="shared" si="8"/>
        <v>-0.5156</v>
      </c>
      <c r="O69" s="4" t="str">
        <f t="shared" si="9"/>
        <v/>
      </c>
      <c r="P69" s="4">
        <f t="shared" si="10"/>
        <v>13.8</v>
      </c>
    </row>
    <row r="70" ht="15.75" customHeight="1">
      <c r="A70" s="7">
        <v>1982.0</v>
      </c>
      <c r="B70" s="4">
        <v>220.0</v>
      </c>
      <c r="C70" s="4">
        <v>5.9</v>
      </c>
      <c r="D70" s="4">
        <v>18.4</v>
      </c>
      <c r="E70" s="4">
        <f t="shared" si="1"/>
        <v>0</v>
      </c>
      <c r="F70" s="4">
        <f t="shared" si="2"/>
        <v>1</v>
      </c>
      <c r="G70" s="4">
        <f t="shared" si="3"/>
        <v>28.066</v>
      </c>
      <c r="H70" s="4">
        <f t="shared" si="4"/>
        <v>29.394</v>
      </c>
      <c r="I70" s="4">
        <f t="shared" si="5"/>
        <v>1.328</v>
      </c>
      <c r="K70" s="4">
        <v>13.1</v>
      </c>
      <c r="L70" s="4">
        <f t="shared" si="6"/>
        <v>3</v>
      </c>
      <c r="M70" s="4">
        <f t="shared" si="7"/>
        <v>1</v>
      </c>
      <c r="N70" s="4">
        <f t="shared" si="8"/>
        <v>7.3833</v>
      </c>
      <c r="O70" s="4" t="str">
        <f t="shared" si="9"/>
        <v/>
      </c>
      <c r="P70" s="4">
        <f t="shared" si="10"/>
        <v>13.1</v>
      </c>
    </row>
    <row r="71" ht="15.75" customHeight="1">
      <c r="A71" s="7">
        <v>1982.0</v>
      </c>
      <c r="B71" s="4">
        <v>221.0</v>
      </c>
      <c r="C71" s="4">
        <v>11.9</v>
      </c>
      <c r="D71" s="4">
        <v>23.3</v>
      </c>
      <c r="E71" s="4">
        <f t="shared" si="1"/>
        <v>1</v>
      </c>
      <c r="F71" s="4">
        <f t="shared" si="2"/>
        <v>1</v>
      </c>
      <c r="G71" s="4">
        <f t="shared" si="3"/>
        <v>34.713</v>
      </c>
      <c r="H71" s="4">
        <f t="shared" si="4"/>
        <v>35.4715</v>
      </c>
      <c r="I71" s="4">
        <f t="shared" si="5"/>
        <v>0.7585</v>
      </c>
      <c r="J71" s="4">
        <v>21.9</v>
      </c>
      <c r="K71" s="4">
        <v>16.1</v>
      </c>
      <c r="L71" s="4">
        <f t="shared" si="6"/>
        <v>8</v>
      </c>
      <c r="M71" s="4">
        <f t="shared" si="7"/>
        <v>1</v>
      </c>
      <c r="N71" s="4">
        <f t="shared" si="8"/>
        <v>9.3324</v>
      </c>
      <c r="O71" s="4">
        <f t="shared" si="9"/>
        <v>21.9</v>
      </c>
      <c r="P71" s="4">
        <f t="shared" si="10"/>
        <v>16.1</v>
      </c>
    </row>
    <row r="72" ht="15.75" customHeight="1">
      <c r="A72" s="7">
        <v>1982.0</v>
      </c>
      <c r="B72" s="4">
        <v>222.0</v>
      </c>
      <c r="C72" s="4">
        <v>13.7</v>
      </c>
      <c r="D72" s="4">
        <v>25.7</v>
      </c>
      <c r="E72" s="4">
        <f t="shared" si="1"/>
        <v>1</v>
      </c>
      <c r="F72" s="4">
        <f t="shared" si="2"/>
        <v>0</v>
      </c>
      <c r="G72" s="4">
        <f t="shared" si="3"/>
        <v>35.84</v>
      </c>
      <c r="H72" s="4">
        <f t="shared" si="4"/>
        <v>35.346</v>
      </c>
      <c r="I72" s="4" t="str">
        <f t="shared" si="5"/>
        <v> </v>
      </c>
      <c r="J72" s="4">
        <v>10.1</v>
      </c>
      <c r="K72" s="4">
        <v>18.2</v>
      </c>
      <c r="L72" s="4">
        <f t="shared" si="6"/>
        <v>8</v>
      </c>
      <c r="M72" s="4">
        <f t="shared" si="7"/>
        <v>1</v>
      </c>
      <c r="N72" s="4">
        <f t="shared" si="8"/>
        <v>8.0496</v>
      </c>
      <c r="O72" s="4">
        <f t="shared" si="9"/>
        <v>10.1</v>
      </c>
      <c r="P72" s="4">
        <f t="shared" si="10"/>
        <v>18.2</v>
      </c>
    </row>
    <row r="73" ht="15.75" customHeight="1">
      <c r="A73" s="7">
        <v>1982.0</v>
      </c>
      <c r="B73" s="4">
        <v>223.0</v>
      </c>
      <c r="C73" s="4">
        <v>13.2</v>
      </c>
      <c r="D73" s="4">
        <v>21.4</v>
      </c>
      <c r="E73" s="4">
        <f t="shared" si="1"/>
        <v>1</v>
      </c>
      <c r="F73" s="4">
        <f t="shared" si="2"/>
        <v>1</v>
      </c>
      <c r="G73" s="4">
        <f t="shared" si="3"/>
        <v>28.919</v>
      </c>
      <c r="H73" s="4">
        <f t="shared" si="4"/>
        <v>29.8115</v>
      </c>
      <c r="I73" s="4">
        <f t="shared" si="5"/>
        <v>0.8925</v>
      </c>
      <c r="J73" s="4">
        <v>5.4</v>
      </c>
      <c r="K73" s="4">
        <v>16.9</v>
      </c>
      <c r="L73" s="4">
        <f t="shared" si="6"/>
        <v>8</v>
      </c>
      <c r="M73" s="4">
        <f t="shared" si="7"/>
        <v>1</v>
      </c>
      <c r="N73" s="4">
        <f t="shared" si="8"/>
        <v>4.9313</v>
      </c>
      <c r="O73" s="4">
        <f t="shared" si="9"/>
        <v>5.4</v>
      </c>
      <c r="P73" s="4">
        <f t="shared" si="10"/>
        <v>16.9</v>
      </c>
    </row>
    <row r="74" ht="15.75" customHeight="1">
      <c r="A74" s="7">
        <v>1982.0</v>
      </c>
      <c r="B74" s="4">
        <v>224.0</v>
      </c>
      <c r="C74" s="4">
        <v>10.3</v>
      </c>
      <c r="D74" s="4">
        <v>20.2</v>
      </c>
      <c r="E74" s="4">
        <f t="shared" si="1"/>
        <v>1</v>
      </c>
      <c r="F74" s="4">
        <f t="shared" si="2"/>
        <v>1</v>
      </c>
      <c r="G74" s="4">
        <f t="shared" si="3"/>
        <v>27.355</v>
      </c>
      <c r="H74" s="4">
        <f t="shared" si="4"/>
        <v>27.4095</v>
      </c>
      <c r="I74" s="4">
        <f t="shared" si="5"/>
        <v>0.0545</v>
      </c>
      <c r="J74" s="4">
        <v>1.8</v>
      </c>
      <c r="K74" s="4">
        <v>13.9</v>
      </c>
      <c r="L74" s="4">
        <f t="shared" si="6"/>
        <v>8</v>
      </c>
      <c r="M74" s="4">
        <f t="shared" si="7"/>
        <v>0</v>
      </c>
      <c r="N74" s="4">
        <f t="shared" si="8"/>
        <v>-4.2525</v>
      </c>
      <c r="O74" s="4">
        <f t="shared" si="9"/>
        <v>1.8</v>
      </c>
      <c r="P74" s="4">
        <f t="shared" si="10"/>
        <v>13.9</v>
      </c>
    </row>
    <row r="75" ht="15.75" customHeight="1">
      <c r="A75" s="7">
        <v>1982.0</v>
      </c>
      <c r="B75" s="4">
        <v>225.0</v>
      </c>
      <c r="C75" s="4">
        <v>10.0</v>
      </c>
      <c r="D75" s="4">
        <v>20.4</v>
      </c>
      <c r="E75" s="4">
        <f t="shared" si="1"/>
        <v>0</v>
      </c>
      <c r="F75" s="4">
        <f t="shared" si="2"/>
        <v>0</v>
      </c>
      <c r="G75" s="4">
        <f t="shared" si="3"/>
        <v>24.405</v>
      </c>
      <c r="H75" s="4">
        <f t="shared" si="4"/>
        <v>23.9545</v>
      </c>
      <c r="I75" s="4" t="str">
        <f t="shared" si="5"/>
        <v> </v>
      </c>
      <c r="K75" s="4">
        <v>14.8</v>
      </c>
      <c r="L75" s="4">
        <f t="shared" si="6"/>
        <v>3</v>
      </c>
      <c r="M75" s="4">
        <f t="shared" si="7"/>
        <v>0</v>
      </c>
      <c r="N75" s="4">
        <f t="shared" si="8"/>
        <v>-2.2261</v>
      </c>
      <c r="O75" s="4" t="str">
        <f t="shared" si="9"/>
        <v/>
      </c>
      <c r="P75" s="4">
        <f t="shared" si="10"/>
        <v>14.8</v>
      </c>
    </row>
    <row r="76" ht="15.75" customHeight="1">
      <c r="A76" s="7">
        <v>1982.0</v>
      </c>
      <c r="B76" s="4">
        <v>226.0</v>
      </c>
      <c r="C76" s="4">
        <v>10.3</v>
      </c>
      <c r="D76" s="4">
        <v>23.5</v>
      </c>
      <c r="E76" s="4">
        <f t="shared" si="1"/>
        <v>0</v>
      </c>
      <c r="F76" s="4">
        <f t="shared" si="2"/>
        <v>0</v>
      </c>
      <c r="G76" s="4">
        <f t="shared" si="3"/>
        <v>26.129</v>
      </c>
      <c r="H76" s="4">
        <f t="shared" si="4"/>
        <v>25.3635</v>
      </c>
      <c r="I76" s="4" t="str">
        <f t="shared" si="5"/>
        <v> </v>
      </c>
      <c r="K76" s="4">
        <v>17.6</v>
      </c>
      <c r="L76" s="4">
        <f t="shared" si="6"/>
        <v>3</v>
      </c>
      <c r="M76" s="4">
        <f t="shared" si="7"/>
        <v>1</v>
      </c>
      <c r="N76" s="4">
        <f t="shared" si="8"/>
        <v>5.2461</v>
      </c>
      <c r="O76" s="4" t="str">
        <f t="shared" si="9"/>
        <v/>
      </c>
      <c r="P76" s="4">
        <f t="shared" si="10"/>
        <v>17.6</v>
      </c>
    </row>
    <row r="77" ht="15.75" customHeight="1">
      <c r="A77" s="7">
        <v>1982.0</v>
      </c>
      <c r="B77" s="4">
        <v>227.0</v>
      </c>
      <c r="C77" s="4">
        <v>12.3</v>
      </c>
      <c r="D77" s="4">
        <v>19.7</v>
      </c>
      <c r="E77" s="4">
        <f t="shared" si="1"/>
        <v>1</v>
      </c>
      <c r="F77" s="4">
        <f t="shared" si="2"/>
        <v>1</v>
      </c>
      <c r="G77" s="4">
        <f t="shared" si="3"/>
        <v>26.064</v>
      </c>
      <c r="H77" s="4">
        <f t="shared" si="4"/>
        <v>28.8</v>
      </c>
      <c r="I77" s="4">
        <f t="shared" si="5"/>
        <v>2.736</v>
      </c>
      <c r="J77" s="4">
        <v>1.2</v>
      </c>
      <c r="K77" s="4">
        <v>17.0</v>
      </c>
      <c r="L77" s="4">
        <f t="shared" si="6"/>
        <v>8</v>
      </c>
      <c r="M77" s="4">
        <f t="shared" si="7"/>
        <v>1</v>
      </c>
      <c r="N77" s="4">
        <f t="shared" si="8"/>
        <v>9.8747</v>
      </c>
      <c r="O77" s="4">
        <f t="shared" si="9"/>
        <v>1.2</v>
      </c>
      <c r="P77" s="4">
        <f t="shared" si="10"/>
        <v>17</v>
      </c>
    </row>
    <row r="78" ht="15.75" customHeight="1">
      <c r="A78" s="7">
        <v>1982.0</v>
      </c>
      <c r="B78" s="4">
        <v>228.0</v>
      </c>
      <c r="C78" s="4">
        <v>9.9</v>
      </c>
      <c r="D78" s="4">
        <v>19.7</v>
      </c>
      <c r="E78" s="4">
        <f t="shared" si="1"/>
        <v>1</v>
      </c>
      <c r="F78" s="4">
        <f t="shared" si="2"/>
        <v>1</v>
      </c>
      <c r="G78" s="4">
        <f t="shared" si="3"/>
        <v>26.657</v>
      </c>
      <c r="H78" s="4">
        <f t="shared" si="4"/>
        <v>28.0555</v>
      </c>
      <c r="I78" s="4">
        <f t="shared" si="5"/>
        <v>1.3985</v>
      </c>
      <c r="J78" s="4">
        <v>0.7</v>
      </c>
      <c r="K78" s="4">
        <v>12.6</v>
      </c>
      <c r="L78" s="4">
        <f t="shared" si="6"/>
        <v>8</v>
      </c>
      <c r="M78" s="4">
        <f t="shared" si="7"/>
        <v>1</v>
      </c>
      <c r="N78" s="4">
        <f t="shared" si="8"/>
        <v>5.2359</v>
      </c>
      <c r="O78" s="4">
        <f t="shared" si="9"/>
        <v>0.7</v>
      </c>
      <c r="P78" s="4">
        <f t="shared" si="10"/>
        <v>12.6</v>
      </c>
    </row>
    <row r="79" ht="15.75" customHeight="1">
      <c r="A79" s="7">
        <v>1982.0</v>
      </c>
      <c r="B79" s="4">
        <v>229.0</v>
      </c>
      <c r="C79" s="4">
        <v>9.3</v>
      </c>
      <c r="D79" s="4">
        <v>17.9</v>
      </c>
      <c r="E79" s="4">
        <f t="shared" si="1"/>
        <v>1</v>
      </c>
      <c r="F79" s="4">
        <f t="shared" si="2"/>
        <v>1</v>
      </c>
      <c r="G79" s="4">
        <f t="shared" si="3"/>
        <v>28.118</v>
      </c>
      <c r="H79" s="4">
        <f t="shared" si="4"/>
        <v>28.613</v>
      </c>
      <c r="I79" s="4">
        <f t="shared" si="5"/>
        <v>0.495</v>
      </c>
      <c r="J79" s="4">
        <v>1.0</v>
      </c>
      <c r="K79" s="4">
        <v>13.2</v>
      </c>
      <c r="L79" s="4">
        <f t="shared" si="6"/>
        <v>8</v>
      </c>
      <c r="M79" s="4">
        <f t="shared" si="7"/>
        <v>1</v>
      </c>
      <c r="N79" s="4">
        <f t="shared" si="8"/>
        <v>2.0238</v>
      </c>
      <c r="O79" s="4">
        <f t="shared" si="9"/>
        <v>1</v>
      </c>
      <c r="P79" s="4">
        <f t="shared" si="10"/>
        <v>13.2</v>
      </c>
    </row>
    <row r="80" ht="15.75" customHeight="1">
      <c r="A80" s="7">
        <v>1982.0</v>
      </c>
      <c r="B80" s="4">
        <v>230.0</v>
      </c>
      <c r="C80" s="4">
        <v>8.4</v>
      </c>
      <c r="D80" s="4">
        <v>17.5</v>
      </c>
      <c r="E80" s="4">
        <f t="shared" si="1"/>
        <v>0</v>
      </c>
      <c r="F80" s="4">
        <f t="shared" si="2"/>
        <v>1</v>
      </c>
      <c r="G80" s="4">
        <f t="shared" si="3"/>
        <v>24.078</v>
      </c>
      <c r="H80" s="4">
        <f t="shared" si="4"/>
        <v>24.7215</v>
      </c>
      <c r="I80" s="4">
        <f t="shared" si="5"/>
        <v>0.6435</v>
      </c>
      <c r="K80" s="4">
        <v>13.9</v>
      </c>
      <c r="L80" s="4">
        <f t="shared" si="6"/>
        <v>3</v>
      </c>
      <c r="M80" s="4">
        <f t="shared" si="7"/>
        <v>1</v>
      </c>
      <c r="N80" s="4">
        <f t="shared" si="8"/>
        <v>5.881</v>
      </c>
      <c r="O80" s="4" t="str">
        <f t="shared" si="9"/>
        <v/>
      </c>
      <c r="P80" s="4">
        <f t="shared" si="10"/>
        <v>13.9</v>
      </c>
    </row>
    <row r="81" ht="15.75" customHeight="1">
      <c r="A81" s="7">
        <v>1982.0</v>
      </c>
      <c r="B81" s="4">
        <v>231.0</v>
      </c>
      <c r="C81" s="4">
        <v>10.1</v>
      </c>
      <c r="D81" s="4">
        <v>19.1</v>
      </c>
      <c r="E81" s="4">
        <f t="shared" si="1"/>
        <v>1</v>
      </c>
      <c r="F81" s="4">
        <f t="shared" si="2"/>
        <v>1</v>
      </c>
      <c r="G81" s="4">
        <f t="shared" si="3"/>
        <v>28.36</v>
      </c>
      <c r="H81" s="4">
        <f t="shared" si="4"/>
        <v>29.9095</v>
      </c>
      <c r="I81" s="4">
        <f t="shared" si="5"/>
        <v>1.5495</v>
      </c>
      <c r="J81" s="4">
        <v>0.4</v>
      </c>
      <c r="K81" s="4">
        <v>14.6</v>
      </c>
      <c r="L81" s="4">
        <f t="shared" si="6"/>
        <v>8</v>
      </c>
      <c r="M81" s="4">
        <f t="shared" si="7"/>
        <v>1</v>
      </c>
      <c r="N81" s="4">
        <f t="shared" si="8"/>
        <v>7.4132</v>
      </c>
      <c r="O81" s="4">
        <f t="shared" si="9"/>
        <v>0.4</v>
      </c>
      <c r="P81" s="4">
        <f t="shared" si="10"/>
        <v>14.6</v>
      </c>
    </row>
    <row r="82" ht="15.75" customHeight="1">
      <c r="A82" s="7">
        <v>1982.0</v>
      </c>
      <c r="B82" s="4">
        <v>232.0</v>
      </c>
      <c r="C82" s="4">
        <v>8.4</v>
      </c>
      <c r="D82" s="4">
        <v>21.4</v>
      </c>
      <c r="E82" s="4">
        <f t="shared" si="1"/>
        <v>1</v>
      </c>
      <c r="F82" s="4">
        <f t="shared" si="2"/>
        <v>0</v>
      </c>
      <c r="G82" s="4">
        <f t="shared" si="3"/>
        <v>27.841</v>
      </c>
      <c r="H82" s="4">
        <f t="shared" si="4"/>
        <v>27.187</v>
      </c>
      <c r="I82" s="4" t="str">
        <f t="shared" si="5"/>
        <v> </v>
      </c>
      <c r="J82" s="4">
        <v>1.1</v>
      </c>
      <c r="K82" s="4">
        <v>15.2</v>
      </c>
      <c r="L82" s="4">
        <f t="shared" si="6"/>
        <v>8</v>
      </c>
      <c r="M82" s="4">
        <f t="shared" si="7"/>
        <v>1</v>
      </c>
      <c r="N82" s="4">
        <f t="shared" si="8"/>
        <v>1.4032</v>
      </c>
      <c r="O82" s="4">
        <f t="shared" si="9"/>
        <v>1.1</v>
      </c>
      <c r="P82" s="4">
        <f t="shared" si="10"/>
        <v>15.2</v>
      </c>
    </row>
    <row r="83" ht="15.75" customHeight="1">
      <c r="A83" s="7">
        <v>1982.0</v>
      </c>
      <c r="B83" s="4">
        <v>233.0</v>
      </c>
      <c r="C83" s="4">
        <v>13.9</v>
      </c>
      <c r="D83" s="4">
        <v>25.0</v>
      </c>
      <c r="E83" s="4">
        <f t="shared" si="1"/>
        <v>0</v>
      </c>
      <c r="F83" s="4">
        <f t="shared" si="2"/>
        <v>1</v>
      </c>
      <c r="G83" s="4">
        <f t="shared" si="3"/>
        <v>28.63</v>
      </c>
      <c r="H83" s="4">
        <f t="shared" si="4"/>
        <v>28.907</v>
      </c>
      <c r="I83" s="4">
        <f t="shared" si="5"/>
        <v>0.277</v>
      </c>
      <c r="K83" s="4">
        <v>19.6</v>
      </c>
      <c r="L83" s="4">
        <f t="shared" si="6"/>
        <v>3</v>
      </c>
      <c r="M83" s="4">
        <f t="shared" si="7"/>
        <v>1</v>
      </c>
      <c r="N83" s="4">
        <f t="shared" si="8"/>
        <v>4.5245</v>
      </c>
      <c r="O83" s="4" t="str">
        <f t="shared" si="9"/>
        <v/>
      </c>
      <c r="P83" s="4">
        <f t="shared" si="10"/>
        <v>19.6</v>
      </c>
    </row>
    <row r="84" ht="15.75" customHeight="1">
      <c r="A84" s="7">
        <v>1982.0</v>
      </c>
      <c r="B84" s="4">
        <v>234.0</v>
      </c>
      <c r="C84" s="4">
        <v>14.1</v>
      </c>
      <c r="D84" s="4">
        <v>19.1</v>
      </c>
      <c r="E84" s="4">
        <f t="shared" si="1"/>
        <v>1</v>
      </c>
      <c r="F84" s="4">
        <f t="shared" si="2"/>
        <v>1</v>
      </c>
      <c r="G84" s="4">
        <f t="shared" si="3"/>
        <v>27.746</v>
      </c>
      <c r="H84" s="4">
        <f t="shared" si="4"/>
        <v>30.2015</v>
      </c>
      <c r="I84" s="4">
        <f t="shared" si="5"/>
        <v>2.4555</v>
      </c>
      <c r="J84" s="4">
        <v>2.3</v>
      </c>
      <c r="K84" s="4">
        <v>15.8</v>
      </c>
      <c r="L84" s="4">
        <f t="shared" si="6"/>
        <v>8</v>
      </c>
      <c r="M84" s="4">
        <f t="shared" si="7"/>
        <v>1</v>
      </c>
      <c r="N84" s="4">
        <f t="shared" si="8"/>
        <v>3.9195</v>
      </c>
      <c r="O84" s="4">
        <f t="shared" si="9"/>
        <v>2.3</v>
      </c>
      <c r="P84" s="4">
        <f t="shared" si="10"/>
        <v>15.8</v>
      </c>
    </row>
    <row r="85" ht="15.75" customHeight="1">
      <c r="A85" s="7">
        <v>1982.0</v>
      </c>
      <c r="B85" s="4">
        <v>235.0</v>
      </c>
      <c r="C85" s="4">
        <v>9.4</v>
      </c>
      <c r="D85" s="4">
        <v>18.9</v>
      </c>
      <c r="E85" s="4">
        <f t="shared" si="1"/>
        <v>1</v>
      </c>
      <c r="F85" s="4">
        <f t="shared" si="2"/>
        <v>0</v>
      </c>
      <c r="G85" s="4">
        <f t="shared" si="3"/>
        <v>25.118</v>
      </c>
      <c r="H85" s="4">
        <f t="shared" si="4"/>
        <v>24.564</v>
      </c>
      <c r="I85" s="4" t="str">
        <f t="shared" si="5"/>
        <v> </v>
      </c>
      <c r="J85" s="4">
        <v>7.8</v>
      </c>
      <c r="K85" s="4">
        <v>14.2</v>
      </c>
      <c r="L85" s="4">
        <f t="shared" si="6"/>
        <v>8</v>
      </c>
      <c r="M85" s="4">
        <f t="shared" si="7"/>
        <v>1</v>
      </c>
      <c r="N85" s="4">
        <f t="shared" si="8"/>
        <v>1.5736</v>
      </c>
      <c r="O85" s="4">
        <f t="shared" si="9"/>
        <v>7.8</v>
      </c>
      <c r="P85" s="4">
        <f t="shared" si="10"/>
        <v>14.2</v>
      </c>
    </row>
    <row r="86" ht="15.75" customHeight="1">
      <c r="A86" s="7">
        <v>1982.0</v>
      </c>
      <c r="B86" s="4">
        <v>236.0</v>
      </c>
      <c r="C86" s="4">
        <v>6.8</v>
      </c>
      <c r="D86" s="4">
        <v>19.6</v>
      </c>
      <c r="E86" s="4">
        <f t="shared" si="1"/>
        <v>0</v>
      </c>
      <c r="F86" s="4">
        <f t="shared" si="2"/>
        <v>0</v>
      </c>
      <c r="G86" s="4">
        <f t="shared" si="3"/>
        <v>25.895</v>
      </c>
      <c r="H86" s="4">
        <f t="shared" si="4"/>
        <v>24.08</v>
      </c>
      <c r="I86" s="4" t="str">
        <f t="shared" si="5"/>
        <v> </v>
      </c>
      <c r="K86" s="4">
        <v>13.9</v>
      </c>
      <c r="L86" s="4">
        <f t="shared" si="6"/>
        <v>3</v>
      </c>
      <c r="M86" s="4">
        <f t="shared" si="7"/>
        <v>1</v>
      </c>
      <c r="N86" s="4">
        <f t="shared" si="8"/>
        <v>9.895</v>
      </c>
      <c r="O86" s="4" t="str">
        <f t="shared" si="9"/>
        <v/>
      </c>
      <c r="P86" s="4">
        <f t="shared" si="10"/>
        <v>13.9</v>
      </c>
    </row>
    <row r="87" ht="15.75" customHeight="1">
      <c r="A87" s="7">
        <v>1982.0</v>
      </c>
      <c r="B87" s="4">
        <v>237.0</v>
      </c>
      <c r="C87" s="4">
        <v>10.1</v>
      </c>
      <c r="D87" s="4">
        <v>20.0</v>
      </c>
      <c r="E87" s="4">
        <f t="shared" si="1"/>
        <v>1</v>
      </c>
      <c r="F87" s="4">
        <f t="shared" si="2"/>
        <v>0</v>
      </c>
      <c r="G87" s="4">
        <f t="shared" si="3"/>
        <v>30.631</v>
      </c>
      <c r="H87" s="4">
        <f t="shared" si="4"/>
        <v>29.584</v>
      </c>
      <c r="I87" s="4" t="str">
        <f t="shared" si="5"/>
        <v> </v>
      </c>
      <c r="J87" s="4">
        <v>1.2</v>
      </c>
      <c r="K87" s="4">
        <v>10.1</v>
      </c>
      <c r="L87" s="4">
        <f t="shared" si="6"/>
        <v>8</v>
      </c>
      <c r="M87" s="4">
        <f t="shared" si="7"/>
        <v>1</v>
      </c>
      <c r="N87" s="4">
        <f t="shared" si="8"/>
        <v>6.1526</v>
      </c>
      <c r="O87" s="4">
        <f t="shared" si="9"/>
        <v>1.2</v>
      </c>
      <c r="P87" s="4">
        <f t="shared" si="10"/>
        <v>10.1</v>
      </c>
    </row>
    <row r="88" ht="15.75" customHeight="1">
      <c r="A88" s="7">
        <v>1982.0</v>
      </c>
      <c r="B88" s="4">
        <v>238.0</v>
      </c>
      <c r="C88" s="4">
        <v>15.4</v>
      </c>
      <c r="D88" s="4">
        <v>19.3</v>
      </c>
      <c r="E88" s="4">
        <f t="shared" si="1"/>
        <v>1</v>
      </c>
      <c r="J88" s="4">
        <v>3.4</v>
      </c>
      <c r="K88" s="4">
        <v>17.1</v>
      </c>
      <c r="L88" s="4">
        <f t="shared" si="6"/>
        <v>8</v>
      </c>
      <c r="O88" s="4">
        <f t="shared" si="9"/>
        <v>3.4</v>
      </c>
      <c r="P88" s="4">
        <f t="shared" si="10"/>
        <v>17.1</v>
      </c>
    </row>
    <row r="89" ht="15.75" customHeight="1">
      <c r="A89" s="7">
        <v>1982.0</v>
      </c>
      <c r="B89" s="4">
        <v>239.0</v>
      </c>
      <c r="C89" s="4">
        <v>12.2</v>
      </c>
      <c r="D89" s="4">
        <v>18.3</v>
      </c>
      <c r="E89" s="4">
        <f t="shared" si="1"/>
        <v>0</v>
      </c>
      <c r="K89" s="4">
        <v>15.8</v>
      </c>
      <c r="L89" s="4">
        <f t="shared" si="6"/>
        <v>3</v>
      </c>
      <c r="O89" s="4" t="str">
        <f t="shared" si="9"/>
        <v/>
      </c>
      <c r="P89" s="4">
        <f t="shared" si="10"/>
        <v>15.8</v>
      </c>
    </row>
    <row r="90" ht="15.75" customHeight="1">
      <c r="A90" s="7">
        <v>1982.0</v>
      </c>
      <c r="B90" s="4">
        <v>240.0</v>
      </c>
      <c r="C90" s="4">
        <v>10.6</v>
      </c>
      <c r="D90" s="4">
        <v>25.6</v>
      </c>
      <c r="E90" s="4">
        <f t="shared" si="1"/>
        <v>0</v>
      </c>
      <c r="K90" s="4">
        <v>18.1</v>
      </c>
      <c r="L90" s="4">
        <f t="shared" si="6"/>
        <v>3</v>
      </c>
      <c r="O90" s="4" t="str">
        <f t="shared" si="9"/>
        <v/>
      </c>
      <c r="P90" s="4">
        <f t="shared" si="10"/>
        <v>18.1</v>
      </c>
    </row>
    <row r="91" ht="15.75" customHeight="1">
      <c r="A91" s="7">
        <v>1982.0</v>
      </c>
      <c r="B91" s="4">
        <v>241.0</v>
      </c>
      <c r="C91" s="4">
        <v>14.9</v>
      </c>
      <c r="D91" s="4">
        <v>27.2</v>
      </c>
      <c r="E91" s="4">
        <f t="shared" si="1"/>
        <v>0</v>
      </c>
      <c r="K91" s="4">
        <v>20.9</v>
      </c>
      <c r="L91" s="4">
        <f t="shared" si="6"/>
        <v>3</v>
      </c>
      <c r="O91" s="4" t="str">
        <f t="shared" si="9"/>
        <v/>
      </c>
      <c r="P91" s="4">
        <f t="shared" si="10"/>
        <v>20.9</v>
      </c>
    </row>
    <row r="92" ht="15.75" customHeight="1">
      <c r="A92" s="7">
        <v>1982.0</v>
      </c>
      <c r="B92" s="4">
        <v>242.0</v>
      </c>
      <c r="C92" s="4">
        <v>10.7</v>
      </c>
      <c r="D92" s="4">
        <v>17.6</v>
      </c>
      <c r="E92" s="4">
        <f t="shared" si="1"/>
        <v>1</v>
      </c>
      <c r="J92" s="4">
        <v>0.6</v>
      </c>
      <c r="K92" s="4">
        <v>14.5</v>
      </c>
      <c r="L92" s="4">
        <f t="shared" si="6"/>
        <v>8</v>
      </c>
      <c r="O92" s="4">
        <f t="shared" si="9"/>
        <v>0.6</v>
      </c>
      <c r="P92" s="4">
        <f t="shared" si="10"/>
        <v>14.5</v>
      </c>
    </row>
    <row r="93" ht="15.75" customHeight="1">
      <c r="A93" s="7">
        <v>1982.0</v>
      </c>
      <c r="B93" s="4">
        <v>243.0</v>
      </c>
      <c r="C93" s="4">
        <v>9.9</v>
      </c>
      <c r="D93" s="4">
        <v>20.8</v>
      </c>
      <c r="E93" s="4">
        <f t="shared" si="1"/>
        <v>0</v>
      </c>
      <c r="K93" s="4">
        <v>15.4</v>
      </c>
      <c r="L93" s="4">
        <f t="shared" si="6"/>
        <v>3</v>
      </c>
      <c r="O93" s="4" t="str">
        <f t="shared" si="9"/>
        <v/>
      </c>
      <c r="P93" s="4">
        <f t="shared" si="10"/>
        <v>15.4</v>
      </c>
    </row>
    <row r="94" ht="15.75" customHeight="1"/>
    <row r="95" ht="15.75" customHeight="1"/>
    <row r="96" ht="15.75" customHeight="1">
      <c r="O96" s="4">
        <f>SUM(O2:O93)</f>
        <v>213.2</v>
      </c>
      <c r="P96" s="4">
        <f>SUMIF(P2:P93,"&gt;0")/10</f>
        <v>140.57</v>
      </c>
    </row>
    <row r="97" ht="15.75" customHeight="1"/>
    <row r="98" ht="15.75" customHeight="1">
      <c r="I98" s="4">
        <f>SUM(I2:I87)</f>
        <v>78.5605</v>
      </c>
      <c r="O98" s="4" t="s">
        <v>15</v>
      </c>
      <c r="P98" s="4">
        <f>O96/P96</f>
        <v>1.51668208</v>
      </c>
    </row>
    <row r="99" ht="15.75" customHeight="1">
      <c r="I99" s="4">
        <f>SUM(I2:I31)</f>
        <v>47.71</v>
      </c>
      <c r="O99" s="4" t="s">
        <v>16</v>
      </c>
      <c r="P99" s="4">
        <f>SUM(O2:O31)/(SUM(P2:P31)/10)</f>
        <v>0.9898546751</v>
      </c>
    </row>
    <row r="100" ht="15.75" customHeight="1">
      <c r="I100" s="4">
        <f>SUM(I32:I62)</f>
        <v>18.262</v>
      </c>
      <c r="O100" s="4" t="s">
        <v>17</v>
      </c>
      <c r="P100" s="4">
        <f>SUM(O33:O62)/(SUM(P33:P62)/10)</f>
        <v>1.52137074</v>
      </c>
    </row>
    <row r="101" ht="15.75" customHeight="1">
      <c r="I101" s="4">
        <f>SUM(I63:I93)</f>
        <v>12.5885</v>
      </c>
      <c r="O101" s="4" t="s">
        <v>18</v>
      </c>
      <c r="P101" s="4">
        <f>SUM(O63:O93)/(SUM(P63:P93)/10)</f>
        <v>1.947421638</v>
      </c>
    </row>
    <row r="102" ht="15.75" customHeight="1">
      <c r="I102" s="4">
        <f>SUMIF(I2:I87,"&gt;0")</f>
        <v>78.5605</v>
      </c>
    </row>
    <row r="103" ht="15.75" customHeight="1">
      <c r="I103" s="4">
        <f>SUMIF(I2:I31,"&gt;0")</f>
        <v>47.71</v>
      </c>
    </row>
    <row r="104" ht="15.75" customHeight="1">
      <c r="I104" s="4">
        <f>SUMIF(I32:I62,"&gt;0")</f>
        <v>18.262</v>
      </c>
      <c r="P104" s="4">
        <f>SUM(O16:O35)/(SUM(P16:P35)/10)</f>
        <v>1.713681241</v>
      </c>
    </row>
    <row r="105" ht="15.75" customHeight="1">
      <c r="I105" s="4">
        <f>SUMIF(I63:I87,"&gt;0")</f>
        <v>12.5885</v>
      </c>
      <c r="P105" s="4">
        <f>SUM(O36:O55)/(SUM(P36:P55)/10)</f>
        <v>1.0813621</v>
      </c>
    </row>
    <row r="106" ht="15.75" customHeight="1">
      <c r="P106" s="4">
        <f>SUM(O56:O77)/(SUM(P56:P77)/10)</f>
        <v>2.782534247</v>
      </c>
    </row>
    <row r="107" ht="15.75" customHeight="1">
      <c r="P107" s="4">
        <f>SUM(O16:O77)/(SUM(P16:P77)/10)</f>
        <v>1.842544419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3"/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7">
        <v>1983.0</v>
      </c>
      <c r="B2" s="4">
        <v>152.0</v>
      </c>
      <c r="C2" s="4">
        <v>9.9</v>
      </c>
      <c r="D2" s="4">
        <v>20.3</v>
      </c>
      <c r="E2" s="4">
        <f t="shared" ref="E2:E93" si="1">IF(J2&gt;0,1,0)</f>
        <v>1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20.113</v>
      </c>
      <c r="H2" s="4">
        <f t="shared" ref="H2:H87" si="4">0.63 * D2 + 0.37 * D3 + 0.49 * D4 + 0.22 * D5 + 0.65 * D6 + 0.24 *C2 - 0.06 * C3- 0.15 * C4 - 0.135 * C5 + 0.15 * C6 + 4.88 * E2 + 3.55 * E3 + 3.34 *E4 + 2.5 * E5 + 2.29 *E6-31.34</f>
        <v>18.9135</v>
      </c>
      <c r="I2" s="4" t="str">
        <f t="shared" ref="I2:I87" si="5">IF((H2-G2)&gt;0,H2-G2," ")</f>
        <v> </v>
      </c>
      <c r="J2" s="4">
        <v>0.8</v>
      </c>
      <c r="K2" s="4">
        <v>15.7</v>
      </c>
      <c r="L2" s="4">
        <f t="shared" ref="L2:L93" si="6">IF(E2&gt;0,8,3)</f>
        <v>8</v>
      </c>
      <c r="M2" s="4">
        <f t="shared" ref="M2:M87" si="7">IF(N2&gt;=0,1,0)</f>
        <v>0</v>
      </c>
      <c r="N2" s="4">
        <f t="shared" ref="N2:N87" si="8">-0.216*D2-0.191*D3-0.119*D4+0.004*C2-0.171*C3+0.628*C4-0.479*L2+0.513*L3+0.046*L4+5.947*E2+6.699*E3+4.328*E4-1.788</f>
        <v>-6.1122</v>
      </c>
      <c r="O2" s="4">
        <f t="shared" ref="O2:O93" si="9">IF(K2&gt;10,J2,0)</f>
        <v>0.8</v>
      </c>
      <c r="P2" s="4">
        <f t="shared" ref="P2:P93" si="10">IF(K2&gt;10,K2,0)</f>
        <v>15.7</v>
      </c>
    </row>
    <row r="3">
      <c r="A3" s="7">
        <v>1983.0</v>
      </c>
      <c r="B3" s="4">
        <v>153.0</v>
      </c>
      <c r="C3" s="4">
        <v>8.0</v>
      </c>
      <c r="D3" s="4">
        <v>19.9</v>
      </c>
      <c r="E3" s="4">
        <f t="shared" si="1"/>
        <v>0</v>
      </c>
      <c r="F3" s="4">
        <f t="shared" si="2"/>
        <v>0</v>
      </c>
      <c r="G3" s="4">
        <f t="shared" si="3"/>
        <v>18.192</v>
      </c>
      <c r="H3" s="4">
        <f t="shared" si="4"/>
        <v>18.19</v>
      </c>
      <c r="I3" s="4" t="str">
        <f t="shared" si="5"/>
        <v> </v>
      </c>
      <c r="K3" s="4">
        <v>14.5</v>
      </c>
      <c r="L3" s="4">
        <f t="shared" si="6"/>
        <v>3</v>
      </c>
      <c r="M3" s="4">
        <f t="shared" si="7"/>
        <v>0</v>
      </c>
      <c r="N3" s="4">
        <f t="shared" si="8"/>
        <v>-1.3642</v>
      </c>
      <c r="O3" s="4" t="str">
        <f t="shared" si="9"/>
        <v/>
      </c>
      <c r="P3" s="4">
        <f t="shared" si="10"/>
        <v>14.5</v>
      </c>
    </row>
    <row r="4">
      <c r="A4" s="7">
        <v>1983.0</v>
      </c>
      <c r="B4" s="4">
        <v>154.0</v>
      </c>
      <c r="C4" s="4">
        <v>6.3</v>
      </c>
      <c r="D4" s="4">
        <v>21.5</v>
      </c>
      <c r="E4" s="4">
        <f t="shared" si="1"/>
        <v>0</v>
      </c>
      <c r="F4" s="4">
        <f t="shared" si="2"/>
        <v>0</v>
      </c>
      <c r="G4" s="4">
        <f t="shared" si="3"/>
        <v>15.846</v>
      </c>
      <c r="H4" s="4">
        <f t="shared" si="4"/>
        <v>15.03</v>
      </c>
      <c r="I4" s="4" t="str">
        <f t="shared" si="5"/>
        <v> </v>
      </c>
      <c r="K4" s="4">
        <v>15.3</v>
      </c>
      <c r="L4" s="4">
        <f t="shared" si="6"/>
        <v>3</v>
      </c>
      <c r="M4" s="4">
        <f t="shared" si="7"/>
        <v>1</v>
      </c>
      <c r="N4" s="4">
        <f t="shared" si="8"/>
        <v>1.507</v>
      </c>
      <c r="O4" s="4" t="str">
        <f t="shared" si="9"/>
        <v/>
      </c>
      <c r="P4" s="4">
        <f t="shared" si="10"/>
        <v>15.3</v>
      </c>
    </row>
    <row r="5">
      <c r="A5" s="7">
        <v>1983.0</v>
      </c>
      <c r="B5" s="4">
        <v>155.0</v>
      </c>
      <c r="C5" s="4">
        <v>12.1</v>
      </c>
      <c r="D5" s="4">
        <v>21.2</v>
      </c>
      <c r="E5" s="4">
        <f t="shared" si="1"/>
        <v>1</v>
      </c>
      <c r="F5" s="4">
        <f t="shared" si="2"/>
        <v>1</v>
      </c>
      <c r="G5" s="4">
        <f t="shared" si="3"/>
        <v>18.518</v>
      </c>
      <c r="H5" s="4">
        <f t="shared" si="4"/>
        <v>19.438</v>
      </c>
      <c r="I5" s="4">
        <f t="shared" si="5"/>
        <v>0.92</v>
      </c>
      <c r="J5" s="4">
        <v>2.8</v>
      </c>
      <c r="K5" s="4">
        <v>16.1</v>
      </c>
      <c r="L5" s="4">
        <f t="shared" si="6"/>
        <v>8</v>
      </c>
      <c r="M5" s="4">
        <f t="shared" si="7"/>
        <v>1</v>
      </c>
      <c r="N5" s="4">
        <f t="shared" si="8"/>
        <v>2.769</v>
      </c>
      <c r="O5" s="4">
        <f t="shared" si="9"/>
        <v>2.8</v>
      </c>
      <c r="P5" s="4">
        <f t="shared" si="10"/>
        <v>16.1</v>
      </c>
    </row>
    <row r="6">
      <c r="A6" s="7">
        <v>1983.0</v>
      </c>
      <c r="B6" s="4">
        <v>156.0</v>
      </c>
      <c r="C6" s="4">
        <v>9.2</v>
      </c>
      <c r="D6" s="4">
        <v>10.5</v>
      </c>
      <c r="E6" s="4">
        <f t="shared" si="1"/>
        <v>0</v>
      </c>
      <c r="F6" s="4">
        <f t="shared" si="2"/>
        <v>1</v>
      </c>
      <c r="G6" s="4">
        <f t="shared" si="3"/>
        <v>11.477</v>
      </c>
      <c r="H6" s="4">
        <f t="shared" si="4"/>
        <v>13.49</v>
      </c>
      <c r="I6" s="4">
        <f t="shared" si="5"/>
        <v>2.013</v>
      </c>
      <c r="K6" s="4">
        <v>14.2</v>
      </c>
      <c r="L6" s="4">
        <f t="shared" si="6"/>
        <v>3</v>
      </c>
      <c r="M6" s="4">
        <f t="shared" si="7"/>
        <v>1</v>
      </c>
      <c r="N6" s="4">
        <f t="shared" si="8"/>
        <v>7.0559</v>
      </c>
      <c r="O6" s="4" t="str">
        <f t="shared" si="9"/>
        <v/>
      </c>
      <c r="P6" s="4">
        <f t="shared" si="10"/>
        <v>14.2</v>
      </c>
    </row>
    <row r="7">
      <c r="A7" s="7">
        <v>1983.0</v>
      </c>
      <c r="B7" s="4">
        <v>157.0</v>
      </c>
      <c r="C7" s="4">
        <v>10.0</v>
      </c>
      <c r="D7" s="4">
        <v>16.5</v>
      </c>
      <c r="E7" s="4">
        <f t="shared" si="1"/>
        <v>1</v>
      </c>
      <c r="F7" s="4">
        <f t="shared" si="2"/>
        <v>1</v>
      </c>
      <c r="G7" s="4">
        <f t="shared" si="3"/>
        <v>17.114</v>
      </c>
      <c r="H7" s="4">
        <f t="shared" si="4"/>
        <v>19.7945</v>
      </c>
      <c r="I7" s="4">
        <f t="shared" si="5"/>
        <v>2.6805</v>
      </c>
      <c r="J7" s="4">
        <v>23.9</v>
      </c>
      <c r="K7" s="4">
        <v>12.2</v>
      </c>
      <c r="L7" s="4">
        <f t="shared" si="6"/>
        <v>8</v>
      </c>
      <c r="M7" s="4">
        <f t="shared" si="7"/>
        <v>1</v>
      </c>
      <c r="N7" s="4">
        <f t="shared" si="8"/>
        <v>7.2706</v>
      </c>
      <c r="O7" s="4">
        <f t="shared" si="9"/>
        <v>23.9</v>
      </c>
      <c r="P7" s="4">
        <f t="shared" si="10"/>
        <v>12.2</v>
      </c>
    </row>
    <row r="8">
      <c r="A8" s="7">
        <v>1983.0</v>
      </c>
      <c r="B8" s="4">
        <v>158.0</v>
      </c>
      <c r="C8" s="4">
        <v>5.6</v>
      </c>
      <c r="D8" s="4">
        <v>13.8</v>
      </c>
      <c r="E8" s="4">
        <f t="shared" si="1"/>
        <v>1</v>
      </c>
      <c r="F8" s="4">
        <f t="shared" si="2"/>
        <v>1</v>
      </c>
      <c r="G8" s="4">
        <f t="shared" si="3"/>
        <v>15.502</v>
      </c>
      <c r="H8" s="4">
        <f t="shared" si="4"/>
        <v>17.048</v>
      </c>
      <c r="I8" s="4">
        <f t="shared" si="5"/>
        <v>1.546</v>
      </c>
      <c r="J8" s="4">
        <v>0.5</v>
      </c>
      <c r="K8" s="4">
        <v>9.8</v>
      </c>
      <c r="L8" s="4">
        <f t="shared" si="6"/>
        <v>8</v>
      </c>
      <c r="M8" s="4">
        <f t="shared" si="7"/>
        <v>1</v>
      </c>
      <c r="N8" s="4">
        <f t="shared" si="8"/>
        <v>3.1649</v>
      </c>
      <c r="O8" s="4">
        <f t="shared" si="9"/>
        <v>0</v>
      </c>
      <c r="P8" s="4">
        <f t="shared" si="10"/>
        <v>0</v>
      </c>
    </row>
    <row r="9">
      <c r="A9" s="7">
        <v>1983.0</v>
      </c>
      <c r="B9" s="4">
        <v>159.0</v>
      </c>
      <c r="C9" s="4">
        <v>8.0</v>
      </c>
      <c r="D9" s="4">
        <v>16.0</v>
      </c>
      <c r="E9" s="4">
        <f t="shared" si="1"/>
        <v>0</v>
      </c>
      <c r="F9" s="4">
        <f t="shared" si="2"/>
        <v>1</v>
      </c>
      <c r="G9" s="4">
        <f t="shared" si="3"/>
        <v>16.143</v>
      </c>
      <c r="H9" s="4">
        <f t="shared" si="4"/>
        <v>17.049</v>
      </c>
      <c r="I9" s="4">
        <f t="shared" si="5"/>
        <v>0.906</v>
      </c>
      <c r="K9" s="4">
        <v>10.3</v>
      </c>
      <c r="L9" s="4">
        <f t="shared" si="6"/>
        <v>3</v>
      </c>
      <c r="M9" s="4">
        <f t="shared" si="7"/>
        <v>1</v>
      </c>
      <c r="N9" s="4">
        <f t="shared" si="8"/>
        <v>8.0663</v>
      </c>
      <c r="O9" s="4" t="str">
        <f t="shared" si="9"/>
        <v/>
      </c>
      <c r="P9" s="4">
        <f t="shared" si="10"/>
        <v>10.3</v>
      </c>
    </row>
    <row r="10">
      <c r="A10" s="7">
        <v>1983.0</v>
      </c>
      <c r="B10" s="4">
        <v>160.0</v>
      </c>
      <c r="C10" s="4">
        <v>9.7</v>
      </c>
      <c r="D10" s="4">
        <v>17.7</v>
      </c>
      <c r="E10" s="4">
        <f t="shared" si="1"/>
        <v>1</v>
      </c>
      <c r="F10" s="4">
        <f t="shared" si="2"/>
        <v>1</v>
      </c>
      <c r="G10" s="4">
        <f t="shared" si="3"/>
        <v>22.917</v>
      </c>
      <c r="H10" s="4">
        <f t="shared" si="4"/>
        <v>22.992</v>
      </c>
      <c r="I10" s="4">
        <f t="shared" si="5"/>
        <v>0.075</v>
      </c>
      <c r="J10" s="4">
        <v>2.0</v>
      </c>
      <c r="K10" s="4">
        <v>12.6</v>
      </c>
      <c r="L10" s="4">
        <f t="shared" si="6"/>
        <v>8</v>
      </c>
      <c r="M10" s="4">
        <f t="shared" si="7"/>
        <v>1</v>
      </c>
      <c r="N10" s="4">
        <f t="shared" si="8"/>
        <v>7.9591</v>
      </c>
      <c r="O10" s="4">
        <f t="shared" si="9"/>
        <v>2</v>
      </c>
      <c r="P10" s="4">
        <f t="shared" si="10"/>
        <v>12.6</v>
      </c>
    </row>
    <row r="11">
      <c r="A11" s="7">
        <v>1983.0</v>
      </c>
      <c r="B11" s="4">
        <v>161.0</v>
      </c>
      <c r="C11" s="4">
        <v>9.6</v>
      </c>
      <c r="D11" s="4">
        <v>14.9</v>
      </c>
      <c r="E11" s="4">
        <f t="shared" si="1"/>
        <v>1</v>
      </c>
      <c r="F11" s="4">
        <f t="shared" si="2"/>
        <v>0</v>
      </c>
      <c r="G11" s="4">
        <f t="shared" si="3"/>
        <v>21.185</v>
      </c>
      <c r="H11" s="4">
        <f t="shared" si="4"/>
        <v>20.975</v>
      </c>
      <c r="I11" s="4" t="str">
        <f t="shared" si="5"/>
        <v> </v>
      </c>
      <c r="J11" s="4">
        <v>7.8</v>
      </c>
      <c r="K11" s="4">
        <v>12.4</v>
      </c>
      <c r="L11" s="4">
        <f t="shared" si="6"/>
        <v>8</v>
      </c>
      <c r="M11" s="4">
        <f t="shared" si="7"/>
        <v>1</v>
      </c>
      <c r="N11" s="4">
        <f t="shared" si="8"/>
        <v>2.5683</v>
      </c>
      <c r="O11" s="4">
        <f t="shared" si="9"/>
        <v>7.8</v>
      </c>
      <c r="P11" s="4">
        <f t="shared" si="10"/>
        <v>12.4</v>
      </c>
    </row>
    <row r="12">
      <c r="A12" s="7">
        <v>1983.0</v>
      </c>
      <c r="B12" s="4">
        <v>162.0</v>
      </c>
      <c r="C12" s="4">
        <v>11.2</v>
      </c>
      <c r="D12" s="4">
        <v>17.4</v>
      </c>
      <c r="E12" s="4">
        <f t="shared" si="1"/>
        <v>0</v>
      </c>
      <c r="F12" s="4">
        <f t="shared" si="2"/>
        <v>0</v>
      </c>
      <c r="G12" s="4">
        <f t="shared" si="3"/>
        <v>22.053</v>
      </c>
      <c r="H12" s="4">
        <f t="shared" si="4"/>
        <v>21.5495</v>
      </c>
      <c r="I12" s="4" t="str">
        <f t="shared" si="5"/>
        <v> </v>
      </c>
      <c r="K12" s="4">
        <v>13.7</v>
      </c>
      <c r="L12" s="4">
        <f t="shared" si="6"/>
        <v>3</v>
      </c>
      <c r="M12" s="4">
        <f t="shared" si="7"/>
        <v>1</v>
      </c>
      <c r="N12" s="4">
        <f t="shared" si="8"/>
        <v>1.8773</v>
      </c>
      <c r="O12" s="4" t="str">
        <f t="shared" si="9"/>
        <v/>
      </c>
      <c r="P12" s="4">
        <f t="shared" si="10"/>
        <v>13.7</v>
      </c>
    </row>
    <row r="13">
      <c r="A13" s="7">
        <v>1983.0</v>
      </c>
      <c r="B13" s="4">
        <v>163.0</v>
      </c>
      <c r="C13" s="4">
        <v>10.4</v>
      </c>
      <c r="D13" s="4">
        <v>17.7</v>
      </c>
      <c r="E13" s="4">
        <f t="shared" si="1"/>
        <v>1</v>
      </c>
      <c r="F13" s="4">
        <f t="shared" si="2"/>
        <v>1</v>
      </c>
      <c r="G13" s="4">
        <f t="shared" si="3"/>
        <v>25.866</v>
      </c>
      <c r="H13" s="4">
        <f t="shared" si="4"/>
        <v>26.2705</v>
      </c>
      <c r="I13" s="4">
        <f t="shared" si="5"/>
        <v>0.4045</v>
      </c>
      <c r="J13" s="4">
        <v>5.5</v>
      </c>
      <c r="K13" s="4">
        <v>13.8</v>
      </c>
      <c r="L13" s="4">
        <f t="shared" si="6"/>
        <v>8</v>
      </c>
      <c r="M13" s="4">
        <f t="shared" si="7"/>
        <v>0</v>
      </c>
      <c r="N13" s="4">
        <f t="shared" si="8"/>
        <v>-3.1539</v>
      </c>
      <c r="O13" s="4">
        <f t="shared" si="9"/>
        <v>5.5</v>
      </c>
      <c r="P13" s="4">
        <f t="shared" si="10"/>
        <v>13.8</v>
      </c>
    </row>
    <row r="14">
      <c r="A14" s="7">
        <v>1983.0</v>
      </c>
      <c r="B14" s="4">
        <v>164.0</v>
      </c>
      <c r="C14" s="4">
        <v>9.0</v>
      </c>
      <c r="D14" s="4">
        <v>22.0</v>
      </c>
      <c r="E14" s="4">
        <f t="shared" si="1"/>
        <v>0</v>
      </c>
      <c r="F14" s="4">
        <f t="shared" si="2"/>
        <v>0</v>
      </c>
      <c r="G14" s="4">
        <f t="shared" si="3"/>
        <v>29.876</v>
      </c>
      <c r="H14" s="4">
        <f t="shared" si="4"/>
        <v>27.196</v>
      </c>
      <c r="I14" s="4" t="str">
        <f t="shared" si="5"/>
        <v> </v>
      </c>
      <c r="K14" s="4">
        <v>16.2</v>
      </c>
      <c r="L14" s="4">
        <f t="shared" si="6"/>
        <v>3</v>
      </c>
      <c r="M14" s="4">
        <f t="shared" si="7"/>
        <v>0</v>
      </c>
      <c r="N14" s="4">
        <f t="shared" si="8"/>
        <v>-2.945</v>
      </c>
      <c r="O14" s="4" t="str">
        <f t="shared" si="9"/>
        <v/>
      </c>
      <c r="P14" s="4">
        <f t="shared" si="10"/>
        <v>16.2</v>
      </c>
    </row>
    <row r="15">
      <c r="A15" s="7">
        <v>1983.0</v>
      </c>
      <c r="B15" s="4">
        <v>165.0</v>
      </c>
      <c r="C15" s="4">
        <v>11.1</v>
      </c>
      <c r="D15" s="4">
        <v>21.9</v>
      </c>
      <c r="E15" s="4">
        <f t="shared" si="1"/>
        <v>0</v>
      </c>
      <c r="F15" s="4">
        <f t="shared" si="2"/>
        <v>0</v>
      </c>
      <c r="G15" s="4">
        <f t="shared" si="3"/>
        <v>32.514</v>
      </c>
      <c r="H15" s="4">
        <f t="shared" si="4"/>
        <v>30.105</v>
      </c>
      <c r="I15" s="4" t="str">
        <f t="shared" si="5"/>
        <v> </v>
      </c>
      <c r="K15" s="4">
        <v>17.1</v>
      </c>
      <c r="L15" s="4">
        <f t="shared" si="6"/>
        <v>3</v>
      </c>
      <c r="M15" s="4">
        <f t="shared" si="7"/>
        <v>1</v>
      </c>
      <c r="N15" s="4">
        <f t="shared" si="8"/>
        <v>6.3057</v>
      </c>
      <c r="O15" s="4" t="str">
        <f t="shared" si="9"/>
        <v/>
      </c>
      <c r="P15" s="4">
        <f t="shared" si="10"/>
        <v>17.1</v>
      </c>
    </row>
    <row r="16">
      <c r="A16" s="7">
        <v>1983.0</v>
      </c>
      <c r="B16" s="4">
        <v>166.0</v>
      </c>
      <c r="C16" s="4">
        <v>11.5</v>
      </c>
      <c r="D16" s="4">
        <v>20.0</v>
      </c>
      <c r="E16" s="4">
        <f t="shared" si="1"/>
        <v>1</v>
      </c>
      <c r="F16" s="4">
        <f t="shared" si="2"/>
        <v>1</v>
      </c>
      <c r="G16" s="4">
        <f t="shared" si="3"/>
        <v>33</v>
      </c>
      <c r="H16" s="4">
        <f t="shared" si="4"/>
        <v>34.0025</v>
      </c>
      <c r="I16" s="4">
        <f t="shared" si="5"/>
        <v>1.0025</v>
      </c>
      <c r="J16" s="4">
        <v>5.8</v>
      </c>
      <c r="K16" s="4">
        <v>14.8</v>
      </c>
      <c r="L16" s="4">
        <f t="shared" si="6"/>
        <v>8</v>
      </c>
      <c r="M16" s="4">
        <f t="shared" si="7"/>
        <v>1</v>
      </c>
      <c r="N16" s="4">
        <f t="shared" si="8"/>
        <v>6.1807</v>
      </c>
      <c r="O16" s="4">
        <f t="shared" si="9"/>
        <v>5.8</v>
      </c>
      <c r="P16" s="4">
        <f t="shared" si="10"/>
        <v>14.8</v>
      </c>
    </row>
    <row r="17">
      <c r="A17" s="7">
        <v>1983.0</v>
      </c>
      <c r="B17" s="4">
        <v>167.0</v>
      </c>
      <c r="C17" s="4">
        <v>11.0</v>
      </c>
      <c r="D17" s="4">
        <v>20.2</v>
      </c>
      <c r="E17" s="4">
        <f t="shared" si="1"/>
        <v>1</v>
      </c>
      <c r="F17" s="4">
        <f t="shared" si="2"/>
        <v>0</v>
      </c>
      <c r="G17" s="4">
        <f t="shared" si="3"/>
        <v>31.397</v>
      </c>
      <c r="H17" s="4">
        <f t="shared" si="4"/>
        <v>30.7315</v>
      </c>
      <c r="I17" s="4" t="str">
        <f t="shared" si="5"/>
        <v> </v>
      </c>
      <c r="J17" s="4">
        <v>2.2</v>
      </c>
      <c r="K17" s="4">
        <v>14.9</v>
      </c>
      <c r="L17" s="4">
        <f t="shared" si="6"/>
        <v>8</v>
      </c>
      <c r="M17" s="4">
        <f t="shared" si="7"/>
        <v>0</v>
      </c>
      <c r="N17" s="4">
        <f t="shared" si="8"/>
        <v>-3.9513</v>
      </c>
      <c r="O17" s="4">
        <f t="shared" si="9"/>
        <v>2.2</v>
      </c>
      <c r="P17" s="4">
        <f t="shared" si="10"/>
        <v>14.9</v>
      </c>
    </row>
    <row r="18">
      <c r="A18" s="7">
        <v>1983.0</v>
      </c>
      <c r="B18" s="4">
        <v>168.0</v>
      </c>
      <c r="C18" s="4">
        <v>12.6</v>
      </c>
      <c r="D18" s="4">
        <v>25.1</v>
      </c>
      <c r="E18" s="4">
        <f t="shared" si="1"/>
        <v>0</v>
      </c>
      <c r="F18" s="4">
        <f t="shared" si="2"/>
        <v>0</v>
      </c>
      <c r="G18" s="4">
        <f t="shared" si="3"/>
        <v>27.859</v>
      </c>
      <c r="H18" s="4">
        <f t="shared" si="4"/>
        <v>26.2295</v>
      </c>
      <c r="I18" s="4" t="str">
        <f t="shared" si="5"/>
        <v> </v>
      </c>
      <c r="K18" s="4">
        <v>19.5</v>
      </c>
      <c r="L18" s="4">
        <f t="shared" si="6"/>
        <v>3</v>
      </c>
      <c r="M18" s="4">
        <f t="shared" si="7"/>
        <v>0</v>
      </c>
      <c r="N18" s="4">
        <f t="shared" si="8"/>
        <v>-2.2324</v>
      </c>
      <c r="O18" s="4" t="str">
        <f t="shared" si="9"/>
        <v/>
      </c>
      <c r="P18" s="4">
        <f t="shared" si="10"/>
        <v>19.5</v>
      </c>
    </row>
    <row r="19">
      <c r="A19" s="7">
        <v>1983.0</v>
      </c>
      <c r="B19" s="4">
        <v>169.0</v>
      </c>
      <c r="C19" s="4">
        <v>13.5</v>
      </c>
      <c r="D19" s="4">
        <v>26.6</v>
      </c>
      <c r="E19" s="4">
        <f t="shared" si="1"/>
        <v>0</v>
      </c>
      <c r="F19" s="4">
        <f t="shared" si="2"/>
        <v>1</v>
      </c>
      <c r="G19" s="4">
        <f t="shared" si="3"/>
        <v>23.597</v>
      </c>
      <c r="H19" s="4">
        <f t="shared" si="4"/>
        <v>25.082</v>
      </c>
      <c r="I19" s="4">
        <f t="shared" si="5"/>
        <v>1.485</v>
      </c>
      <c r="K19" s="4">
        <v>21.0</v>
      </c>
      <c r="L19" s="4">
        <f t="shared" si="6"/>
        <v>3</v>
      </c>
      <c r="M19" s="4">
        <f t="shared" si="7"/>
        <v>1</v>
      </c>
      <c r="N19" s="4">
        <f t="shared" si="8"/>
        <v>4.0856</v>
      </c>
      <c r="O19" s="4" t="str">
        <f t="shared" si="9"/>
        <v/>
      </c>
      <c r="P19" s="4">
        <f t="shared" si="10"/>
        <v>21</v>
      </c>
    </row>
    <row r="20">
      <c r="A20" s="7">
        <v>1983.0</v>
      </c>
      <c r="B20" s="4">
        <v>170.0</v>
      </c>
      <c r="C20" s="4">
        <v>16.5</v>
      </c>
      <c r="D20" s="4">
        <v>23.9</v>
      </c>
      <c r="E20" s="4">
        <f t="shared" si="1"/>
        <v>1</v>
      </c>
      <c r="F20" s="4">
        <f t="shared" si="2"/>
        <v>1</v>
      </c>
      <c r="G20" s="4">
        <f t="shared" si="3"/>
        <v>19.797</v>
      </c>
      <c r="H20" s="4">
        <f t="shared" si="4"/>
        <v>23.811</v>
      </c>
      <c r="I20" s="4">
        <f t="shared" si="5"/>
        <v>4.014</v>
      </c>
      <c r="J20" s="4">
        <v>11.3</v>
      </c>
      <c r="K20" s="4">
        <v>19.7</v>
      </c>
      <c r="L20" s="4">
        <f t="shared" si="6"/>
        <v>8</v>
      </c>
      <c r="M20" s="4">
        <f t="shared" si="7"/>
        <v>1</v>
      </c>
      <c r="N20" s="4">
        <f t="shared" si="8"/>
        <v>5.6262</v>
      </c>
      <c r="O20" s="4">
        <f t="shared" si="9"/>
        <v>11.3</v>
      </c>
      <c r="P20" s="4">
        <f t="shared" si="10"/>
        <v>19.7</v>
      </c>
    </row>
    <row r="21" ht="15.75" customHeight="1">
      <c r="A21" s="7">
        <v>1983.0</v>
      </c>
      <c r="B21" s="4">
        <v>171.0</v>
      </c>
      <c r="C21" s="4">
        <v>11.5</v>
      </c>
      <c r="D21" s="4">
        <v>19.6</v>
      </c>
      <c r="E21" s="4">
        <f t="shared" si="1"/>
        <v>1</v>
      </c>
      <c r="F21" s="4">
        <f t="shared" si="2"/>
        <v>1</v>
      </c>
      <c r="G21" s="4">
        <f t="shared" si="3"/>
        <v>14.146</v>
      </c>
      <c r="H21" s="4">
        <f t="shared" si="4"/>
        <v>18.138</v>
      </c>
      <c r="I21" s="4">
        <f t="shared" si="5"/>
        <v>3.992</v>
      </c>
      <c r="J21" s="4">
        <v>0.7</v>
      </c>
      <c r="K21" s="4">
        <v>15.9</v>
      </c>
      <c r="L21" s="4">
        <f t="shared" si="6"/>
        <v>8</v>
      </c>
      <c r="M21" s="4">
        <f t="shared" si="7"/>
        <v>1</v>
      </c>
      <c r="N21" s="4">
        <f t="shared" si="8"/>
        <v>8.6309</v>
      </c>
      <c r="O21" s="4">
        <f t="shared" si="9"/>
        <v>0.7</v>
      </c>
      <c r="P21" s="4">
        <f t="shared" si="10"/>
        <v>15.9</v>
      </c>
    </row>
    <row r="22" ht="15.75" customHeight="1">
      <c r="A22" s="7">
        <v>1983.0</v>
      </c>
      <c r="B22" s="4">
        <v>172.0</v>
      </c>
      <c r="C22" s="4">
        <v>3.6</v>
      </c>
      <c r="D22" s="4">
        <v>13.9</v>
      </c>
      <c r="E22" s="4">
        <f t="shared" si="1"/>
        <v>1</v>
      </c>
      <c r="F22" s="4">
        <f t="shared" si="2"/>
        <v>1</v>
      </c>
      <c r="G22" s="4">
        <f t="shared" si="3"/>
        <v>9.937</v>
      </c>
      <c r="H22" s="4">
        <f t="shared" si="4"/>
        <v>14.8575</v>
      </c>
      <c r="I22" s="4">
        <f t="shared" si="5"/>
        <v>4.9205</v>
      </c>
      <c r="J22" s="4">
        <v>6.0</v>
      </c>
      <c r="K22" s="4">
        <v>9.6</v>
      </c>
      <c r="L22" s="4">
        <f t="shared" si="6"/>
        <v>8</v>
      </c>
      <c r="M22" s="4">
        <f t="shared" si="7"/>
        <v>1</v>
      </c>
      <c r="N22" s="4">
        <f t="shared" si="8"/>
        <v>11.5918</v>
      </c>
      <c r="O22" s="4">
        <f t="shared" si="9"/>
        <v>0</v>
      </c>
      <c r="P22" s="4">
        <f t="shared" si="10"/>
        <v>0</v>
      </c>
    </row>
    <row r="23" ht="15.75" customHeight="1">
      <c r="A23" s="7">
        <v>1983.0</v>
      </c>
      <c r="B23" s="4">
        <v>173.0</v>
      </c>
      <c r="C23" s="4">
        <v>2.2</v>
      </c>
      <c r="D23" s="4">
        <v>9.4</v>
      </c>
      <c r="E23" s="4">
        <f t="shared" si="1"/>
        <v>1</v>
      </c>
      <c r="F23" s="4">
        <f t="shared" si="2"/>
        <v>1</v>
      </c>
      <c r="G23" s="4">
        <f t="shared" si="3"/>
        <v>5.874</v>
      </c>
      <c r="H23" s="4">
        <f t="shared" si="4"/>
        <v>12.114</v>
      </c>
      <c r="I23" s="4">
        <f t="shared" si="5"/>
        <v>6.24</v>
      </c>
      <c r="J23" s="4">
        <v>7.0</v>
      </c>
      <c r="K23" s="4">
        <v>5.7</v>
      </c>
      <c r="L23" s="4">
        <f t="shared" si="6"/>
        <v>8</v>
      </c>
      <c r="M23" s="4">
        <f t="shared" si="7"/>
        <v>1</v>
      </c>
      <c r="N23" s="4">
        <f t="shared" si="8"/>
        <v>11.3466</v>
      </c>
      <c r="O23" s="4">
        <f t="shared" si="9"/>
        <v>0</v>
      </c>
      <c r="P23" s="4">
        <f t="shared" si="10"/>
        <v>0</v>
      </c>
    </row>
    <row r="24" ht="15.75" customHeight="1">
      <c r="A24" s="7">
        <v>1983.0</v>
      </c>
      <c r="B24" s="4">
        <v>174.0</v>
      </c>
      <c r="C24" s="4">
        <v>2.8</v>
      </c>
      <c r="D24" s="4">
        <v>7.0</v>
      </c>
      <c r="E24" s="4">
        <f t="shared" si="1"/>
        <v>1</v>
      </c>
      <c r="F24" s="4">
        <f t="shared" si="2"/>
        <v>1</v>
      </c>
      <c r="G24" s="4">
        <f t="shared" si="3"/>
        <v>11.627</v>
      </c>
      <c r="H24" s="4">
        <f t="shared" si="4"/>
        <v>15.3015</v>
      </c>
      <c r="I24" s="4">
        <f t="shared" si="5"/>
        <v>3.6745</v>
      </c>
      <c r="J24" s="4">
        <v>9.3</v>
      </c>
      <c r="K24" s="4">
        <v>5.1</v>
      </c>
      <c r="L24" s="4">
        <f t="shared" si="6"/>
        <v>8</v>
      </c>
      <c r="M24" s="4">
        <f t="shared" si="7"/>
        <v>1</v>
      </c>
      <c r="N24" s="4">
        <f t="shared" si="8"/>
        <v>11.494</v>
      </c>
      <c r="O24" s="4">
        <f t="shared" si="9"/>
        <v>0</v>
      </c>
      <c r="P24" s="4">
        <f t="shared" si="10"/>
        <v>0</v>
      </c>
    </row>
    <row r="25" ht="15.75" customHeight="1">
      <c r="A25" s="7">
        <v>1983.0</v>
      </c>
      <c r="B25" s="4">
        <v>175.0</v>
      </c>
      <c r="C25" s="4">
        <v>1.1</v>
      </c>
      <c r="D25" s="4">
        <v>11.2</v>
      </c>
      <c r="E25" s="4">
        <f t="shared" si="1"/>
        <v>1</v>
      </c>
      <c r="F25" s="4">
        <f t="shared" si="2"/>
        <v>1</v>
      </c>
      <c r="G25" s="4">
        <f t="shared" si="3"/>
        <v>15.511</v>
      </c>
      <c r="H25" s="4">
        <f t="shared" si="4"/>
        <v>18.0065</v>
      </c>
      <c r="I25" s="4">
        <f t="shared" si="5"/>
        <v>2.4955</v>
      </c>
      <c r="J25" s="4">
        <v>9.3</v>
      </c>
      <c r="K25" s="4">
        <v>5.8</v>
      </c>
      <c r="L25" s="4">
        <f t="shared" si="6"/>
        <v>8</v>
      </c>
      <c r="M25" s="4">
        <f t="shared" si="7"/>
        <v>1</v>
      </c>
      <c r="N25" s="4">
        <f t="shared" si="8"/>
        <v>11.8055</v>
      </c>
      <c r="O25" s="4">
        <f t="shared" si="9"/>
        <v>0</v>
      </c>
      <c r="P25" s="4">
        <f t="shared" si="10"/>
        <v>0</v>
      </c>
    </row>
    <row r="26" ht="15.75" customHeight="1">
      <c r="A26" s="7">
        <v>1983.0</v>
      </c>
      <c r="B26" s="4">
        <v>176.0</v>
      </c>
      <c r="C26" s="4">
        <v>2.4</v>
      </c>
      <c r="D26" s="4">
        <v>16.9</v>
      </c>
      <c r="E26" s="4">
        <f t="shared" si="1"/>
        <v>1</v>
      </c>
      <c r="F26" s="4">
        <f t="shared" si="2"/>
        <v>1</v>
      </c>
      <c r="G26" s="4">
        <f t="shared" si="3"/>
        <v>22</v>
      </c>
      <c r="H26" s="4">
        <f t="shared" si="4"/>
        <v>22.4985</v>
      </c>
      <c r="I26" s="4">
        <f t="shared" si="5"/>
        <v>0.4985</v>
      </c>
      <c r="J26" s="4">
        <v>0.3</v>
      </c>
      <c r="K26" s="4">
        <v>10.8</v>
      </c>
      <c r="L26" s="4">
        <f t="shared" si="6"/>
        <v>8</v>
      </c>
      <c r="M26" s="4">
        <f t="shared" si="7"/>
        <v>1</v>
      </c>
      <c r="N26" s="4">
        <f t="shared" si="8"/>
        <v>4.047</v>
      </c>
      <c r="O26" s="4">
        <f t="shared" si="9"/>
        <v>0.3</v>
      </c>
      <c r="P26" s="4">
        <f t="shared" si="10"/>
        <v>10.8</v>
      </c>
    </row>
    <row r="27" ht="15.75" customHeight="1">
      <c r="A27" s="7">
        <v>1983.0</v>
      </c>
      <c r="B27" s="4">
        <v>177.0</v>
      </c>
      <c r="C27" s="4">
        <v>5.7</v>
      </c>
      <c r="D27" s="4">
        <v>13.0</v>
      </c>
      <c r="E27" s="4">
        <f t="shared" si="1"/>
        <v>1</v>
      </c>
      <c r="F27" s="4">
        <f t="shared" si="2"/>
        <v>1</v>
      </c>
      <c r="G27" s="4">
        <f t="shared" si="3"/>
        <v>20.452</v>
      </c>
      <c r="H27" s="4">
        <f t="shared" si="4"/>
        <v>21.6055</v>
      </c>
      <c r="I27" s="4">
        <f t="shared" si="5"/>
        <v>1.1535</v>
      </c>
      <c r="J27" s="4">
        <v>4.4</v>
      </c>
      <c r="K27" s="4">
        <v>11.0</v>
      </c>
      <c r="L27" s="4">
        <f t="shared" si="6"/>
        <v>8</v>
      </c>
      <c r="M27" s="4">
        <f t="shared" si="7"/>
        <v>0</v>
      </c>
      <c r="N27" s="4">
        <f t="shared" si="8"/>
        <v>-3.2938</v>
      </c>
      <c r="O27" s="4">
        <f t="shared" si="9"/>
        <v>4.4</v>
      </c>
      <c r="P27" s="4">
        <f t="shared" si="10"/>
        <v>11</v>
      </c>
    </row>
    <row r="28" ht="15.75" customHeight="1">
      <c r="A28" s="7">
        <v>1983.0</v>
      </c>
      <c r="B28" s="4">
        <v>178.0</v>
      </c>
      <c r="C28" s="4">
        <v>3.5</v>
      </c>
      <c r="D28" s="4">
        <v>19.5</v>
      </c>
      <c r="E28" s="4">
        <f t="shared" si="1"/>
        <v>0</v>
      </c>
      <c r="F28" s="4">
        <f t="shared" si="2"/>
        <v>0</v>
      </c>
      <c r="G28" s="4">
        <f t="shared" si="3"/>
        <v>24.189</v>
      </c>
      <c r="H28" s="4">
        <f t="shared" si="4"/>
        <v>20.923</v>
      </c>
      <c r="I28" s="4" t="str">
        <f t="shared" si="5"/>
        <v> </v>
      </c>
      <c r="K28" s="4">
        <v>13.0</v>
      </c>
      <c r="L28" s="4">
        <f t="shared" si="6"/>
        <v>3</v>
      </c>
      <c r="M28" s="4">
        <f t="shared" si="7"/>
        <v>0</v>
      </c>
      <c r="N28" s="4">
        <f t="shared" si="8"/>
        <v>-7.5901</v>
      </c>
      <c r="O28" s="4" t="str">
        <f t="shared" si="9"/>
        <v/>
      </c>
      <c r="P28" s="4">
        <f t="shared" si="10"/>
        <v>13</v>
      </c>
    </row>
    <row r="29" ht="15.75" customHeight="1">
      <c r="A29" s="7">
        <v>1983.0</v>
      </c>
      <c r="B29" s="4">
        <v>179.0</v>
      </c>
      <c r="C29" s="4">
        <v>6.9</v>
      </c>
      <c r="D29" s="4">
        <v>21.2</v>
      </c>
      <c r="E29" s="4">
        <f t="shared" si="1"/>
        <v>0</v>
      </c>
      <c r="F29" s="4">
        <f t="shared" si="2"/>
        <v>0</v>
      </c>
      <c r="G29" s="4">
        <f t="shared" si="3"/>
        <v>29.284</v>
      </c>
      <c r="H29" s="4">
        <f t="shared" si="4"/>
        <v>25.6065</v>
      </c>
      <c r="I29" s="4" t="str">
        <f t="shared" si="5"/>
        <v> </v>
      </c>
      <c r="K29" s="4">
        <v>15.6</v>
      </c>
      <c r="L29" s="4">
        <f t="shared" si="6"/>
        <v>3</v>
      </c>
      <c r="M29" s="4">
        <f t="shared" si="7"/>
        <v>0</v>
      </c>
      <c r="N29" s="4">
        <f t="shared" si="8"/>
        <v>-0.6081</v>
      </c>
      <c r="O29" s="4" t="str">
        <f t="shared" si="9"/>
        <v/>
      </c>
      <c r="P29" s="4">
        <f t="shared" si="10"/>
        <v>15.6</v>
      </c>
    </row>
    <row r="30" ht="15.75" customHeight="1">
      <c r="A30" s="7">
        <v>1983.0</v>
      </c>
      <c r="B30" s="4">
        <v>180.0</v>
      </c>
      <c r="C30" s="4">
        <v>9.9</v>
      </c>
      <c r="D30" s="4">
        <v>23.8</v>
      </c>
      <c r="E30" s="4">
        <f t="shared" si="1"/>
        <v>0</v>
      </c>
      <c r="F30" s="4">
        <f t="shared" si="2"/>
        <v>0</v>
      </c>
      <c r="G30" s="4">
        <f t="shared" si="3"/>
        <v>32.304</v>
      </c>
      <c r="H30" s="4">
        <f t="shared" si="4"/>
        <v>29.559</v>
      </c>
      <c r="I30" s="4" t="str">
        <f t="shared" si="5"/>
        <v> </v>
      </c>
      <c r="K30" s="4">
        <v>18.4</v>
      </c>
      <c r="L30" s="4">
        <f t="shared" si="6"/>
        <v>3</v>
      </c>
      <c r="M30" s="4">
        <f t="shared" si="7"/>
        <v>1</v>
      </c>
      <c r="N30" s="4">
        <f t="shared" si="8"/>
        <v>3.3733</v>
      </c>
      <c r="O30" s="4" t="str">
        <f t="shared" si="9"/>
        <v/>
      </c>
      <c r="P30" s="4">
        <f t="shared" si="10"/>
        <v>18.4</v>
      </c>
    </row>
    <row r="31" ht="15.75" customHeight="1">
      <c r="A31" s="7">
        <v>1983.0</v>
      </c>
      <c r="B31" s="4">
        <v>181.0</v>
      </c>
      <c r="C31" s="4">
        <v>15.4</v>
      </c>
      <c r="D31" s="4">
        <v>21.0</v>
      </c>
      <c r="E31" s="4">
        <f t="shared" si="1"/>
        <v>1</v>
      </c>
      <c r="F31" s="4">
        <f t="shared" si="2"/>
        <v>0</v>
      </c>
      <c r="G31" s="4">
        <f t="shared" si="3"/>
        <v>33.252</v>
      </c>
      <c r="H31" s="4">
        <f t="shared" si="4"/>
        <v>31.117</v>
      </c>
      <c r="I31" s="4" t="str">
        <f t="shared" si="5"/>
        <v> </v>
      </c>
      <c r="J31" s="4">
        <v>0.8</v>
      </c>
      <c r="K31" s="4">
        <v>17.7</v>
      </c>
      <c r="L31" s="4">
        <f t="shared" si="6"/>
        <v>8</v>
      </c>
      <c r="M31" s="4">
        <f t="shared" si="7"/>
        <v>0</v>
      </c>
      <c r="N31" s="4">
        <f t="shared" si="8"/>
        <v>-1.8115</v>
      </c>
      <c r="O31" s="4">
        <f t="shared" si="9"/>
        <v>0.8</v>
      </c>
      <c r="P31" s="4">
        <f t="shared" si="10"/>
        <v>17.7</v>
      </c>
    </row>
    <row r="32" ht="15.75" customHeight="1">
      <c r="A32" s="7">
        <v>1983.0</v>
      </c>
      <c r="B32" s="4">
        <v>182.0</v>
      </c>
      <c r="C32" s="4">
        <v>15.9</v>
      </c>
      <c r="D32" s="4">
        <v>21.7</v>
      </c>
      <c r="E32" s="4">
        <f t="shared" si="1"/>
        <v>0</v>
      </c>
      <c r="F32" s="4">
        <f t="shared" si="2"/>
        <v>0</v>
      </c>
      <c r="G32" s="4">
        <f t="shared" si="3"/>
        <v>31.536</v>
      </c>
      <c r="H32" s="4">
        <f t="shared" si="4"/>
        <v>29.5615</v>
      </c>
      <c r="I32" s="4" t="str">
        <f t="shared" si="5"/>
        <v> </v>
      </c>
      <c r="K32" s="4">
        <v>18.6</v>
      </c>
      <c r="L32" s="4">
        <f t="shared" si="6"/>
        <v>3</v>
      </c>
      <c r="M32" s="4">
        <f t="shared" si="7"/>
        <v>0</v>
      </c>
      <c r="N32" s="4">
        <f t="shared" si="8"/>
        <v>-3.6329</v>
      </c>
      <c r="O32" s="4" t="str">
        <f t="shared" si="9"/>
        <v/>
      </c>
      <c r="P32" s="4">
        <f t="shared" si="10"/>
        <v>18.6</v>
      </c>
    </row>
    <row r="33" ht="15.75" customHeight="1">
      <c r="A33" s="7">
        <v>1983.0</v>
      </c>
      <c r="B33" s="4">
        <v>183.0</v>
      </c>
      <c r="C33" s="4">
        <v>17.0</v>
      </c>
      <c r="D33" s="4">
        <v>26.5</v>
      </c>
      <c r="E33" s="4">
        <f t="shared" si="1"/>
        <v>0</v>
      </c>
      <c r="F33" s="4">
        <f t="shared" si="2"/>
        <v>0</v>
      </c>
      <c r="G33" s="4">
        <f t="shared" si="3"/>
        <v>30.771</v>
      </c>
      <c r="H33" s="4">
        <f t="shared" si="4"/>
        <v>29.599</v>
      </c>
      <c r="I33" s="4" t="str">
        <f t="shared" si="5"/>
        <v> </v>
      </c>
      <c r="K33" s="4">
        <v>21.1</v>
      </c>
      <c r="L33" s="4">
        <f t="shared" si="6"/>
        <v>3</v>
      </c>
      <c r="M33" s="4">
        <f t="shared" si="7"/>
        <v>1</v>
      </c>
      <c r="N33" s="4">
        <f t="shared" si="8"/>
        <v>1.0482</v>
      </c>
      <c r="O33" s="4" t="str">
        <f t="shared" si="9"/>
        <v/>
      </c>
      <c r="P33" s="4">
        <f t="shared" si="10"/>
        <v>21.1</v>
      </c>
    </row>
    <row r="34" ht="15.75" customHeight="1">
      <c r="A34" s="7">
        <v>1983.0</v>
      </c>
      <c r="B34" s="4">
        <v>184.0</v>
      </c>
      <c r="C34" s="4">
        <v>14.4</v>
      </c>
      <c r="D34" s="4">
        <v>26.0</v>
      </c>
      <c r="E34" s="4">
        <f t="shared" si="1"/>
        <v>1</v>
      </c>
      <c r="F34" s="4">
        <f t="shared" si="2"/>
        <v>1</v>
      </c>
      <c r="G34" s="4">
        <f t="shared" si="3"/>
        <v>32.218</v>
      </c>
      <c r="H34" s="4">
        <f t="shared" si="4"/>
        <v>33.1765</v>
      </c>
      <c r="I34" s="4">
        <f t="shared" si="5"/>
        <v>0.9585</v>
      </c>
      <c r="J34" s="4">
        <v>2.0</v>
      </c>
      <c r="K34" s="4">
        <v>19.3</v>
      </c>
      <c r="L34" s="4">
        <f t="shared" si="6"/>
        <v>8</v>
      </c>
      <c r="M34" s="4">
        <f t="shared" si="7"/>
        <v>0</v>
      </c>
      <c r="N34" s="4">
        <f t="shared" si="8"/>
        <v>-0.0918</v>
      </c>
      <c r="O34" s="4">
        <f t="shared" si="9"/>
        <v>2</v>
      </c>
      <c r="P34" s="4">
        <f t="shared" si="10"/>
        <v>19.3</v>
      </c>
    </row>
    <row r="35" ht="15.75" customHeight="1">
      <c r="A35" s="7">
        <v>1983.0</v>
      </c>
      <c r="B35" s="4">
        <v>185.0</v>
      </c>
      <c r="C35" s="4">
        <v>14.5</v>
      </c>
      <c r="D35" s="4">
        <v>22.6</v>
      </c>
      <c r="E35" s="4">
        <f t="shared" si="1"/>
        <v>0</v>
      </c>
      <c r="F35" s="4">
        <f t="shared" si="2"/>
        <v>0</v>
      </c>
      <c r="G35" s="4">
        <f t="shared" si="3"/>
        <v>27.341</v>
      </c>
      <c r="H35" s="4">
        <f t="shared" si="4"/>
        <v>27.2695</v>
      </c>
      <c r="I35" s="4" t="str">
        <f t="shared" si="5"/>
        <v> </v>
      </c>
      <c r="K35" s="4">
        <v>17.7</v>
      </c>
      <c r="L35" s="4">
        <f t="shared" si="6"/>
        <v>3</v>
      </c>
      <c r="M35" s="4">
        <f t="shared" si="7"/>
        <v>1</v>
      </c>
      <c r="N35" s="4">
        <f t="shared" si="8"/>
        <v>7.1232</v>
      </c>
      <c r="O35" s="4" t="str">
        <f t="shared" si="9"/>
        <v/>
      </c>
      <c r="P35" s="4">
        <f t="shared" si="10"/>
        <v>17.7</v>
      </c>
    </row>
    <row r="36" ht="15.75" customHeight="1">
      <c r="A36" s="7">
        <v>1983.0</v>
      </c>
      <c r="B36" s="4">
        <v>186.0</v>
      </c>
      <c r="C36" s="4">
        <v>13.0</v>
      </c>
      <c r="D36" s="4">
        <v>20.7</v>
      </c>
      <c r="E36" s="4">
        <f t="shared" si="1"/>
        <v>1</v>
      </c>
      <c r="F36" s="4">
        <f t="shared" si="2"/>
        <v>1</v>
      </c>
      <c r="G36" s="4">
        <f t="shared" si="3"/>
        <v>28.451</v>
      </c>
      <c r="H36" s="4">
        <f t="shared" si="4"/>
        <v>31.3035</v>
      </c>
      <c r="I36" s="4">
        <f t="shared" si="5"/>
        <v>2.8525</v>
      </c>
      <c r="J36" s="4">
        <v>4.7</v>
      </c>
      <c r="K36" s="4">
        <v>16.2</v>
      </c>
      <c r="L36" s="4">
        <f t="shared" si="6"/>
        <v>8</v>
      </c>
      <c r="M36" s="4">
        <f t="shared" si="7"/>
        <v>1</v>
      </c>
      <c r="N36" s="4">
        <f t="shared" si="8"/>
        <v>12.2208</v>
      </c>
      <c r="O36" s="4">
        <f t="shared" si="9"/>
        <v>4.7</v>
      </c>
      <c r="P36" s="4">
        <f t="shared" si="10"/>
        <v>16.2</v>
      </c>
    </row>
    <row r="37" ht="15.75" customHeight="1">
      <c r="A37" s="7">
        <v>1983.0</v>
      </c>
      <c r="B37" s="4">
        <v>187.0</v>
      </c>
      <c r="C37" s="4">
        <v>12.1</v>
      </c>
      <c r="D37" s="4">
        <v>14.7</v>
      </c>
      <c r="E37" s="4">
        <f t="shared" si="1"/>
        <v>1</v>
      </c>
      <c r="F37" s="4">
        <f t="shared" si="2"/>
        <v>1</v>
      </c>
      <c r="G37" s="4">
        <f t="shared" si="3"/>
        <v>25.882</v>
      </c>
      <c r="H37" s="4">
        <f t="shared" si="4"/>
        <v>28.281</v>
      </c>
      <c r="I37" s="4">
        <f t="shared" si="5"/>
        <v>2.399</v>
      </c>
      <c r="J37" s="4">
        <v>10.2</v>
      </c>
      <c r="K37" s="4">
        <v>13.5</v>
      </c>
      <c r="L37" s="4">
        <f t="shared" si="6"/>
        <v>8</v>
      </c>
      <c r="M37" s="4">
        <f t="shared" si="7"/>
        <v>1</v>
      </c>
      <c r="N37" s="4">
        <f t="shared" si="8"/>
        <v>11.6243</v>
      </c>
      <c r="O37" s="4">
        <f t="shared" si="9"/>
        <v>10.2</v>
      </c>
      <c r="P37" s="4">
        <f t="shared" si="10"/>
        <v>13.5</v>
      </c>
    </row>
    <row r="38" ht="15.75" customHeight="1">
      <c r="A38" s="7">
        <v>1983.0</v>
      </c>
      <c r="B38" s="4">
        <v>188.0</v>
      </c>
      <c r="C38" s="4">
        <v>12.7</v>
      </c>
      <c r="D38" s="4">
        <v>19.2</v>
      </c>
      <c r="E38" s="4">
        <f t="shared" si="1"/>
        <v>1</v>
      </c>
      <c r="F38" s="4">
        <f t="shared" si="2"/>
        <v>1</v>
      </c>
      <c r="G38" s="4">
        <f t="shared" si="3"/>
        <v>32.015</v>
      </c>
      <c r="H38" s="4">
        <f t="shared" si="4"/>
        <v>33.495</v>
      </c>
      <c r="I38" s="4">
        <f t="shared" si="5"/>
        <v>1.48</v>
      </c>
      <c r="J38" s="4">
        <v>4.8</v>
      </c>
      <c r="K38" s="4">
        <v>15.6</v>
      </c>
      <c r="L38" s="4">
        <f t="shared" si="6"/>
        <v>8</v>
      </c>
      <c r="M38" s="4">
        <f t="shared" si="7"/>
        <v>1</v>
      </c>
      <c r="N38" s="4">
        <f t="shared" si="8"/>
        <v>10.0079</v>
      </c>
      <c r="O38" s="4">
        <f t="shared" si="9"/>
        <v>4.8</v>
      </c>
      <c r="P38" s="4">
        <f t="shared" si="10"/>
        <v>15.6</v>
      </c>
    </row>
    <row r="39" ht="15.75" customHeight="1">
      <c r="A39" s="7">
        <v>1983.0</v>
      </c>
      <c r="B39" s="4">
        <v>189.0</v>
      </c>
      <c r="C39" s="4">
        <v>11.3</v>
      </c>
      <c r="D39" s="4">
        <v>19.6</v>
      </c>
      <c r="E39" s="4">
        <f t="shared" si="1"/>
        <v>1</v>
      </c>
      <c r="F39" s="4">
        <f t="shared" si="2"/>
        <v>0</v>
      </c>
      <c r="G39" s="4">
        <f t="shared" si="3"/>
        <v>33.453</v>
      </c>
      <c r="H39" s="4">
        <f t="shared" si="4"/>
        <v>32.952</v>
      </c>
      <c r="I39" s="4" t="str">
        <f t="shared" si="5"/>
        <v> </v>
      </c>
      <c r="J39" s="4">
        <v>4.9</v>
      </c>
      <c r="K39" s="4">
        <v>14.1</v>
      </c>
      <c r="L39" s="4">
        <f t="shared" si="6"/>
        <v>8</v>
      </c>
      <c r="M39" s="4">
        <f t="shared" si="7"/>
        <v>1</v>
      </c>
      <c r="N39" s="4">
        <f t="shared" si="8"/>
        <v>7.8194</v>
      </c>
      <c r="O39" s="4">
        <f t="shared" si="9"/>
        <v>4.9</v>
      </c>
      <c r="P39" s="4">
        <f t="shared" si="10"/>
        <v>14.1</v>
      </c>
    </row>
    <row r="40" ht="15.75" customHeight="1">
      <c r="A40" s="7">
        <v>1983.0</v>
      </c>
      <c r="B40" s="4">
        <v>190.0</v>
      </c>
      <c r="C40" s="4">
        <v>10.2</v>
      </c>
      <c r="D40" s="4">
        <v>20.6</v>
      </c>
      <c r="E40" s="4">
        <f t="shared" si="1"/>
        <v>1</v>
      </c>
      <c r="F40" s="4">
        <f t="shared" si="2"/>
        <v>1</v>
      </c>
      <c r="G40" s="4">
        <f t="shared" si="3"/>
        <v>34.977</v>
      </c>
      <c r="H40" s="4">
        <f t="shared" si="4"/>
        <v>35.2295</v>
      </c>
      <c r="I40" s="4">
        <f t="shared" si="5"/>
        <v>0.2525</v>
      </c>
      <c r="J40" s="4">
        <v>0.8</v>
      </c>
      <c r="K40" s="4">
        <v>15.6</v>
      </c>
      <c r="L40" s="4">
        <f t="shared" si="6"/>
        <v>8</v>
      </c>
      <c r="M40" s="4">
        <f t="shared" si="7"/>
        <v>1</v>
      </c>
      <c r="N40" s="4">
        <f t="shared" si="8"/>
        <v>0.3226</v>
      </c>
      <c r="O40" s="4">
        <f t="shared" si="9"/>
        <v>0.8</v>
      </c>
      <c r="P40" s="4">
        <f t="shared" si="10"/>
        <v>15.6</v>
      </c>
    </row>
    <row r="41" ht="15.75" customHeight="1">
      <c r="A41" s="7">
        <v>1983.0</v>
      </c>
      <c r="B41" s="4">
        <v>191.0</v>
      </c>
      <c r="C41" s="4">
        <v>14.2</v>
      </c>
      <c r="D41" s="4">
        <v>21.0</v>
      </c>
      <c r="E41" s="4">
        <f t="shared" si="1"/>
        <v>0</v>
      </c>
      <c r="F41" s="4">
        <f t="shared" si="2"/>
        <v>0</v>
      </c>
      <c r="G41" s="4">
        <f t="shared" si="3"/>
        <v>36.786</v>
      </c>
      <c r="H41" s="4">
        <f t="shared" si="4"/>
        <v>35.346</v>
      </c>
      <c r="I41" s="4" t="str">
        <f t="shared" si="5"/>
        <v> </v>
      </c>
      <c r="K41" s="4">
        <v>17.4</v>
      </c>
      <c r="L41" s="4">
        <f t="shared" si="6"/>
        <v>3</v>
      </c>
      <c r="M41" s="4">
        <f t="shared" si="7"/>
        <v>1</v>
      </c>
      <c r="N41" s="4">
        <f t="shared" si="8"/>
        <v>2.1875</v>
      </c>
      <c r="O41" s="4" t="str">
        <f t="shared" si="9"/>
        <v/>
      </c>
      <c r="P41" s="4">
        <f t="shared" si="10"/>
        <v>17.4</v>
      </c>
    </row>
    <row r="42" ht="15.75" customHeight="1">
      <c r="A42" s="7">
        <v>1983.0</v>
      </c>
      <c r="B42" s="4">
        <v>192.0</v>
      </c>
      <c r="C42" s="4">
        <v>12.0</v>
      </c>
      <c r="D42" s="4">
        <v>24.6</v>
      </c>
      <c r="E42" s="4">
        <f t="shared" si="1"/>
        <v>1</v>
      </c>
      <c r="F42" s="4">
        <f t="shared" si="2"/>
        <v>0</v>
      </c>
      <c r="G42" s="4">
        <f t="shared" si="3"/>
        <v>40.904</v>
      </c>
      <c r="H42" s="4">
        <f t="shared" si="4"/>
        <v>39.705</v>
      </c>
      <c r="I42" s="4" t="str">
        <f t="shared" si="5"/>
        <v> </v>
      </c>
      <c r="J42" s="4">
        <v>3.2</v>
      </c>
      <c r="K42" s="4">
        <v>18.5</v>
      </c>
      <c r="L42" s="4">
        <f t="shared" si="6"/>
        <v>8</v>
      </c>
      <c r="M42" s="4">
        <f t="shared" si="7"/>
        <v>1</v>
      </c>
      <c r="N42" s="4">
        <f t="shared" si="8"/>
        <v>0.3415</v>
      </c>
      <c r="O42" s="4">
        <f t="shared" si="9"/>
        <v>3.2</v>
      </c>
      <c r="P42" s="4">
        <f t="shared" si="10"/>
        <v>18.5</v>
      </c>
    </row>
    <row r="43" ht="15.75" customHeight="1">
      <c r="A43" s="7">
        <v>1983.0</v>
      </c>
      <c r="B43" s="4">
        <v>193.0</v>
      </c>
      <c r="C43" s="4">
        <v>14.1</v>
      </c>
      <c r="D43" s="4">
        <v>26.5</v>
      </c>
      <c r="E43" s="4">
        <f t="shared" si="1"/>
        <v>0</v>
      </c>
      <c r="F43" s="4">
        <f t="shared" si="2"/>
        <v>0</v>
      </c>
      <c r="G43" s="4">
        <f t="shared" si="3"/>
        <v>40.049</v>
      </c>
      <c r="H43" s="4">
        <f t="shared" si="4"/>
        <v>36.692</v>
      </c>
      <c r="I43" s="4" t="str">
        <f t="shared" si="5"/>
        <v> </v>
      </c>
      <c r="K43" s="4">
        <v>20.6</v>
      </c>
      <c r="L43" s="4">
        <f t="shared" si="6"/>
        <v>3</v>
      </c>
      <c r="M43" s="4">
        <f t="shared" si="7"/>
        <v>1</v>
      </c>
      <c r="N43" s="4">
        <f t="shared" si="8"/>
        <v>4.7946</v>
      </c>
      <c r="O43" s="4" t="str">
        <f t="shared" si="9"/>
        <v/>
      </c>
      <c r="P43" s="4">
        <f t="shared" si="10"/>
        <v>20.6</v>
      </c>
    </row>
    <row r="44" ht="15.75" customHeight="1">
      <c r="A44" s="7">
        <v>1983.0</v>
      </c>
      <c r="B44" s="4">
        <v>194.0</v>
      </c>
      <c r="C44" s="4">
        <v>15.4</v>
      </c>
      <c r="D44" s="4">
        <v>26.5</v>
      </c>
      <c r="E44" s="4">
        <f t="shared" si="1"/>
        <v>1</v>
      </c>
      <c r="F44" s="4">
        <f t="shared" si="2"/>
        <v>0</v>
      </c>
      <c r="G44" s="4">
        <f t="shared" si="3"/>
        <v>39.091</v>
      </c>
      <c r="H44" s="4">
        <f t="shared" si="4"/>
        <v>38.66</v>
      </c>
      <c r="I44" s="4" t="str">
        <f t="shared" si="5"/>
        <v> </v>
      </c>
      <c r="J44" s="4">
        <v>9.1</v>
      </c>
      <c r="K44" s="4">
        <v>19.8</v>
      </c>
      <c r="L44" s="4">
        <f t="shared" si="6"/>
        <v>8</v>
      </c>
      <c r="M44" s="4">
        <f t="shared" si="7"/>
        <v>1</v>
      </c>
      <c r="N44" s="4">
        <f t="shared" si="8"/>
        <v>5.2543</v>
      </c>
      <c r="O44" s="4">
        <f t="shared" si="9"/>
        <v>9.1</v>
      </c>
      <c r="P44" s="4">
        <f t="shared" si="10"/>
        <v>19.8</v>
      </c>
    </row>
    <row r="45" ht="15.75" customHeight="1">
      <c r="A45" s="7">
        <v>1983.0</v>
      </c>
      <c r="B45" s="4">
        <v>195.0</v>
      </c>
      <c r="C45" s="4">
        <v>14.2</v>
      </c>
      <c r="D45" s="4">
        <v>25.5</v>
      </c>
      <c r="E45" s="4">
        <f t="shared" si="1"/>
        <v>1</v>
      </c>
      <c r="F45" s="4">
        <f t="shared" si="2"/>
        <v>0</v>
      </c>
      <c r="G45" s="4">
        <f t="shared" si="3"/>
        <v>35.132</v>
      </c>
      <c r="H45" s="4">
        <f t="shared" si="4"/>
        <v>32.2705</v>
      </c>
      <c r="I45" s="4" t="str">
        <f t="shared" si="5"/>
        <v> </v>
      </c>
      <c r="J45" s="4">
        <v>4.7</v>
      </c>
      <c r="K45" s="4">
        <v>20.0</v>
      </c>
      <c r="L45" s="4">
        <f t="shared" si="6"/>
        <v>8</v>
      </c>
      <c r="M45" s="4">
        <f t="shared" si="7"/>
        <v>0</v>
      </c>
      <c r="N45" s="4">
        <f t="shared" si="8"/>
        <v>-5.2564</v>
      </c>
      <c r="O45" s="4">
        <f t="shared" si="9"/>
        <v>4.7</v>
      </c>
      <c r="P45" s="4">
        <f t="shared" si="10"/>
        <v>20</v>
      </c>
    </row>
    <row r="46" ht="15.75" customHeight="1">
      <c r="A46" s="7">
        <v>1983.0</v>
      </c>
      <c r="B46" s="4">
        <v>196.0</v>
      </c>
      <c r="C46" s="4">
        <v>15.8</v>
      </c>
      <c r="D46" s="4">
        <v>25.0</v>
      </c>
      <c r="E46" s="4">
        <f t="shared" si="1"/>
        <v>0</v>
      </c>
      <c r="F46" s="4">
        <f t="shared" si="2"/>
        <v>0</v>
      </c>
      <c r="G46" s="4">
        <f t="shared" si="3"/>
        <v>33.001</v>
      </c>
      <c r="H46" s="4">
        <f t="shared" si="4"/>
        <v>28.6005</v>
      </c>
      <c r="I46" s="4" t="str">
        <f t="shared" si="5"/>
        <v> </v>
      </c>
      <c r="K46" s="4">
        <v>19.6</v>
      </c>
      <c r="L46" s="4">
        <f t="shared" si="6"/>
        <v>3</v>
      </c>
      <c r="M46" s="4">
        <f t="shared" si="7"/>
        <v>0</v>
      </c>
      <c r="N46" s="4">
        <f t="shared" si="8"/>
        <v>-3.5856</v>
      </c>
      <c r="O46" s="4" t="str">
        <f t="shared" si="9"/>
        <v/>
      </c>
      <c r="P46" s="4">
        <f t="shared" si="10"/>
        <v>19.6</v>
      </c>
    </row>
    <row r="47" ht="15.75" customHeight="1">
      <c r="A47" s="7">
        <v>1983.0</v>
      </c>
      <c r="B47" s="4">
        <v>197.0</v>
      </c>
      <c r="C47" s="4">
        <v>13.8</v>
      </c>
      <c r="D47" s="4">
        <v>25.2</v>
      </c>
      <c r="E47" s="4">
        <f t="shared" si="1"/>
        <v>0</v>
      </c>
      <c r="F47" s="4">
        <f t="shared" si="2"/>
        <v>0</v>
      </c>
      <c r="G47" s="4">
        <f t="shared" si="3"/>
        <v>32.58</v>
      </c>
      <c r="H47" s="4">
        <f t="shared" si="4"/>
        <v>31.1795</v>
      </c>
      <c r="I47" s="4" t="str">
        <f t="shared" si="5"/>
        <v> </v>
      </c>
      <c r="K47" s="4">
        <v>19.9</v>
      </c>
      <c r="L47" s="4">
        <f t="shared" si="6"/>
        <v>3</v>
      </c>
      <c r="M47" s="4">
        <f t="shared" si="7"/>
        <v>1</v>
      </c>
      <c r="N47" s="4">
        <f t="shared" si="8"/>
        <v>0.1881</v>
      </c>
      <c r="O47" s="4" t="str">
        <f t="shared" si="9"/>
        <v/>
      </c>
      <c r="P47" s="4">
        <f t="shared" si="10"/>
        <v>19.9</v>
      </c>
    </row>
    <row r="48" ht="15.75" customHeight="1">
      <c r="A48" s="7">
        <v>1983.0</v>
      </c>
      <c r="B48" s="4">
        <v>198.0</v>
      </c>
      <c r="C48" s="4">
        <v>13.7</v>
      </c>
      <c r="D48" s="4">
        <v>22.6</v>
      </c>
      <c r="E48" s="4">
        <f t="shared" si="1"/>
        <v>1</v>
      </c>
      <c r="F48" s="4">
        <f t="shared" si="2"/>
        <v>0</v>
      </c>
      <c r="G48" s="4">
        <f t="shared" si="3"/>
        <v>31.611</v>
      </c>
      <c r="H48" s="4">
        <f t="shared" si="4"/>
        <v>29.035</v>
      </c>
      <c r="I48" s="4" t="str">
        <f t="shared" si="5"/>
        <v> </v>
      </c>
      <c r="J48" s="4">
        <v>18.3</v>
      </c>
      <c r="K48" s="4">
        <v>17.7</v>
      </c>
      <c r="L48" s="4">
        <f t="shared" si="6"/>
        <v>8</v>
      </c>
      <c r="M48" s="4">
        <f t="shared" si="7"/>
        <v>0</v>
      </c>
      <c r="N48" s="4">
        <f t="shared" si="8"/>
        <v>-5.7134</v>
      </c>
      <c r="O48" s="4">
        <f t="shared" si="9"/>
        <v>18.3</v>
      </c>
      <c r="P48" s="4">
        <f t="shared" si="10"/>
        <v>17.7</v>
      </c>
    </row>
    <row r="49" ht="15.75" customHeight="1">
      <c r="A49" s="7">
        <v>1983.0</v>
      </c>
      <c r="B49" s="4">
        <v>199.0</v>
      </c>
      <c r="C49" s="4">
        <v>11.1</v>
      </c>
      <c r="D49" s="4">
        <v>20.6</v>
      </c>
      <c r="E49" s="4">
        <f t="shared" si="1"/>
        <v>0</v>
      </c>
      <c r="F49" s="4">
        <f t="shared" si="2"/>
        <v>0</v>
      </c>
      <c r="G49" s="4">
        <f t="shared" si="3"/>
        <v>23.7</v>
      </c>
      <c r="H49" s="4">
        <f t="shared" si="4"/>
        <v>22.437</v>
      </c>
      <c r="I49" s="4" t="str">
        <f t="shared" si="5"/>
        <v> </v>
      </c>
      <c r="K49" s="4">
        <v>16.0</v>
      </c>
      <c r="L49" s="4">
        <f t="shared" si="6"/>
        <v>3</v>
      </c>
      <c r="M49" s="4">
        <f t="shared" si="7"/>
        <v>0</v>
      </c>
      <c r="N49" s="4">
        <f t="shared" si="8"/>
        <v>-0.9275</v>
      </c>
      <c r="O49" s="4" t="str">
        <f t="shared" si="9"/>
        <v/>
      </c>
      <c r="P49" s="4">
        <f t="shared" si="10"/>
        <v>16</v>
      </c>
    </row>
    <row r="50" ht="15.75" customHeight="1">
      <c r="A50" s="7">
        <v>1983.0</v>
      </c>
      <c r="B50" s="4">
        <v>200.0</v>
      </c>
      <c r="C50" s="4">
        <v>9.1</v>
      </c>
      <c r="D50" s="4">
        <v>23.3</v>
      </c>
      <c r="E50" s="4">
        <f t="shared" si="1"/>
        <v>0</v>
      </c>
      <c r="F50" s="4">
        <f t="shared" si="2"/>
        <v>0</v>
      </c>
      <c r="G50" s="4">
        <f t="shared" si="3"/>
        <v>25.16</v>
      </c>
      <c r="H50" s="4">
        <f t="shared" si="4"/>
        <v>22.892</v>
      </c>
      <c r="I50" s="4" t="str">
        <f t="shared" si="5"/>
        <v> </v>
      </c>
      <c r="K50" s="4">
        <v>17.2</v>
      </c>
      <c r="L50" s="4">
        <f t="shared" si="6"/>
        <v>3</v>
      </c>
      <c r="M50" s="4">
        <f t="shared" si="7"/>
        <v>1</v>
      </c>
      <c r="N50" s="4">
        <f t="shared" si="8"/>
        <v>1.261</v>
      </c>
      <c r="O50" s="4" t="str">
        <f t="shared" si="9"/>
        <v/>
      </c>
      <c r="P50" s="4">
        <f t="shared" si="10"/>
        <v>17.2</v>
      </c>
    </row>
    <row r="51" ht="15.75" customHeight="1">
      <c r="A51" s="7">
        <v>1983.0</v>
      </c>
      <c r="B51" s="4">
        <v>201.0</v>
      </c>
      <c r="C51" s="4">
        <v>14.8</v>
      </c>
      <c r="D51" s="4">
        <v>23.7</v>
      </c>
      <c r="E51" s="4">
        <f t="shared" si="1"/>
        <v>1</v>
      </c>
      <c r="F51" s="4">
        <f t="shared" si="2"/>
        <v>1</v>
      </c>
      <c r="G51" s="4">
        <f t="shared" si="3"/>
        <v>25.576</v>
      </c>
      <c r="H51" s="4">
        <f t="shared" si="4"/>
        <v>26.347</v>
      </c>
      <c r="I51" s="4">
        <f t="shared" si="5"/>
        <v>0.771</v>
      </c>
      <c r="J51" s="4">
        <v>0.6</v>
      </c>
      <c r="K51" s="4">
        <v>18.6</v>
      </c>
      <c r="L51" s="4">
        <f t="shared" si="6"/>
        <v>8</v>
      </c>
      <c r="M51" s="4">
        <f t="shared" si="7"/>
        <v>0</v>
      </c>
      <c r="N51" s="4">
        <f t="shared" si="8"/>
        <v>-0.1602</v>
      </c>
      <c r="O51" s="4">
        <f t="shared" si="9"/>
        <v>0.6</v>
      </c>
      <c r="P51" s="4">
        <f t="shared" si="10"/>
        <v>18.6</v>
      </c>
    </row>
    <row r="52" ht="15.75" customHeight="1">
      <c r="A52" s="7">
        <v>1983.0</v>
      </c>
      <c r="B52" s="4">
        <v>202.0</v>
      </c>
      <c r="C52" s="4">
        <v>12.8</v>
      </c>
      <c r="D52" s="4">
        <v>20.5</v>
      </c>
      <c r="E52" s="4">
        <f t="shared" si="1"/>
        <v>0</v>
      </c>
      <c r="F52" s="4">
        <f t="shared" si="2"/>
        <v>0</v>
      </c>
      <c r="G52" s="4">
        <f t="shared" si="3"/>
        <v>20.964</v>
      </c>
      <c r="H52" s="4">
        <f t="shared" si="4"/>
        <v>18.8185</v>
      </c>
      <c r="I52" s="4" t="str">
        <f t="shared" si="5"/>
        <v> </v>
      </c>
      <c r="K52" s="4">
        <v>16.6</v>
      </c>
      <c r="L52" s="4">
        <f t="shared" si="6"/>
        <v>3</v>
      </c>
      <c r="M52" s="4">
        <f t="shared" si="7"/>
        <v>1</v>
      </c>
      <c r="N52" s="4">
        <f t="shared" si="8"/>
        <v>1.4273</v>
      </c>
      <c r="O52" s="4" t="str">
        <f t="shared" si="9"/>
        <v/>
      </c>
      <c r="P52" s="4">
        <f t="shared" si="10"/>
        <v>16.6</v>
      </c>
    </row>
    <row r="53" ht="15.75" customHeight="1">
      <c r="A53" s="7">
        <v>1983.0</v>
      </c>
      <c r="B53" s="4">
        <v>203.0</v>
      </c>
      <c r="C53" s="4">
        <v>10.2</v>
      </c>
      <c r="D53" s="4">
        <v>16.5</v>
      </c>
      <c r="E53" s="4">
        <f t="shared" si="1"/>
        <v>1</v>
      </c>
      <c r="F53" s="4">
        <f t="shared" si="2"/>
        <v>1</v>
      </c>
      <c r="G53" s="4">
        <f t="shared" si="3"/>
        <v>19.957</v>
      </c>
      <c r="H53" s="4">
        <f t="shared" si="4"/>
        <v>21.333</v>
      </c>
      <c r="I53" s="4">
        <f t="shared" si="5"/>
        <v>1.376</v>
      </c>
      <c r="J53" s="4">
        <v>2.7</v>
      </c>
      <c r="K53" s="4">
        <v>12.5</v>
      </c>
      <c r="L53" s="4">
        <f t="shared" si="6"/>
        <v>8</v>
      </c>
      <c r="M53" s="4">
        <f t="shared" si="7"/>
        <v>1</v>
      </c>
      <c r="N53" s="4">
        <f t="shared" si="8"/>
        <v>3.0302</v>
      </c>
      <c r="O53" s="4">
        <f t="shared" si="9"/>
        <v>2.7</v>
      </c>
      <c r="P53" s="4">
        <f t="shared" si="10"/>
        <v>12.5</v>
      </c>
    </row>
    <row r="54" ht="15.75" customHeight="1">
      <c r="A54" s="7">
        <v>1983.0</v>
      </c>
      <c r="B54" s="4">
        <v>204.0</v>
      </c>
      <c r="C54" s="4">
        <v>8.2</v>
      </c>
      <c r="D54" s="4">
        <v>18.2</v>
      </c>
      <c r="E54" s="4">
        <f t="shared" si="1"/>
        <v>0</v>
      </c>
      <c r="F54" s="4">
        <f t="shared" si="2"/>
        <v>1</v>
      </c>
      <c r="G54" s="4">
        <f t="shared" si="3"/>
        <v>21.304</v>
      </c>
      <c r="H54" s="4">
        <f t="shared" si="4"/>
        <v>22.192</v>
      </c>
      <c r="I54" s="4">
        <f t="shared" si="5"/>
        <v>0.888</v>
      </c>
      <c r="K54" s="4">
        <v>13.6</v>
      </c>
      <c r="L54" s="4">
        <f t="shared" si="6"/>
        <v>3</v>
      </c>
      <c r="M54" s="4">
        <f t="shared" si="7"/>
        <v>1</v>
      </c>
      <c r="N54" s="4">
        <f t="shared" si="8"/>
        <v>2.2151</v>
      </c>
      <c r="O54" s="4" t="str">
        <f t="shared" si="9"/>
        <v/>
      </c>
      <c r="P54" s="4">
        <f t="shared" si="10"/>
        <v>13.6</v>
      </c>
    </row>
    <row r="55" ht="15.75" customHeight="1">
      <c r="A55" s="7">
        <v>1983.0</v>
      </c>
      <c r="B55" s="4">
        <v>205.0</v>
      </c>
      <c r="C55" s="4">
        <v>10.9</v>
      </c>
      <c r="D55" s="4">
        <v>16.6</v>
      </c>
      <c r="E55" s="4">
        <f t="shared" si="1"/>
        <v>1</v>
      </c>
      <c r="F55" s="4">
        <f t="shared" si="2"/>
        <v>0</v>
      </c>
      <c r="G55" s="4">
        <f t="shared" si="3"/>
        <v>26.855</v>
      </c>
      <c r="H55" s="4">
        <f t="shared" si="4"/>
        <v>26.204</v>
      </c>
      <c r="I55" s="4" t="str">
        <f t="shared" si="5"/>
        <v> </v>
      </c>
      <c r="J55" s="4">
        <v>0.9</v>
      </c>
      <c r="K55" s="4">
        <v>13.7</v>
      </c>
      <c r="L55" s="4">
        <f t="shared" si="6"/>
        <v>8</v>
      </c>
      <c r="M55" s="4">
        <f t="shared" si="7"/>
        <v>1</v>
      </c>
      <c r="N55" s="4">
        <f t="shared" si="8"/>
        <v>1.5089</v>
      </c>
      <c r="O55" s="4">
        <f t="shared" si="9"/>
        <v>0.9</v>
      </c>
      <c r="P55" s="4">
        <f t="shared" si="10"/>
        <v>13.7</v>
      </c>
    </row>
    <row r="56" ht="15.75" customHeight="1">
      <c r="A56" s="7">
        <v>1983.0</v>
      </c>
      <c r="B56" s="4">
        <v>206.0</v>
      </c>
      <c r="C56" s="4">
        <v>8.8</v>
      </c>
      <c r="D56" s="4">
        <v>17.6</v>
      </c>
      <c r="E56" s="4">
        <f t="shared" si="1"/>
        <v>0</v>
      </c>
      <c r="F56" s="4">
        <f t="shared" si="2"/>
        <v>0</v>
      </c>
      <c r="G56" s="4">
        <f t="shared" si="3"/>
        <v>25.66</v>
      </c>
      <c r="H56" s="4">
        <f t="shared" si="4"/>
        <v>24.0125</v>
      </c>
      <c r="I56" s="4" t="str">
        <f t="shared" si="5"/>
        <v> </v>
      </c>
      <c r="K56" s="4">
        <v>13.6</v>
      </c>
      <c r="L56" s="4">
        <f t="shared" si="6"/>
        <v>3</v>
      </c>
      <c r="M56" s="4">
        <f t="shared" si="7"/>
        <v>1</v>
      </c>
      <c r="N56" s="4">
        <f t="shared" si="8"/>
        <v>10.0658</v>
      </c>
      <c r="O56" s="4" t="str">
        <f t="shared" si="9"/>
        <v/>
      </c>
      <c r="P56" s="4">
        <f t="shared" si="10"/>
        <v>13.6</v>
      </c>
    </row>
    <row r="57" ht="15.75" customHeight="1">
      <c r="A57" s="7">
        <v>1983.0</v>
      </c>
      <c r="B57" s="4">
        <v>207.0</v>
      </c>
      <c r="C57" s="4">
        <v>9.0</v>
      </c>
      <c r="D57" s="4">
        <v>19.3</v>
      </c>
      <c r="E57" s="4">
        <f t="shared" si="1"/>
        <v>1</v>
      </c>
      <c r="F57" s="4">
        <f t="shared" si="2"/>
        <v>0</v>
      </c>
      <c r="G57" s="4">
        <f t="shared" si="3"/>
        <v>29.894</v>
      </c>
      <c r="H57" s="4">
        <f t="shared" si="4"/>
        <v>28.818</v>
      </c>
      <c r="I57" s="4" t="str">
        <f t="shared" si="5"/>
        <v> </v>
      </c>
      <c r="J57" s="4">
        <v>0.7</v>
      </c>
      <c r="K57" s="4">
        <v>14.8</v>
      </c>
      <c r="L57" s="4">
        <f t="shared" si="6"/>
        <v>8</v>
      </c>
      <c r="M57" s="4">
        <f t="shared" si="7"/>
        <v>1</v>
      </c>
      <c r="N57" s="4">
        <f t="shared" si="8"/>
        <v>5.9147</v>
      </c>
      <c r="O57" s="4">
        <f t="shared" si="9"/>
        <v>0.7</v>
      </c>
      <c r="P57" s="4">
        <f t="shared" si="10"/>
        <v>14.8</v>
      </c>
    </row>
    <row r="58" ht="15.75" customHeight="1">
      <c r="A58" s="7">
        <v>1983.0</v>
      </c>
      <c r="B58" s="4">
        <v>208.0</v>
      </c>
      <c r="C58" s="4">
        <v>14.8</v>
      </c>
      <c r="D58" s="4">
        <v>21.1</v>
      </c>
      <c r="E58" s="4">
        <f t="shared" si="1"/>
        <v>1</v>
      </c>
      <c r="F58" s="4">
        <f t="shared" si="2"/>
        <v>0</v>
      </c>
      <c r="G58" s="4">
        <f t="shared" si="3"/>
        <v>30.038</v>
      </c>
      <c r="H58" s="4">
        <f t="shared" si="4"/>
        <v>29.895</v>
      </c>
      <c r="I58" s="4" t="str">
        <f t="shared" si="5"/>
        <v> </v>
      </c>
      <c r="J58" s="4">
        <v>5.5</v>
      </c>
      <c r="K58" s="4">
        <v>17.4</v>
      </c>
      <c r="L58" s="4">
        <f t="shared" si="6"/>
        <v>8</v>
      </c>
      <c r="M58" s="4">
        <f t="shared" si="7"/>
        <v>0</v>
      </c>
      <c r="N58" s="4">
        <f t="shared" si="8"/>
        <v>-4.8045</v>
      </c>
      <c r="O58" s="4">
        <f t="shared" si="9"/>
        <v>5.5</v>
      </c>
      <c r="P58" s="4">
        <f t="shared" si="10"/>
        <v>17.4</v>
      </c>
    </row>
    <row r="59" ht="15.75" customHeight="1">
      <c r="A59" s="7">
        <v>1983.0</v>
      </c>
      <c r="B59" s="4">
        <v>209.0</v>
      </c>
      <c r="C59" s="4">
        <v>12.9</v>
      </c>
      <c r="D59" s="4">
        <v>23.2</v>
      </c>
      <c r="E59" s="4">
        <f t="shared" si="1"/>
        <v>0</v>
      </c>
      <c r="F59" s="4">
        <f t="shared" si="2"/>
        <v>0</v>
      </c>
      <c r="G59" s="4">
        <f t="shared" si="3"/>
        <v>31.843</v>
      </c>
      <c r="H59" s="4">
        <f t="shared" si="4"/>
        <v>26.905</v>
      </c>
      <c r="I59" s="4" t="str">
        <f t="shared" si="5"/>
        <v> </v>
      </c>
      <c r="K59" s="4">
        <v>18.6</v>
      </c>
      <c r="L59" s="4">
        <f t="shared" si="6"/>
        <v>3</v>
      </c>
      <c r="M59" s="4">
        <f t="shared" si="7"/>
        <v>0</v>
      </c>
      <c r="N59" s="4">
        <f t="shared" si="8"/>
        <v>-9.6264</v>
      </c>
      <c r="O59" s="4" t="str">
        <f t="shared" si="9"/>
        <v/>
      </c>
      <c r="P59" s="4">
        <f t="shared" si="10"/>
        <v>18.6</v>
      </c>
    </row>
    <row r="60" ht="15.75" customHeight="1">
      <c r="A60" s="7">
        <v>1983.0</v>
      </c>
      <c r="B60" s="4">
        <v>210.0</v>
      </c>
      <c r="C60" s="4">
        <v>11.4</v>
      </c>
      <c r="D60" s="4">
        <v>23.8</v>
      </c>
      <c r="E60" s="4">
        <f t="shared" si="1"/>
        <v>0</v>
      </c>
      <c r="F60" s="4">
        <f t="shared" si="2"/>
        <v>0</v>
      </c>
      <c r="G60" s="4">
        <f t="shared" si="3"/>
        <v>31.05</v>
      </c>
      <c r="H60" s="4">
        <f t="shared" si="4"/>
        <v>26.5025</v>
      </c>
      <c r="I60" s="4" t="str">
        <f t="shared" si="5"/>
        <v> </v>
      </c>
      <c r="K60" s="4">
        <v>18.0</v>
      </c>
      <c r="L60" s="4">
        <f t="shared" si="6"/>
        <v>3</v>
      </c>
      <c r="M60" s="4">
        <f t="shared" si="7"/>
        <v>0</v>
      </c>
      <c r="N60" s="4">
        <f t="shared" si="8"/>
        <v>-1.1882</v>
      </c>
      <c r="O60" s="4" t="str">
        <f t="shared" si="9"/>
        <v/>
      </c>
      <c r="P60" s="4">
        <f t="shared" si="10"/>
        <v>18</v>
      </c>
    </row>
    <row r="61" ht="15.75" customHeight="1">
      <c r="A61" s="7">
        <v>1983.0</v>
      </c>
      <c r="B61" s="4">
        <v>211.0</v>
      </c>
      <c r="C61" s="4">
        <v>10.0</v>
      </c>
      <c r="D61" s="4">
        <v>24.4</v>
      </c>
      <c r="E61" s="4">
        <f t="shared" si="1"/>
        <v>0</v>
      </c>
      <c r="F61" s="4">
        <f t="shared" si="2"/>
        <v>0</v>
      </c>
      <c r="G61" s="4">
        <f t="shared" si="3"/>
        <v>28.568</v>
      </c>
      <c r="H61" s="4">
        <f t="shared" si="4"/>
        <v>25.6605</v>
      </c>
      <c r="I61" s="4" t="str">
        <f t="shared" si="5"/>
        <v> </v>
      </c>
      <c r="K61" s="4">
        <v>18.6</v>
      </c>
      <c r="L61" s="4">
        <f t="shared" si="6"/>
        <v>3</v>
      </c>
      <c r="M61" s="4">
        <f t="shared" si="7"/>
        <v>1</v>
      </c>
      <c r="N61" s="4">
        <f t="shared" si="8"/>
        <v>0.7963</v>
      </c>
      <c r="O61" s="4" t="str">
        <f t="shared" si="9"/>
        <v/>
      </c>
      <c r="P61" s="4">
        <f t="shared" si="10"/>
        <v>18.6</v>
      </c>
    </row>
    <row r="62" ht="15.75" customHeight="1">
      <c r="A62" s="7">
        <v>1983.0</v>
      </c>
      <c r="B62" s="4">
        <v>212.0</v>
      </c>
      <c r="C62" s="4">
        <v>15.4</v>
      </c>
      <c r="D62" s="4">
        <v>20.2</v>
      </c>
      <c r="E62" s="4">
        <f t="shared" si="1"/>
        <v>1</v>
      </c>
      <c r="F62" s="4">
        <f t="shared" si="2"/>
        <v>0</v>
      </c>
      <c r="G62" s="4">
        <f t="shared" si="3"/>
        <v>31.553</v>
      </c>
      <c r="H62" s="4">
        <f t="shared" si="4"/>
        <v>28.59</v>
      </c>
      <c r="I62" s="4" t="str">
        <f t="shared" si="5"/>
        <v> </v>
      </c>
      <c r="J62" s="4">
        <v>3.8</v>
      </c>
      <c r="K62" s="4">
        <v>17.1</v>
      </c>
      <c r="L62" s="4">
        <f t="shared" si="6"/>
        <v>8</v>
      </c>
      <c r="M62" s="4">
        <f t="shared" si="7"/>
        <v>0</v>
      </c>
      <c r="N62" s="4">
        <f t="shared" si="8"/>
        <v>-5.7809</v>
      </c>
      <c r="O62" s="4">
        <f t="shared" si="9"/>
        <v>3.8</v>
      </c>
      <c r="P62" s="4">
        <f t="shared" si="10"/>
        <v>17.1</v>
      </c>
    </row>
    <row r="63" ht="15.75" customHeight="1">
      <c r="A63" s="7">
        <v>1983.0</v>
      </c>
      <c r="B63" s="4">
        <v>213.0</v>
      </c>
      <c r="C63" s="4">
        <v>12.1</v>
      </c>
      <c r="D63" s="4">
        <v>23.5</v>
      </c>
      <c r="E63" s="4">
        <f t="shared" si="1"/>
        <v>0</v>
      </c>
      <c r="F63" s="4">
        <f t="shared" si="2"/>
        <v>0</v>
      </c>
      <c r="G63" s="4">
        <f t="shared" si="3"/>
        <v>30.786</v>
      </c>
      <c r="H63" s="4">
        <f t="shared" si="4"/>
        <v>25.5355</v>
      </c>
      <c r="I63" s="4" t="str">
        <f t="shared" si="5"/>
        <v> </v>
      </c>
      <c r="K63" s="4">
        <v>17.3</v>
      </c>
      <c r="L63" s="4">
        <f t="shared" si="6"/>
        <v>3</v>
      </c>
      <c r="M63" s="4">
        <f t="shared" si="7"/>
        <v>0</v>
      </c>
      <c r="N63" s="4">
        <f t="shared" si="8"/>
        <v>-8.4443</v>
      </c>
      <c r="O63" s="4" t="str">
        <f t="shared" si="9"/>
        <v/>
      </c>
      <c r="P63" s="4">
        <f t="shared" si="10"/>
        <v>17.3</v>
      </c>
    </row>
    <row r="64" ht="15.75" customHeight="1">
      <c r="A64" s="7">
        <v>1983.0</v>
      </c>
      <c r="B64" s="4">
        <v>214.0</v>
      </c>
      <c r="C64" s="4">
        <v>9.5</v>
      </c>
      <c r="D64" s="4">
        <v>24.3</v>
      </c>
      <c r="E64" s="4">
        <f t="shared" si="1"/>
        <v>0</v>
      </c>
      <c r="F64" s="4">
        <f t="shared" si="2"/>
        <v>0</v>
      </c>
      <c r="G64" s="4">
        <f t="shared" si="3"/>
        <v>31.645</v>
      </c>
      <c r="H64" s="4">
        <f t="shared" si="4"/>
        <v>26.4115</v>
      </c>
      <c r="I64" s="4" t="str">
        <f t="shared" si="5"/>
        <v> </v>
      </c>
      <c r="K64" s="4">
        <v>17.5</v>
      </c>
      <c r="L64" s="4">
        <f t="shared" si="6"/>
        <v>3</v>
      </c>
      <c r="M64" s="4">
        <f t="shared" si="7"/>
        <v>0</v>
      </c>
      <c r="N64" s="4">
        <f t="shared" si="8"/>
        <v>-9.2968</v>
      </c>
      <c r="O64" s="4" t="str">
        <f t="shared" si="9"/>
        <v/>
      </c>
      <c r="P64" s="4">
        <f t="shared" si="10"/>
        <v>17.5</v>
      </c>
    </row>
    <row r="65" ht="15.75" customHeight="1">
      <c r="A65" s="7">
        <v>1983.0</v>
      </c>
      <c r="B65" s="4">
        <v>215.0</v>
      </c>
      <c r="C65" s="4">
        <v>11.0</v>
      </c>
      <c r="D65" s="4">
        <v>21.1</v>
      </c>
      <c r="E65" s="4">
        <f t="shared" si="1"/>
        <v>0</v>
      </c>
      <c r="F65" s="4">
        <f t="shared" si="2"/>
        <v>0</v>
      </c>
      <c r="G65" s="4">
        <f t="shared" si="3"/>
        <v>31.907</v>
      </c>
      <c r="H65" s="4">
        <f t="shared" si="4"/>
        <v>26.913</v>
      </c>
      <c r="I65" s="4" t="str">
        <f t="shared" si="5"/>
        <v> </v>
      </c>
      <c r="K65" s="4">
        <v>16.2</v>
      </c>
      <c r="L65" s="4">
        <f t="shared" si="6"/>
        <v>3</v>
      </c>
      <c r="M65" s="4">
        <f t="shared" si="7"/>
        <v>0</v>
      </c>
      <c r="N65" s="4">
        <f t="shared" si="8"/>
        <v>-7.9706</v>
      </c>
      <c r="O65" s="4" t="str">
        <f t="shared" si="9"/>
        <v/>
      </c>
      <c r="P65" s="4">
        <f t="shared" si="10"/>
        <v>16.2</v>
      </c>
    </row>
    <row r="66" ht="15.75" customHeight="1">
      <c r="A66" s="7">
        <v>1983.0</v>
      </c>
      <c r="B66" s="4">
        <v>216.0</v>
      </c>
      <c r="C66" s="4">
        <v>9.9</v>
      </c>
      <c r="D66" s="4">
        <v>23.9</v>
      </c>
      <c r="E66" s="4">
        <f t="shared" si="1"/>
        <v>0</v>
      </c>
      <c r="F66" s="4">
        <f t="shared" si="2"/>
        <v>0</v>
      </c>
      <c r="G66" s="4">
        <f t="shared" si="3"/>
        <v>32.21</v>
      </c>
      <c r="H66" s="4">
        <f t="shared" si="4"/>
        <v>26.9535</v>
      </c>
      <c r="I66" s="4" t="str">
        <f t="shared" si="5"/>
        <v> </v>
      </c>
      <c r="K66" s="4">
        <v>17.8</v>
      </c>
      <c r="L66" s="4">
        <f t="shared" si="6"/>
        <v>3</v>
      </c>
      <c r="M66" s="4">
        <f t="shared" si="7"/>
        <v>0</v>
      </c>
      <c r="N66" s="4">
        <f t="shared" si="8"/>
        <v>-8.8034</v>
      </c>
      <c r="O66" s="4" t="str">
        <f t="shared" si="9"/>
        <v/>
      </c>
      <c r="P66" s="4">
        <f t="shared" si="10"/>
        <v>17.8</v>
      </c>
    </row>
    <row r="67" ht="15.75" customHeight="1">
      <c r="A67" s="7">
        <v>1983.0</v>
      </c>
      <c r="B67" s="4">
        <v>217.0</v>
      </c>
      <c r="C67" s="4">
        <v>11.7</v>
      </c>
      <c r="D67" s="4">
        <v>25.2</v>
      </c>
      <c r="E67" s="4">
        <f t="shared" si="1"/>
        <v>0</v>
      </c>
      <c r="F67" s="4">
        <f t="shared" si="2"/>
        <v>0</v>
      </c>
      <c r="G67" s="4">
        <f t="shared" si="3"/>
        <v>32.792</v>
      </c>
      <c r="H67" s="4">
        <f t="shared" si="4"/>
        <v>27.021</v>
      </c>
      <c r="I67" s="4" t="str">
        <f t="shared" si="5"/>
        <v> </v>
      </c>
      <c r="K67" s="4">
        <v>19.0</v>
      </c>
      <c r="L67" s="4">
        <f t="shared" si="6"/>
        <v>3</v>
      </c>
      <c r="M67" s="4">
        <f t="shared" si="7"/>
        <v>0</v>
      </c>
      <c r="N67" s="4">
        <f t="shared" si="8"/>
        <v>-8.6236</v>
      </c>
      <c r="O67" s="4" t="str">
        <f t="shared" si="9"/>
        <v/>
      </c>
      <c r="P67" s="4">
        <f t="shared" si="10"/>
        <v>19</v>
      </c>
    </row>
    <row r="68" ht="15.75" customHeight="1">
      <c r="A68" s="7">
        <v>1983.0</v>
      </c>
      <c r="B68" s="4">
        <v>218.0</v>
      </c>
      <c r="C68" s="4">
        <v>12.4</v>
      </c>
      <c r="D68" s="4">
        <v>26.1</v>
      </c>
      <c r="E68" s="4">
        <f t="shared" si="1"/>
        <v>0</v>
      </c>
      <c r="F68" s="4">
        <f t="shared" si="2"/>
        <v>0</v>
      </c>
      <c r="G68" s="4">
        <f t="shared" si="3"/>
        <v>34.049</v>
      </c>
      <c r="H68" s="4">
        <f t="shared" si="4"/>
        <v>28.4185</v>
      </c>
      <c r="I68" s="4" t="str">
        <f t="shared" si="5"/>
        <v> </v>
      </c>
      <c r="K68" s="4">
        <v>19.9</v>
      </c>
      <c r="L68" s="4">
        <f t="shared" si="6"/>
        <v>3</v>
      </c>
      <c r="M68" s="4">
        <f t="shared" si="7"/>
        <v>0</v>
      </c>
      <c r="N68" s="4">
        <f t="shared" si="8"/>
        <v>-8.9597</v>
      </c>
      <c r="O68" s="4" t="str">
        <f t="shared" si="9"/>
        <v/>
      </c>
      <c r="P68" s="4">
        <f t="shared" si="10"/>
        <v>19.9</v>
      </c>
    </row>
    <row r="69" ht="15.75" customHeight="1">
      <c r="A69" s="7">
        <v>1983.0</v>
      </c>
      <c r="B69" s="4">
        <v>219.0</v>
      </c>
      <c r="C69" s="4">
        <v>13.7</v>
      </c>
      <c r="D69" s="4">
        <v>26.7</v>
      </c>
      <c r="E69" s="4">
        <f t="shared" si="1"/>
        <v>0</v>
      </c>
      <c r="F69" s="4">
        <f t="shared" si="2"/>
        <v>0</v>
      </c>
      <c r="G69" s="4">
        <f t="shared" si="3"/>
        <v>35.171</v>
      </c>
      <c r="H69" s="4">
        <f t="shared" si="4"/>
        <v>29.7475</v>
      </c>
      <c r="I69" s="4" t="str">
        <f t="shared" si="5"/>
        <v> </v>
      </c>
      <c r="K69" s="4">
        <v>20.5</v>
      </c>
      <c r="L69" s="4">
        <f t="shared" si="6"/>
        <v>3</v>
      </c>
      <c r="M69" s="4">
        <f t="shared" si="7"/>
        <v>0</v>
      </c>
      <c r="N69" s="4">
        <f t="shared" si="8"/>
        <v>-10.8113</v>
      </c>
      <c r="O69" s="4" t="str">
        <f t="shared" si="9"/>
        <v/>
      </c>
      <c r="P69" s="4">
        <f t="shared" si="10"/>
        <v>20.5</v>
      </c>
    </row>
    <row r="70" ht="15.75" customHeight="1">
      <c r="A70" s="7">
        <v>1983.0</v>
      </c>
      <c r="B70" s="4">
        <v>220.0</v>
      </c>
      <c r="C70" s="4">
        <v>13.4</v>
      </c>
      <c r="D70" s="4">
        <v>23.5</v>
      </c>
      <c r="E70" s="4">
        <f t="shared" si="1"/>
        <v>0</v>
      </c>
      <c r="F70" s="4">
        <f t="shared" si="2"/>
        <v>0</v>
      </c>
      <c r="G70" s="4">
        <f t="shared" si="3"/>
        <v>33.938</v>
      </c>
      <c r="H70" s="4">
        <f t="shared" si="4"/>
        <v>28.608</v>
      </c>
      <c r="I70" s="4" t="str">
        <f t="shared" si="5"/>
        <v> </v>
      </c>
      <c r="K70" s="4">
        <v>18.2</v>
      </c>
      <c r="L70" s="4">
        <f t="shared" si="6"/>
        <v>3</v>
      </c>
      <c r="M70" s="4">
        <f t="shared" si="7"/>
        <v>0</v>
      </c>
      <c r="N70" s="4">
        <f t="shared" si="8"/>
        <v>-9.6564</v>
      </c>
      <c r="O70" s="4" t="str">
        <f t="shared" si="9"/>
        <v/>
      </c>
      <c r="P70" s="4">
        <f t="shared" si="10"/>
        <v>18.2</v>
      </c>
    </row>
    <row r="71" ht="15.75" customHeight="1">
      <c r="A71" s="7">
        <v>1983.0</v>
      </c>
      <c r="B71" s="4">
        <v>221.0</v>
      </c>
      <c r="C71" s="4">
        <v>9.5</v>
      </c>
      <c r="D71" s="4">
        <v>23.0</v>
      </c>
      <c r="E71" s="4">
        <f t="shared" si="1"/>
        <v>0</v>
      </c>
      <c r="F71" s="4">
        <f t="shared" si="2"/>
        <v>0</v>
      </c>
      <c r="G71" s="4">
        <f t="shared" si="3"/>
        <v>31.869</v>
      </c>
      <c r="H71" s="4">
        <f t="shared" si="4"/>
        <v>28.646</v>
      </c>
      <c r="I71" s="4" t="str">
        <f t="shared" si="5"/>
        <v> </v>
      </c>
      <c r="K71" s="4">
        <v>16.5</v>
      </c>
      <c r="L71" s="4">
        <f t="shared" si="6"/>
        <v>3</v>
      </c>
      <c r="M71" s="4">
        <f t="shared" si="7"/>
        <v>0</v>
      </c>
      <c r="N71" s="4">
        <f t="shared" si="8"/>
        <v>-7.9149</v>
      </c>
      <c r="O71" s="4" t="str">
        <f t="shared" si="9"/>
        <v/>
      </c>
      <c r="P71" s="4">
        <f t="shared" si="10"/>
        <v>16.5</v>
      </c>
    </row>
    <row r="72" ht="15.75" customHeight="1">
      <c r="A72" s="7">
        <v>1983.0</v>
      </c>
      <c r="B72" s="4">
        <v>222.0</v>
      </c>
      <c r="C72" s="4">
        <v>9.5</v>
      </c>
      <c r="D72" s="4">
        <v>25.5</v>
      </c>
      <c r="E72" s="4">
        <f t="shared" si="1"/>
        <v>0</v>
      </c>
      <c r="F72" s="4">
        <f t="shared" si="2"/>
        <v>0</v>
      </c>
      <c r="G72" s="4">
        <f t="shared" si="3"/>
        <v>29.959</v>
      </c>
      <c r="H72" s="4">
        <f t="shared" si="4"/>
        <v>27.095</v>
      </c>
      <c r="I72" s="4" t="str">
        <f t="shared" si="5"/>
        <v> </v>
      </c>
      <c r="K72" s="4">
        <v>18.0</v>
      </c>
      <c r="L72" s="4">
        <f t="shared" si="6"/>
        <v>3</v>
      </c>
      <c r="M72" s="4">
        <f t="shared" si="7"/>
        <v>0</v>
      </c>
      <c r="N72" s="4">
        <f t="shared" si="8"/>
        <v>-8.2531</v>
      </c>
      <c r="O72" s="4" t="str">
        <f t="shared" si="9"/>
        <v/>
      </c>
      <c r="P72" s="4">
        <f t="shared" si="10"/>
        <v>18</v>
      </c>
    </row>
    <row r="73" ht="15.75" customHeight="1">
      <c r="A73" s="7">
        <v>1983.0</v>
      </c>
      <c r="B73" s="4">
        <v>223.0</v>
      </c>
      <c r="C73" s="4">
        <v>13.0</v>
      </c>
      <c r="D73" s="4">
        <v>26.1</v>
      </c>
      <c r="E73" s="4">
        <f t="shared" si="1"/>
        <v>0</v>
      </c>
      <c r="F73" s="4">
        <f t="shared" si="2"/>
        <v>0</v>
      </c>
      <c r="G73" s="4">
        <f t="shared" si="3"/>
        <v>29.18</v>
      </c>
      <c r="H73" s="4">
        <f t="shared" si="4"/>
        <v>27.8465</v>
      </c>
      <c r="I73" s="4" t="str">
        <f t="shared" si="5"/>
        <v> </v>
      </c>
      <c r="K73" s="4">
        <v>20.0</v>
      </c>
      <c r="L73" s="4">
        <f t="shared" si="6"/>
        <v>3</v>
      </c>
      <c r="M73" s="4">
        <f t="shared" si="7"/>
        <v>0</v>
      </c>
      <c r="N73" s="4">
        <f t="shared" si="8"/>
        <v>-3.2048</v>
      </c>
      <c r="O73" s="4" t="str">
        <f t="shared" si="9"/>
        <v/>
      </c>
      <c r="P73" s="4">
        <f t="shared" si="10"/>
        <v>20</v>
      </c>
    </row>
    <row r="74" ht="15.75" customHeight="1">
      <c r="A74" s="7">
        <v>1983.0</v>
      </c>
      <c r="B74" s="4">
        <v>224.0</v>
      </c>
      <c r="C74" s="4">
        <v>14.4</v>
      </c>
      <c r="D74" s="4">
        <v>25.8</v>
      </c>
      <c r="E74" s="4">
        <f t="shared" si="1"/>
        <v>0</v>
      </c>
      <c r="F74" s="4">
        <f t="shared" si="2"/>
        <v>0</v>
      </c>
      <c r="G74" s="4">
        <f t="shared" si="3"/>
        <v>30.835</v>
      </c>
      <c r="H74" s="4">
        <f t="shared" si="4"/>
        <v>29.3075</v>
      </c>
      <c r="I74" s="4" t="str">
        <f t="shared" si="5"/>
        <v> </v>
      </c>
      <c r="K74" s="4">
        <v>20.7</v>
      </c>
      <c r="L74" s="4">
        <f t="shared" si="6"/>
        <v>3</v>
      </c>
      <c r="M74" s="4">
        <f t="shared" si="7"/>
        <v>1</v>
      </c>
      <c r="N74" s="4">
        <f t="shared" si="8"/>
        <v>4.6142</v>
      </c>
      <c r="O74" s="4" t="str">
        <f t="shared" si="9"/>
        <v/>
      </c>
      <c r="P74" s="4">
        <f t="shared" si="10"/>
        <v>20.7</v>
      </c>
    </row>
    <row r="75" ht="15.75" customHeight="1">
      <c r="A75" s="7">
        <v>1983.0</v>
      </c>
      <c r="B75" s="4">
        <v>225.0</v>
      </c>
      <c r="C75" s="4">
        <v>15.2</v>
      </c>
      <c r="D75" s="4">
        <v>23.4</v>
      </c>
      <c r="E75" s="4">
        <f t="shared" si="1"/>
        <v>1</v>
      </c>
      <c r="F75" s="4">
        <f t="shared" si="2"/>
        <v>1</v>
      </c>
      <c r="G75" s="4">
        <f t="shared" si="3"/>
        <v>32.371</v>
      </c>
      <c r="H75" s="4">
        <f t="shared" si="4"/>
        <v>32.747</v>
      </c>
      <c r="I75" s="4">
        <f t="shared" si="5"/>
        <v>0.376</v>
      </c>
      <c r="J75" s="4">
        <v>3.5</v>
      </c>
      <c r="K75" s="4">
        <v>18.2</v>
      </c>
      <c r="L75" s="4">
        <f t="shared" si="6"/>
        <v>8</v>
      </c>
      <c r="M75" s="4">
        <f t="shared" si="7"/>
        <v>1</v>
      </c>
      <c r="N75" s="4">
        <f t="shared" si="8"/>
        <v>7.9646</v>
      </c>
      <c r="O75" s="4">
        <f t="shared" si="9"/>
        <v>3.5</v>
      </c>
      <c r="P75" s="4">
        <f t="shared" si="10"/>
        <v>18.2</v>
      </c>
    </row>
    <row r="76" ht="15.75" customHeight="1">
      <c r="A76" s="7">
        <v>1983.0</v>
      </c>
      <c r="B76" s="4">
        <v>226.0</v>
      </c>
      <c r="C76" s="4">
        <v>11.1</v>
      </c>
      <c r="D76" s="4">
        <v>17.2</v>
      </c>
      <c r="E76" s="4">
        <f t="shared" si="1"/>
        <v>1</v>
      </c>
      <c r="F76" s="4">
        <f t="shared" si="2"/>
        <v>1</v>
      </c>
      <c r="G76" s="4">
        <f t="shared" si="3"/>
        <v>26.906</v>
      </c>
      <c r="H76" s="4">
        <f t="shared" si="4"/>
        <v>27.724</v>
      </c>
      <c r="I76" s="4">
        <f t="shared" si="5"/>
        <v>0.818</v>
      </c>
      <c r="J76" s="4">
        <v>2.3</v>
      </c>
      <c r="K76" s="4">
        <v>15.0</v>
      </c>
      <c r="L76" s="4">
        <f t="shared" si="6"/>
        <v>8</v>
      </c>
      <c r="M76" s="4">
        <f t="shared" si="7"/>
        <v>1</v>
      </c>
      <c r="N76" s="4">
        <f t="shared" si="8"/>
        <v>5.0961</v>
      </c>
      <c r="O76" s="4">
        <f t="shared" si="9"/>
        <v>2.3</v>
      </c>
      <c r="P76" s="4">
        <f t="shared" si="10"/>
        <v>15</v>
      </c>
    </row>
    <row r="77" ht="15.75" customHeight="1">
      <c r="A77" s="7">
        <v>1983.0</v>
      </c>
      <c r="B77" s="4">
        <v>227.0</v>
      </c>
      <c r="C77" s="4">
        <v>6.7</v>
      </c>
      <c r="D77" s="4">
        <v>15.9</v>
      </c>
      <c r="E77" s="4">
        <f t="shared" si="1"/>
        <v>1</v>
      </c>
      <c r="F77" s="4">
        <f t="shared" si="2"/>
        <v>1</v>
      </c>
      <c r="G77" s="4">
        <f t="shared" si="3"/>
        <v>24.554</v>
      </c>
      <c r="H77" s="4">
        <f t="shared" si="4"/>
        <v>25.3195</v>
      </c>
      <c r="I77" s="4">
        <f t="shared" si="5"/>
        <v>0.7655</v>
      </c>
      <c r="J77" s="4">
        <v>0.3</v>
      </c>
      <c r="K77" s="4">
        <v>11.1</v>
      </c>
      <c r="L77" s="4">
        <f t="shared" si="6"/>
        <v>8</v>
      </c>
      <c r="M77" s="4">
        <f t="shared" si="7"/>
        <v>0</v>
      </c>
      <c r="N77" s="4">
        <f t="shared" si="8"/>
        <v>-1.3511</v>
      </c>
      <c r="O77" s="4">
        <f t="shared" si="9"/>
        <v>0.3</v>
      </c>
      <c r="P77" s="4">
        <f t="shared" si="10"/>
        <v>11.1</v>
      </c>
    </row>
    <row r="78" ht="15.75" customHeight="1">
      <c r="A78" s="7">
        <v>1983.0</v>
      </c>
      <c r="B78" s="4">
        <v>228.0</v>
      </c>
      <c r="C78" s="4">
        <v>6.6</v>
      </c>
      <c r="D78" s="4">
        <v>20.7</v>
      </c>
      <c r="E78" s="4">
        <f t="shared" si="1"/>
        <v>0</v>
      </c>
      <c r="F78" s="4">
        <f t="shared" si="2"/>
        <v>0</v>
      </c>
      <c r="G78" s="4">
        <f t="shared" si="3"/>
        <v>26.13</v>
      </c>
      <c r="H78" s="4">
        <f t="shared" si="4"/>
        <v>24.2395</v>
      </c>
      <c r="I78" s="4" t="str">
        <f t="shared" si="5"/>
        <v> </v>
      </c>
      <c r="K78" s="4">
        <v>15.4</v>
      </c>
      <c r="L78" s="4">
        <f t="shared" si="6"/>
        <v>3</v>
      </c>
      <c r="M78" s="4">
        <f t="shared" si="7"/>
        <v>0</v>
      </c>
      <c r="N78" s="4">
        <f t="shared" si="8"/>
        <v>-3.3865</v>
      </c>
      <c r="O78" s="4" t="str">
        <f t="shared" si="9"/>
        <v/>
      </c>
      <c r="P78" s="4">
        <f t="shared" si="10"/>
        <v>15.4</v>
      </c>
    </row>
    <row r="79" ht="15.75" customHeight="1">
      <c r="A79" s="7">
        <v>1983.0</v>
      </c>
      <c r="B79" s="4">
        <v>229.0</v>
      </c>
      <c r="C79" s="4">
        <v>12.8</v>
      </c>
      <c r="D79" s="4">
        <v>24.4</v>
      </c>
      <c r="E79" s="4">
        <f t="shared" si="1"/>
        <v>0</v>
      </c>
      <c r="F79" s="4">
        <f t="shared" si="2"/>
        <v>0</v>
      </c>
      <c r="G79" s="4">
        <f t="shared" si="3"/>
        <v>28.628</v>
      </c>
      <c r="H79" s="4">
        <f t="shared" si="4"/>
        <v>26.396</v>
      </c>
      <c r="I79" s="4" t="str">
        <f t="shared" si="5"/>
        <v> </v>
      </c>
      <c r="K79" s="4">
        <v>18.9</v>
      </c>
      <c r="L79" s="4">
        <f t="shared" si="6"/>
        <v>3</v>
      </c>
      <c r="M79" s="4">
        <f t="shared" si="7"/>
        <v>1</v>
      </c>
      <c r="N79" s="4">
        <f t="shared" si="8"/>
        <v>4.8402</v>
      </c>
      <c r="O79" s="4" t="str">
        <f t="shared" si="9"/>
        <v/>
      </c>
      <c r="P79" s="4">
        <f t="shared" si="10"/>
        <v>18.9</v>
      </c>
    </row>
    <row r="80" ht="15.75" customHeight="1">
      <c r="A80" s="7">
        <v>1983.0</v>
      </c>
      <c r="B80" s="4">
        <v>230.0</v>
      </c>
      <c r="C80" s="4">
        <v>12.1</v>
      </c>
      <c r="D80" s="4">
        <v>22.7</v>
      </c>
      <c r="E80" s="4">
        <f t="shared" si="1"/>
        <v>1</v>
      </c>
      <c r="F80" s="4">
        <f t="shared" si="2"/>
        <v>0</v>
      </c>
      <c r="G80" s="4">
        <f t="shared" si="3"/>
        <v>26.24</v>
      </c>
      <c r="H80" s="4">
        <f t="shared" si="4"/>
        <v>25.118</v>
      </c>
      <c r="I80" s="4" t="str">
        <f t="shared" si="5"/>
        <v> </v>
      </c>
      <c r="J80" s="4">
        <v>2.9</v>
      </c>
      <c r="K80" s="4">
        <v>17.6</v>
      </c>
      <c r="L80" s="4">
        <f t="shared" si="6"/>
        <v>8</v>
      </c>
      <c r="M80" s="4">
        <f t="shared" si="7"/>
        <v>1</v>
      </c>
      <c r="N80" s="4">
        <f t="shared" si="8"/>
        <v>5.3113</v>
      </c>
      <c r="O80" s="4">
        <f t="shared" si="9"/>
        <v>2.9</v>
      </c>
      <c r="P80" s="4">
        <f t="shared" si="10"/>
        <v>17.6</v>
      </c>
    </row>
    <row r="81" ht="15.75" customHeight="1">
      <c r="A81" s="7">
        <v>1983.0</v>
      </c>
      <c r="B81" s="4">
        <v>231.0</v>
      </c>
      <c r="C81" s="4">
        <v>10.5</v>
      </c>
      <c r="D81" s="4">
        <v>20.2</v>
      </c>
      <c r="E81" s="4">
        <f t="shared" si="1"/>
        <v>1</v>
      </c>
      <c r="F81" s="4">
        <f t="shared" si="2"/>
        <v>0</v>
      </c>
      <c r="G81" s="4">
        <f t="shared" si="3"/>
        <v>23.909</v>
      </c>
      <c r="H81" s="4">
        <f t="shared" si="4"/>
        <v>21.1925</v>
      </c>
      <c r="I81" s="4" t="str">
        <f t="shared" si="5"/>
        <v> </v>
      </c>
      <c r="J81" s="4">
        <v>1.1</v>
      </c>
      <c r="K81" s="4">
        <v>14.6</v>
      </c>
      <c r="L81" s="4">
        <f t="shared" si="6"/>
        <v>8</v>
      </c>
      <c r="M81" s="4">
        <f t="shared" si="7"/>
        <v>0</v>
      </c>
      <c r="N81" s="4">
        <f t="shared" si="8"/>
        <v>-4.4277</v>
      </c>
      <c r="O81" s="4">
        <f t="shared" si="9"/>
        <v>1.1</v>
      </c>
      <c r="P81" s="4">
        <f t="shared" si="10"/>
        <v>14.6</v>
      </c>
    </row>
    <row r="82" ht="15.75" customHeight="1">
      <c r="A82" s="7">
        <v>1983.0</v>
      </c>
      <c r="B82" s="4">
        <v>232.0</v>
      </c>
      <c r="C82" s="4">
        <v>11.0</v>
      </c>
      <c r="D82" s="4">
        <v>19.8</v>
      </c>
      <c r="E82" s="4">
        <f t="shared" si="1"/>
        <v>0</v>
      </c>
      <c r="F82" s="4">
        <f t="shared" si="2"/>
        <v>0</v>
      </c>
      <c r="G82" s="4">
        <f t="shared" si="3"/>
        <v>22.753</v>
      </c>
      <c r="H82" s="4">
        <f t="shared" si="4"/>
        <v>19.166</v>
      </c>
      <c r="I82" s="4" t="str">
        <f t="shared" si="5"/>
        <v> </v>
      </c>
      <c r="K82" s="4">
        <v>14.6</v>
      </c>
      <c r="L82" s="4">
        <f t="shared" si="6"/>
        <v>3</v>
      </c>
      <c r="M82" s="4">
        <f t="shared" si="7"/>
        <v>0</v>
      </c>
      <c r="N82" s="4">
        <f t="shared" si="8"/>
        <v>-8.5309</v>
      </c>
      <c r="O82" s="4" t="str">
        <f t="shared" si="9"/>
        <v/>
      </c>
      <c r="P82" s="4">
        <f t="shared" si="10"/>
        <v>14.6</v>
      </c>
    </row>
    <row r="83" ht="15.75" customHeight="1">
      <c r="A83" s="7">
        <v>1983.0</v>
      </c>
      <c r="B83" s="4">
        <v>233.0</v>
      </c>
      <c r="C83" s="4">
        <v>9.2</v>
      </c>
      <c r="D83" s="4">
        <v>18.7</v>
      </c>
      <c r="E83" s="4">
        <f t="shared" si="1"/>
        <v>0</v>
      </c>
      <c r="F83" s="4">
        <f t="shared" si="2"/>
        <v>0</v>
      </c>
      <c r="G83" s="4">
        <f t="shared" si="3"/>
        <v>18.323</v>
      </c>
      <c r="H83" s="4">
        <f t="shared" si="4"/>
        <v>16.1005</v>
      </c>
      <c r="I83" s="4" t="str">
        <f t="shared" si="5"/>
        <v> </v>
      </c>
      <c r="K83" s="4">
        <v>13.6</v>
      </c>
      <c r="L83" s="4">
        <f t="shared" si="6"/>
        <v>3</v>
      </c>
      <c r="M83" s="4">
        <f t="shared" si="7"/>
        <v>0</v>
      </c>
      <c r="N83" s="4">
        <f t="shared" si="8"/>
        <v>-10.156</v>
      </c>
      <c r="O83" s="4" t="str">
        <f t="shared" si="9"/>
        <v/>
      </c>
      <c r="P83" s="4">
        <f t="shared" si="10"/>
        <v>13.6</v>
      </c>
    </row>
    <row r="84" ht="15.75" customHeight="1">
      <c r="A84" s="7">
        <v>1983.0</v>
      </c>
      <c r="B84" s="4">
        <v>234.0</v>
      </c>
      <c r="C84" s="4">
        <v>7.3</v>
      </c>
      <c r="D84" s="4">
        <v>18.4</v>
      </c>
      <c r="E84" s="4">
        <f t="shared" si="1"/>
        <v>0</v>
      </c>
      <c r="F84" s="4">
        <f t="shared" si="2"/>
        <v>0</v>
      </c>
      <c r="G84" s="4">
        <f t="shared" si="3"/>
        <v>16.523</v>
      </c>
      <c r="H84" s="4">
        <f t="shared" si="4"/>
        <v>16.0775</v>
      </c>
      <c r="I84" s="4" t="str">
        <f t="shared" si="5"/>
        <v> </v>
      </c>
      <c r="K84" s="4">
        <v>13.5</v>
      </c>
      <c r="L84" s="4">
        <f t="shared" si="6"/>
        <v>3</v>
      </c>
      <c r="M84" s="4">
        <f t="shared" si="7"/>
        <v>0</v>
      </c>
      <c r="N84" s="4">
        <f t="shared" si="8"/>
        <v>-6.5054</v>
      </c>
      <c r="O84" s="4" t="str">
        <f t="shared" si="9"/>
        <v/>
      </c>
      <c r="P84" s="4">
        <f t="shared" si="10"/>
        <v>13.5</v>
      </c>
    </row>
    <row r="85" ht="15.75" customHeight="1">
      <c r="A85" s="7">
        <v>1983.0</v>
      </c>
      <c r="B85" s="4">
        <v>235.0</v>
      </c>
      <c r="C85" s="4">
        <v>4.4</v>
      </c>
      <c r="D85" s="4">
        <v>21.9</v>
      </c>
      <c r="E85" s="4">
        <f t="shared" si="1"/>
        <v>0</v>
      </c>
      <c r="F85" s="4">
        <f t="shared" si="2"/>
        <v>0</v>
      </c>
      <c r="G85" s="4">
        <f t="shared" si="3"/>
        <v>16.61</v>
      </c>
      <c r="H85" s="4">
        <f t="shared" si="4"/>
        <v>15.1705</v>
      </c>
      <c r="I85" s="4" t="str">
        <f t="shared" si="5"/>
        <v> </v>
      </c>
      <c r="K85" s="4">
        <v>13.8</v>
      </c>
      <c r="L85" s="4">
        <f t="shared" si="6"/>
        <v>3</v>
      </c>
      <c r="M85" s="4">
        <f t="shared" si="7"/>
        <v>0</v>
      </c>
      <c r="N85" s="4">
        <f t="shared" si="8"/>
        <v>-4.5936</v>
      </c>
      <c r="O85" s="4" t="str">
        <f t="shared" si="9"/>
        <v/>
      </c>
      <c r="P85" s="4">
        <f t="shared" si="10"/>
        <v>13.8</v>
      </c>
    </row>
    <row r="86" ht="15.75" customHeight="1">
      <c r="A86" s="7">
        <v>1983.0</v>
      </c>
      <c r="B86" s="4">
        <v>236.0</v>
      </c>
      <c r="C86" s="4">
        <v>10.7</v>
      </c>
      <c r="D86" s="4">
        <v>23.5</v>
      </c>
      <c r="E86" s="4">
        <f t="shared" si="1"/>
        <v>0</v>
      </c>
      <c r="F86" s="4">
        <f t="shared" si="2"/>
        <v>1</v>
      </c>
      <c r="G86" s="4">
        <f t="shared" si="3"/>
        <v>16.14</v>
      </c>
      <c r="H86" s="4">
        <f t="shared" si="4"/>
        <v>16.6515</v>
      </c>
      <c r="I86" s="4">
        <f t="shared" si="5"/>
        <v>0.5115</v>
      </c>
      <c r="K86" s="4">
        <v>17.3</v>
      </c>
      <c r="L86" s="4">
        <f t="shared" si="6"/>
        <v>3</v>
      </c>
      <c r="M86" s="4">
        <f t="shared" si="7"/>
        <v>1</v>
      </c>
      <c r="N86" s="4">
        <f t="shared" si="8"/>
        <v>5.7665</v>
      </c>
      <c r="O86" s="4" t="str">
        <f t="shared" si="9"/>
        <v/>
      </c>
      <c r="P86" s="4">
        <f t="shared" si="10"/>
        <v>17.3</v>
      </c>
    </row>
    <row r="87" ht="15.75" customHeight="1">
      <c r="A87" s="7">
        <v>1983.0</v>
      </c>
      <c r="B87" s="4">
        <v>237.0</v>
      </c>
      <c r="C87" s="4">
        <v>8.3</v>
      </c>
      <c r="D87" s="4">
        <v>15.0</v>
      </c>
      <c r="E87" s="4">
        <f t="shared" si="1"/>
        <v>1</v>
      </c>
      <c r="F87" s="4">
        <f t="shared" si="2"/>
        <v>1</v>
      </c>
      <c r="G87" s="4">
        <f t="shared" si="3"/>
        <v>10.996</v>
      </c>
      <c r="H87" s="4">
        <f t="shared" si="4"/>
        <v>14.865</v>
      </c>
      <c r="I87" s="4">
        <f t="shared" si="5"/>
        <v>3.869</v>
      </c>
      <c r="J87" s="4">
        <v>1.5</v>
      </c>
      <c r="K87" s="4">
        <v>12.1</v>
      </c>
      <c r="L87" s="4">
        <f t="shared" si="6"/>
        <v>8</v>
      </c>
      <c r="M87" s="4">
        <f t="shared" si="7"/>
        <v>1</v>
      </c>
      <c r="N87" s="4">
        <f t="shared" si="8"/>
        <v>7.3007</v>
      </c>
      <c r="O87" s="4">
        <f t="shared" si="9"/>
        <v>1.5</v>
      </c>
      <c r="P87" s="4">
        <f t="shared" si="10"/>
        <v>12.1</v>
      </c>
    </row>
    <row r="88" ht="15.75" customHeight="1">
      <c r="A88" s="7">
        <v>1983.0</v>
      </c>
      <c r="B88" s="4">
        <v>238.0</v>
      </c>
      <c r="C88" s="4">
        <v>6.9</v>
      </c>
      <c r="D88" s="4">
        <v>12.8</v>
      </c>
      <c r="E88" s="4">
        <f t="shared" si="1"/>
        <v>1</v>
      </c>
      <c r="J88" s="4">
        <v>0.4</v>
      </c>
      <c r="K88" s="4">
        <v>9.8</v>
      </c>
      <c r="L88" s="4">
        <f t="shared" si="6"/>
        <v>8</v>
      </c>
      <c r="O88" s="4">
        <f t="shared" si="9"/>
        <v>0</v>
      </c>
      <c r="P88" s="4">
        <f t="shared" si="10"/>
        <v>0</v>
      </c>
    </row>
    <row r="89" ht="15.75" customHeight="1">
      <c r="A89" s="7">
        <v>1983.0</v>
      </c>
      <c r="B89" s="4">
        <v>239.0</v>
      </c>
      <c r="C89" s="4">
        <v>7.1</v>
      </c>
      <c r="D89" s="4">
        <v>13.4</v>
      </c>
      <c r="E89" s="4">
        <f t="shared" si="1"/>
        <v>0</v>
      </c>
      <c r="K89" s="4">
        <v>9.6</v>
      </c>
      <c r="L89" s="4">
        <f t="shared" si="6"/>
        <v>3</v>
      </c>
      <c r="O89" s="4">
        <f t="shared" si="9"/>
        <v>0</v>
      </c>
      <c r="P89" s="4">
        <f t="shared" si="10"/>
        <v>0</v>
      </c>
    </row>
    <row r="90" ht="15.75" customHeight="1">
      <c r="A90" s="7">
        <v>1983.0</v>
      </c>
      <c r="B90" s="4">
        <v>240.0</v>
      </c>
      <c r="C90" s="4">
        <v>5.6</v>
      </c>
      <c r="D90" s="4">
        <v>12.8</v>
      </c>
      <c r="E90" s="4">
        <f t="shared" si="1"/>
        <v>1</v>
      </c>
      <c r="J90" s="4">
        <v>1.0</v>
      </c>
      <c r="K90" s="4">
        <v>9.1</v>
      </c>
      <c r="L90" s="4">
        <f t="shared" si="6"/>
        <v>8</v>
      </c>
      <c r="O90" s="4">
        <f t="shared" si="9"/>
        <v>0</v>
      </c>
      <c r="P90" s="4">
        <f t="shared" si="10"/>
        <v>0</v>
      </c>
    </row>
    <row r="91" ht="15.75" customHeight="1">
      <c r="A91" s="7">
        <v>1983.0</v>
      </c>
      <c r="B91" s="4">
        <v>241.0</v>
      </c>
      <c r="C91" s="4">
        <v>8.5</v>
      </c>
      <c r="D91" s="4">
        <v>12.9</v>
      </c>
      <c r="E91" s="4">
        <f t="shared" si="1"/>
        <v>1</v>
      </c>
      <c r="J91" s="4">
        <v>17.1</v>
      </c>
      <c r="K91" s="4">
        <v>10.6</v>
      </c>
      <c r="L91" s="4">
        <f t="shared" si="6"/>
        <v>8</v>
      </c>
      <c r="O91" s="4">
        <f t="shared" si="9"/>
        <v>17.1</v>
      </c>
      <c r="P91" s="4">
        <f t="shared" si="10"/>
        <v>10.6</v>
      </c>
    </row>
    <row r="92" ht="15.75" customHeight="1">
      <c r="A92" s="7">
        <v>1983.0</v>
      </c>
      <c r="B92" s="4">
        <v>242.0</v>
      </c>
      <c r="C92" s="4">
        <v>8.6</v>
      </c>
      <c r="D92" s="4">
        <v>15.0</v>
      </c>
      <c r="E92" s="4">
        <f t="shared" si="1"/>
        <v>1</v>
      </c>
      <c r="J92" s="4">
        <v>0.8</v>
      </c>
      <c r="K92" s="4">
        <v>11.4</v>
      </c>
      <c r="L92" s="4">
        <f t="shared" si="6"/>
        <v>8</v>
      </c>
      <c r="O92" s="4">
        <f t="shared" si="9"/>
        <v>0.8</v>
      </c>
      <c r="P92" s="4">
        <f t="shared" si="10"/>
        <v>11.4</v>
      </c>
    </row>
    <row r="93" ht="15.75" customHeight="1">
      <c r="A93" s="7">
        <v>1983.0</v>
      </c>
      <c r="B93" s="4">
        <v>243.0</v>
      </c>
      <c r="C93" s="4">
        <v>7.8</v>
      </c>
      <c r="D93" s="4">
        <v>18.6</v>
      </c>
      <c r="E93" s="4">
        <f t="shared" si="1"/>
        <v>0</v>
      </c>
      <c r="K93" s="4">
        <v>14.0</v>
      </c>
      <c r="L93" s="4">
        <f t="shared" si="6"/>
        <v>3</v>
      </c>
      <c r="O93" s="4" t="str">
        <f t="shared" si="9"/>
        <v/>
      </c>
      <c r="P93" s="4">
        <f t="shared" si="10"/>
        <v>14</v>
      </c>
    </row>
    <row r="94" ht="15.75" customHeight="1"/>
    <row r="95" ht="15.75" customHeight="1"/>
    <row r="96" ht="15.75" customHeight="1">
      <c r="O96" s="4">
        <f>SUM(O2:O93)</f>
        <v>174.7</v>
      </c>
      <c r="P96" s="4">
        <f>SUMIF(P2:P93,"&gt;0")/10</f>
        <v>136.12</v>
      </c>
    </row>
    <row r="97" ht="15.75" customHeight="1"/>
    <row r="98" ht="15.75" customHeight="1">
      <c r="I98" s="4">
        <f>SUM(I2:I87)</f>
        <v>55.3385</v>
      </c>
      <c r="O98" s="4" t="s">
        <v>15</v>
      </c>
      <c r="P98" s="4">
        <f>O96/P96</f>
        <v>1.283426388</v>
      </c>
    </row>
    <row r="99" ht="15.75" customHeight="1">
      <c r="I99" s="4">
        <f>SUM(I2:I31)</f>
        <v>38.021</v>
      </c>
      <c r="O99" s="4" t="s">
        <v>16</v>
      </c>
      <c r="P99" s="4">
        <f>SUM(O2:O31)/(SUM(P2:P31)/10)</f>
        <v>1.81455898</v>
      </c>
    </row>
    <row r="100" ht="15.75" customHeight="1">
      <c r="I100" s="4">
        <f>SUM(I32:I62)</f>
        <v>10.9775</v>
      </c>
      <c r="O100" s="4" t="s">
        <v>17</v>
      </c>
      <c r="P100" s="4">
        <f>SUM(O33:O62)/(SUM(P33:P62)/10)</f>
        <v>1.499317606</v>
      </c>
    </row>
    <row r="101" ht="15.75" customHeight="1">
      <c r="I101" s="4">
        <f>SUM(I63:I93)</f>
        <v>6.34</v>
      </c>
      <c r="O101" s="4" t="s">
        <v>18</v>
      </c>
      <c r="P101" s="4">
        <f>SUM(O63:O93)/(SUM(P63:P93)/10)</f>
        <v>0.6507831458</v>
      </c>
    </row>
    <row r="102" ht="15.75" customHeight="1">
      <c r="I102" s="4">
        <f>SUMIF(I2:I87,"&gt;0")</f>
        <v>55.3385</v>
      </c>
    </row>
    <row r="103" ht="15.75" customHeight="1">
      <c r="I103" s="4">
        <f>SUMIF(I2:I31,"&gt;0")</f>
        <v>38.021</v>
      </c>
    </row>
    <row r="104" ht="15.75" customHeight="1">
      <c r="I104" s="4">
        <f>SUMIF(I32:I62,"&gt;0")</f>
        <v>10.9775</v>
      </c>
      <c r="P104" s="4">
        <f>SUM(O16:O35)/(SUM(P16:P35)/10)</f>
        <v>1.022304833</v>
      </c>
    </row>
    <row r="105" ht="15.75" customHeight="1">
      <c r="I105" s="4">
        <f>SUMIF(I63:I87,"&gt;0")</f>
        <v>6.34</v>
      </c>
      <c r="P105" s="4">
        <f>SUM(O36:O55)/(SUM(P36:P55)/10)</f>
        <v>1.927531928</v>
      </c>
    </row>
    <row r="106" ht="15.75" customHeight="1">
      <c r="P106" s="4">
        <f>SUM(O56:O77)/(SUM(P56:P77)/10)</f>
        <v>0.4192708333</v>
      </c>
    </row>
    <row r="107" ht="15.75" customHeight="1">
      <c r="P107" s="4">
        <f>SUM(O16:O77)/(SUM(P16:P77)/10)</f>
        <v>1.096291806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8.71"/>
  </cols>
  <sheetData>
    <row r="1">
      <c r="A1" s="3"/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8">
        <v>1984.0</v>
      </c>
      <c r="B2" s="9">
        <v>153.0</v>
      </c>
      <c r="C2" s="4">
        <v>10.2</v>
      </c>
      <c r="D2" s="4">
        <v>25.0</v>
      </c>
      <c r="E2" s="4">
        <f t="shared" ref="E2:E93" si="1">IF(J2&gt;0,1,0)</f>
        <v>0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30.027</v>
      </c>
      <c r="H2" s="4">
        <f t="shared" ref="H2:H87" si="4">0.63 * D2 + 0.37 * D3 + 0.49 * D4 + 0.22 * D5 + 0.65 * D6 + 0.24 *C2 - 0.06 * C3- 0.15 * C4 - 0.135 * C5 + 0.15 * C6 + 4.88 * E2 + 3.55 * E3 + 3.34 *E4 + 2.5 * E5 + 2.29 *E6-31.34</f>
        <v>25.286</v>
      </c>
      <c r="I2" s="4" t="str">
        <f t="shared" ref="I2:I87" si="5">IF((H2-G2)&gt;0,H2-G2," ")</f>
        <v> </v>
      </c>
      <c r="K2" s="4">
        <v>19.0</v>
      </c>
      <c r="L2" s="4">
        <f t="shared" ref="L2:L93" si="6">IF(E2&gt;0,8,3)</f>
        <v>3</v>
      </c>
      <c r="M2" s="4">
        <f t="shared" ref="M2:M87" si="7">IF(N2&gt;=0,1,0)</f>
        <v>0</v>
      </c>
      <c r="N2" s="4">
        <f t="shared" ref="N2:N87" si="8">-0.216*D2-0.191*D3-0.119*D4+0.004*C2-0.171*C3+0.628*C4-0.479*L2+0.513*L3+0.046*L4+5.947*E2+6.699*E3+4.328*E4-1.788</f>
        <v>-11.0089</v>
      </c>
      <c r="O2" s="4" t="str">
        <f t="shared" ref="O2:O93" si="9">IF(K2&gt;10,J2,0)</f>
        <v/>
      </c>
      <c r="P2" s="4">
        <f t="shared" ref="P2:P93" si="10">IF(K2&gt;10,K2,0)</f>
        <v>19</v>
      </c>
    </row>
    <row r="3">
      <c r="A3" s="8">
        <v>1984.0</v>
      </c>
      <c r="B3" s="9">
        <v>154.0</v>
      </c>
      <c r="C3" s="4">
        <v>11.0</v>
      </c>
      <c r="D3" s="4">
        <v>17.8</v>
      </c>
      <c r="E3" s="4">
        <f t="shared" si="1"/>
        <v>0</v>
      </c>
      <c r="F3" s="4">
        <f t="shared" si="2"/>
        <v>0</v>
      </c>
      <c r="G3" s="4">
        <f t="shared" si="3"/>
        <v>29.595</v>
      </c>
      <c r="H3" s="4">
        <f t="shared" si="4"/>
        <v>26.5065</v>
      </c>
      <c r="I3" s="4" t="str">
        <f t="shared" si="5"/>
        <v> </v>
      </c>
      <c r="K3" s="4">
        <v>15.5</v>
      </c>
      <c r="L3" s="4">
        <f t="shared" si="6"/>
        <v>3</v>
      </c>
      <c r="M3" s="4">
        <f t="shared" si="7"/>
        <v>0</v>
      </c>
      <c r="N3" s="4">
        <f t="shared" si="8"/>
        <v>-8.6102</v>
      </c>
      <c r="O3" s="4" t="str">
        <f t="shared" si="9"/>
        <v/>
      </c>
      <c r="P3" s="4">
        <f t="shared" si="10"/>
        <v>15.5</v>
      </c>
    </row>
    <row r="4">
      <c r="A4" s="8">
        <v>1984.0</v>
      </c>
      <c r="B4" s="9">
        <v>155.0</v>
      </c>
      <c r="C4" s="4">
        <v>5.8</v>
      </c>
      <c r="D4" s="4">
        <v>20.7</v>
      </c>
      <c r="E4" s="4">
        <f t="shared" si="1"/>
        <v>0</v>
      </c>
      <c r="F4" s="4">
        <f t="shared" si="2"/>
        <v>0</v>
      </c>
      <c r="G4" s="4">
        <f t="shared" si="3"/>
        <v>31.343</v>
      </c>
      <c r="H4" s="4">
        <f t="shared" si="4"/>
        <v>29.382</v>
      </c>
      <c r="I4" s="4" t="str">
        <f t="shared" si="5"/>
        <v> </v>
      </c>
      <c r="K4" s="4">
        <v>14.9</v>
      </c>
      <c r="L4" s="4">
        <f t="shared" si="6"/>
        <v>3</v>
      </c>
      <c r="M4" s="4">
        <f t="shared" si="7"/>
        <v>0</v>
      </c>
      <c r="N4" s="4">
        <f t="shared" si="8"/>
        <v>-7.65</v>
      </c>
      <c r="O4" s="4" t="str">
        <f t="shared" si="9"/>
        <v/>
      </c>
      <c r="P4" s="4">
        <f t="shared" si="10"/>
        <v>14.9</v>
      </c>
    </row>
    <row r="5">
      <c r="A5" s="8">
        <v>1984.0</v>
      </c>
      <c r="B5" s="9">
        <v>156.0</v>
      </c>
      <c r="C5" s="4">
        <v>7.4</v>
      </c>
      <c r="D5" s="4">
        <v>24.9</v>
      </c>
      <c r="E5" s="4">
        <f t="shared" si="1"/>
        <v>0</v>
      </c>
      <c r="F5" s="4">
        <f t="shared" si="2"/>
        <v>0</v>
      </c>
      <c r="G5" s="4">
        <f t="shared" si="3"/>
        <v>35.549</v>
      </c>
      <c r="H5" s="4">
        <f t="shared" si="4"/>
        <v>34.6385</v>
      </c>
      <c r="I5" s="4" t="str">
        <f t="shared" si="5"/>
        <v> </v>
      </c>
      <c r="K5" s="4">
        <v>17.5</v>
      </c>
      <c r="L5" s="4">
        <f t="shared" si="6"/>
        <v>3</v>
      </c>
      <c r="M5" s="4">
        <f t="shared" si="7"/>
        <v>0</v>
      </c>
      <c r="N5" s="4">
        <f t="shared" si="8"/>
        <v>-5.5263</v>
      </c>
      <c r="O5" s="4" t="str">
        <f t="shared" si="9"/>
        <v/>
      </c>
      <c r="P5" s="4">
        <f t="shared" si="10"/>
        <v>17.5</v>
      </c>
    </row>
    <row r="6">
      <c r="A6" s="8">
        <v>1984.0</v>
      </c>
      <c r="B6" s="9">
        <v>157.0</v>
      </c>
      <c r="C6" s="4">
        <v>11.9</v>
      </c>
      <c r="D6" s="4">
        <v>26.1</v>
      </c>
      <c r="E6" s="4">
        <f t="shared" si="1"/>
        <v>0</v>
      </c>
      <c r="F6" s="4">
        <f t="shared" si="2"/>
        <v>0</v>
      </c>
      <c r="G6" s="4">
        <f t="shared" si="3"/>
        <v>36.729</v>
      </c>
      <c r="H6" s="4">
        <f t="shared" si="4"/>
        <v>36.496</v>
      </c>
      <c r="I6" s="4" t="str">
        <f t="shared" si="5"/>
        <v> </v>
      </c>
      <c r="K6" s="4">
        <v>19.5</v>
      </c>
      <c r="L6" s="4">
        <f t="shared" si="6"/>
        <v>3</v>
      </c>
      <c r="M6" s="4">
        <f t="shared" si="7"/>
        <v>1</v>
      </c>
      <c r="N6" s="4">
        <f t="shared" si="8"/>
        <v>4.26</v>
      </c>
      <c r="O6" s="4" t="str">
        <f t="shared" si="9"/>
        <v/>
      </c>
      <c r="P6" s="4">
        <f t="shared" si="10"/>
        <v>19.5</v>
      </c>
    </row>
    <row r="7">
      <c r="A7" s="8">
        <v>1984.0</v>
      </c>
      <c r="B7" s="9">
        <v>158.0</v>
      </c>
      <c r="C7" s="4">
        <v>11.2</v>
      </c>
      <c r="D7" s="4">
        <v>26.9</v>
      </c>
      <c r="E7" s="4">
        <f t="shared" si="1"/>
        <v>1</v>
      </c>
      <c r="F7" s="4">
        <f t="shared" si="2"/>
        <v>1</v>
      </c>
      <c r="G7" s="4">
        <f t="shared" si="3"/>
        <v>32.55</v>
      </c>
      <c r="H7" s="4">
        <f t="shared" si="4"/>
        <v>34.871</v>
      </c>
      <c r="I7" s="4">
        <f t="shared" si="5"/>
        <v>2.321</v>
      </c>
      <c r="J7" s="4">
        <v>1.4</v>
      </c>
      <c r="K7" s="4">
        <v>19.2</v>
      </c>
      <c r="L7" s="4">
        <f t="shared" si="6"/>
        <v>8</v>
      </c>
      <c r="M7" s="4">
        <f t="shared" si="7"/>
        <v>1</v>
      </c>
      <c r="N7" s="4">
        <f t="shared" si="8"/>
        <v>8.606</v>
      </c>
      <c r="O7" s="4">
        <f t="shared" si="9"/>
        <v>1.4</v>
      </c>
      <c r="P7" s="4">
        <f t="shared" si="10"/>
        <v>19.2</v>
      </c>
    </row>
    <row r="8">
      <c r="A8" s="8">
        <v>1984.0</v>
      </c>
      <c r="B8" s="9">
        <v>159.0</v>
      </c>
      <c r="C8" s="4">
        <v>11.9</v>
      </c>
      <c r="D8" s="4">
        <v>23.9</v>
      </c>
      <c r="E8" s="4">
        <f t="shared" si="1"/>
        <v>1</v>
      </c>
      <c r="F8" s="4">
        <f t="shared" si="2"/>
        <v>1</v>
      </c>
      <c r="G8" s="4">
        <f t="shared" si="3"/>
        <v>28.255</v>
      </c>
      <c r="H8" s="4">
        <f t="shared" si="4"/>
        <v>31.4535</v>
      </c>
      <c r="I8" s="4">
        <f t="shared" si="5"/>
        <v>3.1985</v>
      </c>
      <c r="J8" s="4">
        <v>4.7</v>
      </c>
      <c r="K8" s="4">
        <v>17.4</v>
      </c>
      <c r="L8" s="4">
        <f t="shared" si="6"/>
        <v>8</v>
      </c>
      <c r="M8" s="4">
        <f t="shared" si="7"/>
        <v>1</v>
      </c>
      <c r="N8" s="4">
        <f t="shared" si="8"/>
        <v>7.9994</v>
      </c>
      <c r="O8" s="4">
        <f t="shared" si="9"/>
        <v>4.7</v>
      </c>
      <c r="P8" s="4">
        <f t="shared" si="10"/>
        <v>17.4</v>
      </c>
    </row>
    <row r="9">
      <c r="A9" s="8">
        <v>1984.0</v>
      </c>
      <c r="B9" s="9">
        <v>160.0</v>
      </c>
      <c r="C9" s="4">
        <v>12.4</v>
      </c>
      <c r="D9" s="4">
        <v>22.2</v>
      </c>
      <c r="E9" s="4">
        <f t="shared" si="1"/>
        <v>1</v>
      </c>
      <c r="F9" s="4">
        <f t="shared" si="2"/>
        <v>1</v>
      </c>
      <c r="G9" s="4">
        <f t="shared" si="3"/>
        <v>22.203</v>
      </c>
      <c r="H9" s="4">
        <f t="shared" si="4"/>
        <v>26.525</v>
      </c>
      <c r="I9" s="4">
        <f t="shared" si="5"/>
        <v>4.322</v>
      </c>
      <c r="J9" s="4">
        <v>2.1</v>
      </c>
      <c r="K9" s="4">
        <v>16.5</v>
      </c>
      <c r="L9" s="4">
        <f t="shared" si="6"/>
        <v>8</v>
      </c>
      <c r="M9" s="4">
        <f t="shared" si="7"/>
        <v>1</v>
      </c>
      <c r="N9" s="4">
        <f t="shared" si="8"/>
        <v>7.305</v>
      </c>
      <c r="O9" s="4">
        <f t="shared" si="9"/>
        <v>2.1</v>
      </c>
      <c r="P9" s="4">
        <f t="shared" si="10"/>
        <v>16.5</v>
      </c>
    </row>
    <row r="10">
      <c r="A10" s="8">
        <v>1984.0</v>
      </c>
      <c r="B10" s="9">
        <v>161.0</v>
      </c>
      <c r="C10" s="4">
        <v>9.6</v>
      </c>
      <c r="D10" s="4">
        <v>20.0</v>
      </c>
      <c r="E10" s="4">
        <f t="shared" si="1"/>
        <v>1</v>
      </c>
      <c r="F10" s="4">
        <f t="shared" si="2"/>
        <v>1</v>
      </c>
      <c r="G10" s="4">
        <f t="shared" si="3"/>
        <v>17.403</v>
      </c>
      <c r="H10" s="4">
        <f t="shared" si="4"/>
        <v>21.4925</v>
      </c>
      <c r="I10" s="4">
        <f t="shared" si="5"/>
        <v>4.0895</v>
      </c>
      <c r="J10" s="4">
        <v>29.9</v>
      </c>
      <c r="K10" s="4">
        <v>14.4</v>
      </c>
      <c r="L10" s="4">
        <f t="shared" si="6"/>
        <v>8</v>
      </c>
      <c r="M10" s="4">
        <f t="shared" si="7"/>
        <v>1</v>
      </c>
      <c r="N10" s="4">
        <f t="shared" si="8"/>
        <v>7.9757</v>
      </c>
      <c r="O10" s="4">
        <f t="shared" si="9"/>
        <v>29.9</v>
      </c>
      <c r="P10" s="4">
        <f t="shared" si="10"/>
        <v>14.4</v>
      </c>
    </row>
    <row r="11">
      <c r="A11" s="8">
        <v>1984.0</v>
      </c>
      <c r="B11" s="9">
        <v>162.0</v>
      </c>
      <c r="C11" s="4">
        <v>5.3</v>
      </c>
      <c r="D11" s="4">
        <v>13.8</v>
      </c>
      <c r="E11" s="4">
        <f t="shared" si="1"/>
        <v>1</v>
      </c>
      <c r="F11" s="4">
        <f t="shared" si="2"/>
        <v>1</v>
      </c>
      <c r="G11" s="4">
        <f t="shared" si="3"/>
        <v>13.26</v>
      </c>
      <c r="H11" s="4">
        <f t="shared" si="4"/>
        <v>17.7545</v>
      </c>
      <c r="I11" s="4">
        <f t="shared" si="5"/>
        <v>4.4945</v>
      </c>
      <c r="J11" s="4">
        <v>2.5</v>
      </c>
      <c r="K11" s="4">
        <v>9.2</v>
      </c>
      <c r="L11" s="4">
        <f t="shared" si="6"/>
        <v>8</v>
      </c>
      <c r="M11" s="4">
        <f t="shared" si="7"/>
        <v>1</v>
      </c>
      <c r="N11" s="4">
        <f t="shared" si="8"/>
        <v>12.9897</v>
      </c>
      <c r="O11" s="4">
        <f t="shared" si="9"/>
        <v>0</v>
      </c>
      <c r="P11" s="4">
        <f t="shared" si="10"/>
        <v>0</v>
      </c>
    </row>
    <row r="12">
      <c r="A12" s="8">
        <v>1984.0</v>
      </c>
      <c r="B12" s="9">
        <v>163.0</v>
      </c>
      <c r="C12" s="4">
        <v>2.8</v>
      </c>
      <c r="D12" s="4">
        <v>15.0</v>
      </c>
      <c r="E12" s="4">
        <f t="shared" si="1"/>
        <v>1</v>
      </c>
      <c r="F12" s="4">
        <f t="shared" si="2"/>
        <v>1</v>
      </c>
      <c r="G12" s="4">
        <f t="shared" si="3"/>
        <v>12.688</v>
      </c>
      <c r="H12" s="4">
        <f t="shared" si="4"/>
        <v>15.51</v>
      </c>
      <c r="I12" s="4">
        <f t="shared" si="5"/>
        <v>2.822</v>
      </c>
      <c r="J12" s="4">
        <v>8.2</v>
      </c>
      <c r="K12" s="4">
        <v>9.4</v>
      </c>
      <c r="L12" s="4">
        <f t="shared" si="6"/>
        <v>8</v>
      </c>
      <c r="M12" s="4">
        <f t="shared" si="7"/>
        <v>1</v>
      </c>
      <c r="N12" s="4">
        <f t="shared" si="8"/>
        <v>11.7195</v>
      </c>
      <c r="O12" s="4">
        <f t="shared" si="9"/>
        <v>0</v>
      </c>
      <c r="P12" s="4">
        <f t="shared" si="10"/>
        <v>0</v>
      </c>
    </row>
    <row r="13">
      <c r="A13" s="8">
        <v>1984.0</v>
      </c>
      <c r="B13" s="9">
        <v>164.0</v>
      </c>
      <c r="C13" s="4">
        <v>7.7</v>
      </c>
      <c r="D13" s="4">
        <v>11.5</v>
      </c>
      <c r="E13" s="4">
        <f t="shared" si="1"/>
        <v>1</v>
      </c>
      <c r="F13" s="4">
        <f t="shared" si="2"/>
        <v>1</v>
      </c>
      <c r="G13" s="4">
        <f t="shared" si="3"/>
        <v>12.885</v>
      </c>
      <c r="H13" s="4">
        <f t="shared" si="4"/>
        <v>17.977</v>
      </c>
      <c r="I13" s="4">
        <f t="shared" si="5"/>
        <v>5.092</v>
      </c>
      <c r="J13" s="4">
        <v>1.6</v>
      </c>
      <c r="K13" s="4">
        <v>9.5</v>
      </c>
      <c r="L13" s="4">
        <f t="shared" si="6"/>
        <v>8</v>
      </c>
      <c r="M13" s="4">
        <f t="shared" si="7"/>
        <v>1</v>
      </c>
      <c r="N13" s="4">
        <f t="shared" si="8"/>
        <v>11.5489</v>
      </c>
      <c r="O13" s="4">
        <f t="shared" si="9"/>
        <v>0</v>
      </c>
      <c r="P13" s="4">
        <f t="shared" si="10"/>
        <v>0</v>
      </c>
    </row>
    <row r="14">
      <c r="A14" s="8">
        <v>1984.0</v>
      </c>
      <c r="B14" s="9">
        <v>165.0</v>
      </c>
      <c r="C14" s="4">
        <v>6.3</v>
      </c>
      <c r="D14" s="4">
        <v>11.1</v>
      </c>
      <c r="E14" s="4">
        <f t="shared" si="1"/>
        <v>1</v>
      </c>
      <c r="F14" s="4">
        <f t="shared" si="2"/>
        <v>1</v>
      </c>
      <c r="G14" s="4">
        <f t="shared" si="3"/>
        <v>15.233</v>
      </c>
      <c r="H14" s="4">
        <f t="shared" si="4"/>
        <v>18.251</v>
      </c>
      <c r="I14" s="4">
        <f t="shared" si="5"/>
        <v>3.018</v>
      </c>
      <c r="J14" s="4">
        <v>5.9</v>
      </c>
      <c r="K14" s="4">
        <v>8.3</v>
      </c>
      <c r="L14" s="4">
        <f t="shared" si="6"/>
        <v>8</v>
      </c>
      <c r="M14" s="4">
        <f t="shared" si="7"/>
        <v>1</v>
      </c>
      <c r="N14" s="4">
        <f t="shared" si="8"/>
        <v>6.2954</v>
      </c>
      <c r="O14" s="4">
        <f t="shared" si="9"/>
        <v>0</v>
      </c>
      <c r="P14" s="4">
        <f t="shared" si="10"/>
        <v>0</v>
      </c>
    </row>
    <row r="15">
      <c r="A15" s="8">
        <v>1984.0</v>
      </c>
      <c r="B15" s="9">
        <v>166.0</v>
      </c>
      <c r="C15" s="4">
        <v>5.2</v>
      </c>
      <c r="D15" s="4">
        <v>15.9</v>
      </c>
      <c r="E15" s="4">
        <f t="shared" si="1"/>
        <v>1</v>
      </c>
      <c r="F15" s="4">
        <f t="shared" si="2"/>
        <v>1</v>
      </c>
      <c r="G15" s="4">
        <f t="shared" si="3"/>
        <v>17.008</v>
      </c>
      <c r="H15" s="4">
        <f t="shared" si="4"/>
        <v>19.894</v>
      </c>
      <c r="I15" s="4">
        <f t="shared" si="5"/>
        <v>2.886</v>
      </c>
      <c r="J15" s="4">
        <v>0.8</v>
      </c>
      <c r="K15" s="4">
        <v>10.9</v>
      </c>
      <c r="L15" s="4">
        <f t="shared" si="6"/>
        <v>8</v>
      </c>
      <c r="M15" s="4">
        <f t="shared" si="7"/>
        <v>1</v>
      </c>
      <c r="N15" s="4">
        <f t="shared" si="8"/>
        <v>3.9291</v>
      </c>
      <c r="O15" s="4">
        <f t="shared" si="9"/>
        <v>0.8</v>
      </c>
      <c r="P15" s="4">
        <f t="shared" si="10"/>
        <v>10.9</v>
      </c>
    </row>
    <row r="16">
      <c r="A16" s="8">
        <v>1984.0</v>
      </c>
      <c r="B16" s="9">
        <v>167.0</v>
      </c>
      <c r="C16" s="4">
        <v>5.2</v>
      </c>
      <c r="D16" s="4">
        <v>16.3</v>
      </c>
      <c r="E16" s="4">
        <f t="shared" si="1"/>
        <v>0</v>
      </c>
      <c r="F16" s="4">
        <f t="shared" si="2"/>
        <v>1</v>
      </c>
      <c r="G16" s="4">
        <f t="shared" si="3"/>
        <v>17.15</v>
      </c>
      <c r="H16" s="4">
        <f t="shared" si="4"/>
        <v>17.527</v>
      </c>
      <c r="I16" s="4">
        <f t="shared" si="5"/>
        <v>0.377</v>
      </c>
      <c r="K16" s="4">
        <v>11.4</v>
      </c>
      <c r="L16" s="4">
        <f t="shared" si="6"/>
        <v>3</v>
      </c>
      <c r="M16" s="4">
        <f t="shared" si="7"/>
        <v>1</v>
      </c>
      <c r="N16" s="4">
        <f t="shared" si="8"/>
        <v>7.5272</v>
      </c>
      <c r="O16" s="4" t="str">
        <f t="shared" si="9"/>
        <v/>
      </c>
      <c r="P16" s="4">
        <f t="shared" si="10"/>
        <v>11.4</v>
      </c>
    </row>
    <row r="17">
      <c r="A17" s="8">
        <v>1984.0</v>
      </c>
      <c r="B17" s="9">
        <v>168.0</v>
      </c>
      <c r="C17" s="4">
        <v>10.8</v>
      </c>
      <c r="D17" s="4">
        <v>16.8</v>
      </c>
      <c r="E17" s="4">
        <f t="shared" si="1"/>
        <v>1</v>
      </c>
      <c r="F17" s="4">
        <f t="shared" si="2"/>
        <v>1</v>
      </c>
      <c r="G17" s="4">
        <f t="shared" si="3"/>
        <v>23.42</v>
      </c>
      <c r="H17" s="4">
        <f t="shared" si="4"/>
        <v>26.091</v>
      </c>
      <c r="I17" s="4">
        <f t="shared" si="5"/>
        <v>2.671</v>
      </c>
      <c r="J17" s="4">
        <v>12.4</v>
      </c>
      <c r="K17" s="4">
        <v>13.2</v>
      </c>
      <c r="L17" s="4">
        <f t="shared" si="6"/>
        <v>8</v>
      </c>
      <c r="M17" s="4">
        <f t="shared" si="7"/>
        <v>1</v>
      </c>
      <c r="N17" s="4">
        <f t="shared" si="8"/>
        <v>11.8867</v>
      </c>
      <c r="O17" s="4">
        <f t="shared" si="9"/>
        <v>12.4</v>
      </c>
      <c r="P17" s="4">
        <f t="shared" si="10"/>
        <v>13.2</v>
      </c>
    </row>
    <row r="18">
      <c r="A18" s="8">
        <v>1984.0</v>
      </c>
      <c r="B18" s="9">
        <v>169.0</v>
      </c>
      <c r="C18" s="4">
        <v>9.4</v>
      </c>
      <c r="D18" s="4">
        <v>17.6</v>
      </c>
      <c r="E18" s="4">
        <f t="shared" si="1"/>
        <v>1</v>
      </c>
      <c r="F18" s="4">
        <f t="shared" si="2"/>
        <v>1</v>
      </c>
      <c r="G18" s="4">
        <f t="shared" si="3"/>
        <v>23.564</v>
      </c>
      <c r="H18" s="4">
        <f t="shared" si="4"/>
        <v>25.4175</v>
      </c>
      <c r="I18" s="4">
        <f t="shared" si="5"/>
        <v>1.8535</v>
      </c>
      <c r="J18" s="4">
        <v>2.9</v>
      </c>
      <c r="K18" s="4">
        <v>12.7</v>
      </c>
      <c r="L18" s="4">
        <f t="shared" si="6"/>
        <v>8</v>
      </c>
      <c r="M18" s="4">
        <f t="shared" si="7"/>
        <v>1</v>
      </c>
      <c r="N18" s="4">
        <f t="shared" si="8"/>
        <v>6.6867</v>
      </c>
      <c r="O18" s="4">
        <f t="shared" si="9"/>
        <v>2.9</v>
      </c>
      <c r="P18" s="4">
        <f t="shared" si="10"/>
        <v>12.7</v>
      </c>
    </row>
    <row r="19">
      <c r="A19" s="8">
        <v>1984.0</v>
      </c>
      <c r="B19" s="9">
        <v>170.0</v>
      </c>
      <c r="C19" s="4">
        <v>10.4</v>
      </c>
      <c r="D19" s="4">
        <v>16.1</v>
      </c>
      <c r="E19" s="4">
        <f t="shared" si="1"/>
        <v>1</v>
      </c>
      <c r="F19" s="4">
        <f t="shared" si="2"/>
        <v>1</v>
      </c>
      <c r="G19" s="4">
        <f t="shared" si="3"/>
        <v>25.569</v>
      </c>
      <c r="H19" s="4">
        <f t="shared" si="4"/>
        <v>27.7385</v>
      </c>
      <c r="I19" s="4">
        <f t="shared" si="5"/>
        <v>2.1695</v>
      </c>
      <c r="J19" s="4">
        <v>2.4</v>
      </c>
      <c r="K19" s="4">
        <v>12.8</v>
      </c>
      <c r="L19" s="4">
        <f t="shared" si="6"/>
        <v>8</v>
      </c>
      <c r="M19" s="4">
        <f t="shared" si="7"/>
        <v>1</v>
      </c>
      <c r="N19" s="4">
        <f t="shared" si="8"/>
        <v>1.996</v>
      </c>
      <c r="O19" s="4">
        <f t="shared" si="9"/>
        <v>2.4</v>
      </c>
      <c r="P19" s="4">
        <f t="shared" si="10"/>
        <v>12.8</v>
      </c>
    </row>
    <row r="20">
      <c r="A20" s="8">
        <v>1984.0</v>
      </c>
      <c r="B20" s="9">
        <v>171.0</v>
      </c>
      <c r="C20" s="4">
        <v>9.8</v>
      </c>
      <c r="D20" s="4">
        <v>17.8</v>
      </c>
      <c r="E20" s="4">
        <f t="shared" si="1"/>
        <v>0</v>
      </c>
      <c r="F20" s="4">
        <f t="shared" si="2"/>
        <v>0</v>
      </c>
      <c r="G20" s="4">
        <f t="shared" si="3"/>
        <v>27.883</v>
      </c>
      <c r="H20" s="4">
        <f t="shared" si="4"/>
        <v>27.359</v>
      </c>
      <c r="I20" s="4" t="str">
        <f t="shared" si="5"/>
        <v> </v>
      </c>
      <c r="K20" s="4">
        <v>13.7</v>
      </c>
      <c r="L20" s="4">
        <f t="shared" si="6"/>
        <v>3</v>
      </c>
      <c r="M20" s="4">
        <f t="shared" si="7"/>
        <v>1</v>
      </c>
      <c r="N20" s="4">
        <f t="shared" si="8"/>
        <v>5.8671</v>
      </c>
      <c r="O20" s="4" t="str">
        <f t="shared" si="9"/>
        <v/>
      </c>
      <c r="P20" s="4">
        <f t="shared" si="10"/>
        <v>13.7</v>
      </c>
    </row>
    <row r="21" ht="15.75" customHeight="1">
      <c r="A21" s="8">
        <v>1984.0</v>
      </c>
      <c r="B21" s="9">
        <v>172.0</v>
      </c>
      <c r="C21" s="4">
        <v>10.3</v>
      </c>
      <c r="D21" s="4">
        <v>21.2</v>
      </c>
      <c r="E21" s="4">
        <f t="shared" si="1"/>
        <v>1</v>
      </c>
      <c r="F21" s="4">
        <f t="shared" si="2"/>
        <v>1</v>
      </c>
      <c r="G21" s="4">
        <f t="shared" si="3"/>
        <v>31.991</v>
      </c>
      <c r="H21" s="4">
        <f t="shared" si="4"/>
        <v>34.635</v>
      </c>
      <c r="I21" s="4">
        <f t="shared" si="5"/>
        <v>2.644</v>
      </c>
      <c r="J21" s="4">
        <v>2.4</v>
      </c>
      <c r="K21" s="4">
        <v>15.7</v>
      </c>
      <c r="L21" s="4">
        <f t="shared" si="6"/>
        <v>8</v>
      </c>
      <c r="M21" s="4">
        <f t="shared" si="7"/>
        <v>1</v>
      </c>
      <c r="N21" s="4">
        <f t="shared" si="8"/>
        <v>9.0277</v>
      </c>
      <c r="O21" s="4">
        <f t="shared" si="9"/>
        <v>2.4</v>
      </c>
      <c r="P21" s="4">
        <f t="shared" si="10"/>
        <v>15.7</v>
      </c>
    </row>
    <row r="22" ht="15.75" customHeight="1">
      <c r="A22" s="8">
        <v>1984.0</v>
      </c>
      <c r="B22" s="9">
        <v>173.0</v>
      </c>
      <c r="C22" s="4">
        <v>8.9</v>
      </c>
      <c r="D22" s="4">
        <v>20.0</v>
      </c>
      <c r="E22" s="4">
        <f t="shared" si="1"/>
        <v>1</v>
      </c>
      <c r="F22" s="4">
        <f t="shared" si="2"/>
        <v>1</v>
      </c>
      <c r="G22" s="4">
        <f t="shared" si="3"/>
        <v>32.653</v>
      </c>
      <c r="H22" s="4">
        <f t="shared" si="4"/>
        <v>34.1165</v>
      </c>
      <c r="I22" s="4">
        <f t="shared" si="5"/>
        <v>1.4635</v>
      </c>
      <c r="J22" s="4">
        <v>0.4</v>
      </c>
      <c r="K22" s="4">
        <v>15.2</v>
      </c>
      <c r="L22" s="4">
        <f t="shared" si="6"/>
        <v>8</v>
      </c>
      <c r="M22" s="4">
        <f t="shared" si="7"/>
        <v>1</v>
      </c>
      <c r="N22" s="4">
        <f t="shared" si="8"/>
        <v>4.8501</v>
      </c>
      <c r="O22" s="4">
        <f t="shared" si="9"/>
        <v>0.4</v>
      </c>
      <c r="P22" s="4">
        <f t="shared" si="10"/>
        <v>15.2</v>
      </c>
    </row>
    <row r="23" ht="15.75" customHeight="1">
      <c r="A23" s="8">
        <v>1984.0</v>
      </c>
      <c r="B23" s="9">
        <v>174.0</v>
      </c>
      <c r="C23" s="4">
        <v>9.0</v>
      </c>
      <c r="D23" s="4">
        <v>21.6</v>
      </c>
      <c r="E23" s="4">
        <f t="shared" si="1"/>
        <v>1</v>
      </c>
      <c r="F23" s="4">
        <f t="shared" si="2"/>
        <v>1</v>
      </c>
      <c r="G23" s="4">
        <f t="shared" si="3"/>
        <v>29.605</v>
      </c>
      <c r="H23" s="4">
        <f t="shared" si="4"/>
        <v>30.465</v>
      </c>
      <c r="I23" s="4">
        <f t="shared" si="5"/>
        <v>0.86</v>
      </c>
      <c r="J23" s="4">
        <v>0.5</v>
      </c>
      <c r="K23" s="4">
        <v>15.6</v>
      </c>
      <c r="L23" s="4">
        <f t="shared" si="6"/>
        <v>8</v>
      </c>
      <c r="M23" s="4">
        <f t="shared" si="7"/>
        <v>1</v>
      </c>
      <c r="N23" s="4">
        <f t="shared" si="8"/>
        <v>1.9453</v>
      </c>
      <c r="O23" s="4">
        <f t="shared" si="9"/>
        <v>0.5</v>
      </c>
      <c r="P23" s="4">
        <f t="shared" si="10"/>
        <v>15.6</v>
      </c>
    </row>
    <row r="24" ht="15.75" customHeight="1">
      <c r="A24" s="8">
        <v>1984.0</v>
      </c>
      <c r="B24" s="9">
        <v>175.0</v>
      </c>
      <c r="C24" s="4">
        <v>10.0</v>
      </c>
      <c r="D24" s="4">
        <v>23.1</v>
      </c>
      <c r="E24" s="4">
        <f t="shared" si="1"/>
        <v>0</v>
      </c>
      <c r="F24" s="4">
        <f t="shared" si="2"/>
        <v>0</v>
      </c>
      <c r="G24" s="4">
        <f t="shared" si="3"/>
        <v>28.399</v>
      </c>
      <c r="H24" s="4">
        <f t="shared" si="4"/>
        <v>27.738</v>
      </c>
      <c r="I24" s="4" t="str">
        <f t="shared" si="5"/>
        <v> </v>
      </c>
      <c r="K24" s="4">
        <v>17.6</v>
      </c>
      <c r="L24" s="4">
        <f t="shared" si="6"/>
        <v>3</v>
      </c>
      <c r="M24" s="4">
        <f t="shared" si="7"/>
        <v>1</v>
      </c>
      <c r="N24" s="4">
        <f t="shared" si="8"/>
        <v>6.7911</v>
      </c>
      <c r="O24" s="4" t="str">
        <f t="shared" si="9"/>
        <v/>
      </c>
      <c r="P24" s="4">
        <f t="shared" si="10"/>
        <v>17.6</v>
      </c>
    </row>
    <row r="25" ht="15.75" customHeight="1">
      <c r="A25" s="8">
        <v>1984.0</v>
      </c>
      <c r="B25" s="9">
        <v>176.0</v>
      </c>
      <c r="C25" s="4">
        <v>13.9</v>
      </c>
      <c r="D25" s="4">
        <v>21.8</v>
      </c>
      <c r="E25" s="4">
        <f t="shared" si="1"/>
        <v>1</v>
      </c>
      <c r="F25" s="4">
        <f t="shared" si="2"/>
        <v>1</v>
      </c>
      <c r="G25" s="4">
        <f t="shared" si="3"/>
        <v>29.049</v>
      </c>
      <c r="H25" s="4">
        <f t="shared" si="4"/>
        <v>31.356</v>
      </c>
      <c r="I25" s="4">
        <f t="shared" si="5"/>
        <v>2.307</v>
      </c>
      <c r="J25" s="4">
        <v>0.5</v>
      </c>
      <c r="K25" s="4">
        <v>18.0</v>
      </c>
      <c r="L25" s="4">
        <f t="shared" si="6"/>
        <v>8</v>
      </c>
      <c r="M25" s="4">
        <f t="shared" si="7"/>
        <v>1</v>
      </c>
      <c r="N25" s="4">
        <f t="shared" si="8"/>
        <v>8.8361</v>
      </c>
      <c r="O25" s="4">
        <f t="shared" si="9"/>
        <v>0.5</v>
      </c>
      <c r="P25" s="4">
        <f t="shared" si="10"/>
        <v>18</v>
      </c>
    </row>
    <row r="26" ht="15.75" customHeight="1">
      <c r="A26" s="8">
        <v>1984.0</v>
      </c>
      <c r="B26" s="9">
        <v>177.0</v>
      </c>
      <c r="C26" s="4">
        <v>14.0</v>
      </c>
      <c r="D26" s="4">
        <v>23.4</v>
      </c>
      <c r="E26" s="4">
        <f t="shared" si="1"/>
        <v>1</v>
      </c>
      <c r="F26" s="4">
        <f t="shared" si="2"/>
        <v>0</v>
      </c>
      <c r="G26" s="4">
        <f t="shared" si="3"/>
        <v>31.251</v>
      </c>
      <c r="H26" s="4">
        <f t="shared" si="4"/>
        <v>30.633</v>
      </c>
      <c r="I26" s="4" t="str">
        <f t="shared" si="5"/>
        <v> </v>
      </c>
      <c r="J26" s="4">
        <v>5.3</v>
      </c>
      <c r="K26" s="4">
        <v>19.0</v>
      </c>
      <c r="L26" s="4">
        <f t="shared" si="6"/>
        <v>8</v>
      </c>
      <c r="M26" s="4">
        <f t="shared" si="7"/>
        <v>1</v>
      </c>
      <c r="N26" s="4">
        <f t="shared" si="8"/>
        <v>4.7041</v>
      </c>
      <c r="O26" s="4">
        <f t="shared" si="9"/>
        <v>5.3</v>
      </c>
      <c r="P26" s="4">
        <f t="shared" si="10"/>
        <v>19</v>
      </c>
    </row>
    <row r="27" ht="15.75" customHeight="1">
      <c r="A27" s="8">
        <v>1984.0</v>
      </c>
      <c r="B27" s="9">
        <v>178.0</v>
      </c>
      <c r="C27" s="4">
        <v>10.6</v>
      </c>
      <c r="D27" s="4">
        <v>17.9</v>
      </c>
      <c r="E27" s="4">
        <f t="shared" si="1"/>
        <v>1</v>
      </c>
      <c r="F27" s="4">
        <f t="shared" si="2"/>
        <v>1</v>
      </c>
      <c r="G27" s="4">
        <f t="shared" si="3"/>
        <v>22.521</v>
      </c>
      <c r="H27" s="4">
        <f t="shared" si="4"/>
        <v>23.254</v>
      </c>
      <c r="I27" s="4">
        <f t="shared" si="5"/>
        <v>0.733</v>
      </c>
      <c r="J27" s="4">
        <v>1.3</v>
      </c>
      <c r="K27" s="4">
        <v>13.7</v>
      </c>
      <c r="L27" s="4">
        <f t="shared" si="6"/>
        <v>8</v>
      </c>
      <c r="M27" s="4">
        <f t="shared" si="7"/>
        <v>1</v>
      </c>
      <c r="N27" s="4">
        <f t="shared" si="8"/>
        <v>2.635</v>
      </c>
      <c r="O27" s="4">
        <f t="shared" si="9"/>
        <v>1.3</v>
      </c>
      <c r="P27" s="4">
        <f t="shared" si="10"/>
        <v>13.7</v>
      </c>
    </row>
    <row r="28" ht="15.75" customHeight="1">
      <c r="A28" s="8">
        <v>1984.0</v>
      </c>
      <c r="B28" s="9">
        <v>179.0</v>
      </c>
      <c r="C28" s="4">
        <v>9.4</v>
      </c>
      <c r="D28" s="4">
        <v>18.8</v>
      </c>
      <c r="E28" s="4">
        <f t="shared" si="1"/>
        <v>0</v>
      </c>
      <c r="F28" s="4">
        <f t="shared" si="2"/>
        <v>1</v>
      </c>
      <c r="G28" s="4">
        <f t="shared" si="3"/>
        <v>21.736</v>
      </c>
      <c r="H28" s="4">
        <f t="shared" si="4"/>
        <v>21.846</v>
      </c>
      <c r="I28" s="4">
        <f t="shared" si="5"/>
        <v>0.11</v>
      </c>
      <c r="K28" s="4">
        <v>13.4</v>
      </c>
      <c r="L28" s="4">
        <f t="shared" si="6"/>
        <v>3</v>
      </c>
      <c r="M28" s="4">
        <f t="shared" si="7"/>
        <v>1</v>
      </c>
      <c r="N28" s="4">
        <f t="shared" si="8"/>
        <v>3.795</v>
      </c>
      <c r="O28" s="4" t="str">
        <f t="shared" si="9"/>
        <v/>
      </c>
      <c r="P28" s="4">
        <f t="shared" si="10"/>
        <v>13.4</v>
      </c>
    </row>
    <row r="29" ht="15.75" customHeight="1">
      <c r="A29" s="8">
        <v>1984.0</v>
      </c>
      <c r="B29" s="9">
        <v>180.0</v>
      </c>
      <c r="C29" s="4">
        <v>11.6</v>
      </c>
      <c r="D29" s="4">
        <v>18.4</v>
      </c>
      <c r="E29" s="4">
        <f t="shared" si="1"/>
        <v>1</v>
      </c>
      <c r="F29" s="4">
        <f t="shared" si="2"/>
        <v>0</v>
      </c>
      <c r="G29" s="4">
        <f t="shared" si="3"/>
        <v>23.882</v>
      </c>
      <c r="H29" s="4">
        <f t="shared" si="4"/>
        <v>23.6725</v>
      </c>
      <c r="I29" s="4" t="str">
        <f t="shared" si="5"/>
        <v> </v>
      </c>
      <c r="J29" s="4">
        <v>0.7</v>
      </c>
      <c r="K29" s="4">
        <v>15.1</v>
      </c>
      <c r="L29" s="4">
        <f t="shared" si="6"/>
        <v>8</v>
      </c>
      <c r="M29" s="4">
        <f t="shared" si="7"/>
        <v>1</v>
      </c>
      <c r="N29" s="4">
        <f t="shared" si="8"/>
        <v>1.3405</v>
      </c>
      <c r="O29" s="4">
        <f t="shared" si="9"/>
        <v>0.7</v>
      </c>
      <c r="P29" s="4">
        <f t="shared" si="10"/>
        <v>15.1</v>
      </c>
    </row>
    <row r="30" ht="15.75" customHeight="1">
      <c r="A30" s="8">
        <v>1984.0</v>
      </c>
      <c r="B30" s="9">
        <v>181.0</v>
      </c>
      <c r="C30" s="4">
        <v>13.2</v>
      </c>
      <c r="D30" s="4">
        <v>22.6</v>
      </c>
      <c r="E30" s="4">
        <f t="shared" si="1"/>
        <v>0</v>
      </c>
      <c r="F30" s="4">
        <f t="shared" si="2"/>
        <v>1</v>
      </c>
      <c r="G30" s="4">
        <f t="shared" si="3"/>
        <v>24.445</v>
      </c>
      <c r="H30" s="4">
        <f t="shared" si="4"/>
        <v>25.1895</v>
      </c>
      <c r="I30" s="4">
        <f t="shared" si="5"/>
        <v>0.7445</v>
      </c>
      <c r="K30" s="4">
        <v>17.4</v>
      </c>
      <c r="L30" s="4">
        <f t="shared" si="6"/>
        <v>3</v>
      </c>
      <c r="M30" s="4">
        <f t="shared" si="7"/>
        <v>1</v>
      </c>
      <c r="N30" s="4">
        <f t="shared" si="8"/>
        <v>5.5575</v>
      </c>
      <c r="O30" s="4" t="str">
        <f t="shared" si="9"/>
        <v/>
      </c>
      <c r="P30" s="4">
        <f t="shared" si="10"/>
        <v>17.4</v>
      </c>
    </row>
    <row r="31" ht="15.75" customHeight="1">
      <c r="A31" s="8">
        <v>1984.0</v>
      </c>
      <c r="B31" s="9">
        <v>182.0</v>
      </c>
      <c r="C31" s="4">
        <v>11.8</v>
      </c>
      <c r="D31" s="4">
        <v>17.9</v>
      </c>
      <c r="E31" s="4">
        <f t="shared" si="1"/>
        <v>1</v>
      </c>
      <c r="F31" s="4">
        <f t="shared" si="2"/>
        <v>1</v>
      </c>
      <c r="G31" s="4">
        <f t="shared" si="3"/>
        <v>24.519</v>
      </c>
      <c r="H31" s="4">
        <f t="shared" si="4"/>
        <v>26.3065</v>
      </c>
      <c r="I31" s="4">
        <f t="shared" si="5"/>
        <v>1.7875</v>
      </c>
      <c r="J31" s="4">
        <v>15.2</v>
      </c>
      <c r="K31" s="4">
        <v>15.5</v>
      </c>
      <c r="L31" s="4">
        <f t="shared" si="6"/>
        <v>8</v>
      </c>
      <c r="M31" s="4">
        <f t="shared" si="7"/>
        <v>1</v>
      </c>
      <c r="N31" s="4">
        <f t="shared" si="8"/>
        <v>4.769</v>
      </c>
      <c r="O31" s="4">
        <f t="shared" si="9"/>
        <v>15.2</v>
      </c>
      <c r="P31" s="4">
        <f t="shared" si="10"/>
        <v>15.5</v>
      </c>
    </row>
    <row r="32" ht="15.75" customHeight="1">
      <c r="A32" s="8">
        <v>1984.0</v>
      </c>
      <c r="B32" s="9">
        <v>183.0</v>
      </c>
      <c r="C32" s="4">
        <v>9.1</v>
      </c>
      <c r="D32" s="4">
        <v>18.2</v>
      </c>
      <c r="E32" s="4">
        <f t="shared" si="1"/>
        <v>1</v>
      </c>
      <c r="F32" s="4">
        <f t="shared" si="2"/>
        <v>1</v>
      </c>
      <c r="G32" s="4">
        <f t="shared" si="3"/>
        <v>23.972</v>
      </c>
      <c r="H32" s="4">
        <f t="shared" si="4"/>
        <v>24.1555</v>
      </c>
      <c r="I32" s="4">
        <f t="shared" si="5"/>
        <v>0.1835</v>
      </c>
      <c r="J32" s="4">
        <v>0.3</v>
      </c>
      <c r="K32" s="4">
        <v>13.6</v>
      </c>
      <c r="L32" s="4">
        <f t="shared" si="6"/>
        <v>8</v>
      </c>
      <c r="M32" s="4">
        <f t="shared" si="7"/>
        <v>1</v>
      </c>
      <c r="N32" s="4">
        <f t="shared" si="8"/>
        <v>2.2137</v>
      </c>
      <c r="O32" s="4">
        <f t="shared" si="9"/>
        <v>0.3</v>
      </c>
      <c r="P32" s="4">
        <f t="shared" si="10"/>
        <v>13.6</v>
      </c>
    </row>
    <row r="33" ht="15.75" customHeight="1">
      <c r="A33" s="8">
        <v>1984.0</v>
      </c>
      <c r="B33" s="9">
        <v>184.0</v>
      </c>
      <c r="C33" s="4">
        <v>7.1</v>
      </c>
      <c r="D33" s="4">
        <v>17.7</v>
      </c>
      <c r="E33" s="4">
        <f t="shared" si="1"/>
        <v>0</v>
      </c>
      <c r="F33" s="4">
        <f t="shared" si="2"/>
        <v>1</v>
      </c>
      <c r="G33" s="4">
        <f t="shared" si="3"/>
        <v>21.57</v>
      </c>
      <c r="H33" s="4">
        <f t="shared" si="4"/>
        <v>22.9355</v>
      </c>
      <c r="I33" s="4">
        <f t="shared" si="5"/>
        <v>1.3655</v>
      </c>
      <c r="K33" s="4">
        <v>13.4</v>
      </c>
      <c r="L33" s="4">
        <f t="shared" si="6"/>
        <v>3</v>
      </c>
      <c r="M33" s="4">
        <f t="shared" si="7"/>
        <v>1</v>
      </c>
      <c r="N33" s="4">
        <f t="shared" si="8"/>
        <v>6.523</v>
      </c>
      <c r="O33" s="4" t="str">
        <f t="shared" si="9"/>
        <v/>
      </c>
      <c r="P33" s="4">
        <f t="shared" si="10"/>
        <v>13.4</v>
      </c>
    </row>
    <row r="34" ht="15.75" customHeight="1">
      <c r="A34" s="8">
        <v>1984.0</v>
      </c>
      <c r="B34" s="9">
        <v>185.0</v>
      </c>
      <c r="C34" s="4">
        <v>10.1</v>
      </c>
      <c r="D34" s="4">
        <v>18.5</v>
      </c>
      <c r="E34" s="4">
        <f t="shared" si="1"/>
        <v>1</v>
      </c>
      <c r="F34" s="4">
        <f t="shared" si="2"/>
        <v>1</v>
      </c>
      <c r="G34" s="4">
        <f t="shared" si="3"/>
        <v>27.094</v>
      </c>
      <c r="H34" s="4">
        <f t="shared" si="4"/>
        <v>28.781</v>
      </c>
      <c r="I34" s="4">
        <f t="shared" si="5"/>
        <v>1.687</v>
      </c>
      <c r="J34" s="4">
        <v>1.9</v>
      </c>
      <c r="K34" s="4">
        <v>14.2</v>
      </c>
      <c r="L34" s="4">
        <f t="shared" si="6"/>
        <v>8</v>
      </c>
      <c r="M34" s="4">
        <f t="shared" si="7"/>
        <v>1</v>
      </c>
      <c r="N34" s="4">
        <f t="shared" si="8"/>
        <v>5.4462</v>
      </c>
      <c r="O34" s="4">
        <f t="shared" si="9"/>
        <v>1.9</v>
      </c>
      <c r="P34" s="4">
        <f t="shared" si="10"/>
        <v>14.2</v>
      </c>
    </row>
    <row r="35" ht="15.75" customHeight="1">
      <c r="A35" s="8">
        <v>1984.0</v>
      </c>
      <c r="B35" s="9">
        <v>186.0</v>
      </c>
      <c r="C35" s="4">
        <v>8.9</v>
      </c>
      <c r="D35" s="4">
        <v>19.2</v>
      </c>
      <c r="E35" s="4">
        <f t="shared" si="1"/>
        <v>1</v>
      </c>
      <c r="F35" s="4">
        <f t="shared" si="2"/>
        <v>0</v>
      </c>
      <c r="G35" s="4">
        <f t="shared" si="3"/>
        <v>27.088</v>
      </c>
      <c r="H35" s="4">
        <f t="shared" si="4"/>
        <v>26.763</v>
      </c>
      <c r="I35" s="4" t="str">
        <f t="shared" si="5"/>
        <v> </v>
      </c>
      <c r="J35" s="4">
        <v>19.5</v>
      </c>
      <c r="K35" s="4">
        <v>13.5</v>
      </c>
      <c r="L35" s="4">
        <f t="shared" si="6"/>
        <v>8</v>
      </c>
      <c r="M35" s="4">
        <f t="shared" si="7"/>
        <v>1</v>
      </c>
      <c r="N35" s="4">
        <f t="shared" si="8"/>
        <v>2.2231</v>
      </c>
      <c r="O35" s="4">
        <f t="shared" si="9"/>
        <v>19.5</v>
      </c>
      <c r="P35" s="4">
        <f t="shared" si="10"/>
        <v>13.5</v>
      </c>
    </row>
    <row r="36" ht="15.75" customHeight="1">
      <c r="A36" s="8">
        <v>1984.0</v>
      </c>
      <c r="B36" s="9">
        <v>187.0</v>
      </c>
      <c r="C36" s="4">
        <v>9.1</v>
      </c>
      <c r="D36" s="4">
        <v>20.1</v>
      </c>
      <c r="E36" s="4">
        <f t="shared" si="1"/>
        <v>0</v>
      </c>
      <c r="F36" s="4">
        <f t="shared" si="2"/>
        <v>0</v>
      </c>
      <c r="G36" s="4">
        <f t="shared" si="3"/>
        <v>25.485</v>
      </c>
      <c r="H36" s="4">
        <f t="shared" si="4"/>
        <v>23.9885</v>
      </c>
      <c r="I36" s="4" t="str">
        <f t="shared" si="5"/>
        <v> </v>
      </c>
      <c r="K36" s="4">
        <v>15.4</v>
      </c>
      <c r="L36" s="4">
        <f t="shared" si="6"/>
        <v>3</v>
      </c>
      <c r="M36" s="4">
        <f t="shared" si="7"/>
        <v>1</v>
      </c>
      <c r="N36" s="4">
        <f t="shared" si="8"/>
        <v>6.4469</v>
      </c>
      <c r="O36" s="4" t="str">
        <f t="shared" si="9"/>
        <v/>
      </c>
      <c r="P36" s="4">
        <f t="shared" si="10"/>
        <v>15.4</v>
      </c>
    </row>
    <row r="37" ht="15.75" customHeight="1">
      <c r="A37" s="8">
        <v>1984.0</v>
      </c>
      <c r="B37" s="9">
        <v>188.0</v>
      </c>
      <c r="C37" s="4">
        <v>12.0</v>
      </c>
      <c r="D37" s="4">
        <v>19.9</v>
      </c>
      <c r="E37" s="4">
        <f t="shared" si="1"/>
        <v>1</v>
      </c>
      <c r="F37" s="4">
        <f t="shared" si="2"/>
        <v>1</v>
      </c>
      <c r="G37" s="4">
        <f t="shared" si="3"/>
        <v>26.226</v>
      </c>
      <c r="H37" s="4">
        <f t="shared" si="4"/>
        <v>28.3575</v>
      </c>
      <c r="I37" s="4">
        <f t="shared" si="5"/>
        <v>2.1315</v>
      </c>
      <c r="J37" s="4">
        <v>10.6</v>
      </c>
      <c r="K37" s="4">
        <v>15.2</v>
      </c>
      <c r="L37" s="4">
        <f t="shared" si="6"/>
        <v>8</v>
      </c>
      <c r="M37" s="4">
        <f t="shared" si="7"/>
        <v>1</v>
      </c>
      <c r="N37" s="4">
        <f t="shared" si="8"/>
        <v>4.805</v>
      </c>
      <c r="O37" s="4">
        <f t="shared" si="9"/>
        <v>10.6</v>
      </c>
      <c r="P37" s="4">
        <f t="shared" si="10"/>
        <v>15.2</v>
      </c>
    </row>
    <row r="38" ht="15.75" customHeight="1">
      <c r="A38" s="8">
        <v>1984.0</v>
      </c>
      <c r="B38" s="9">
        <v>189.0</v>
      </c>
      <c r="C38" s="4">
        <v>10.8</v>
      </c>
      <c r="D38" s="4">
        <v>20.6</v>
      </c>
      <c r="E38" s="4">
        <f t="shared" si="1"/>
        <v>1</v>
      </c>
      <c r="F38" s="4">
        <f t="shared" si="2"/>
        <v>0</v>
      </c>
      <c r="G38" s="4">
        <f t="shared" si="3"/>
        <v>27.88</v>
      </c>
      <c r="H38" s="4">
        <f t="shared" si="4"/>
        <v>27.847</v>
      </c>
      <c r="I38" s="4" t="str">
        <f t="shared" si="5"/>
        <v> </v>
      </c>
      <c r="J38" s="4">
        <v>0.3</v>
      </c>
      <c r="K38" s="4">
        <v>14.8</v>
      </c>
      <c r="L38" s="4">
        <f t="shared" si="6"/>
        <v>8</v>
      </c>
      <c r="M38" s="4">
        <f t="shared" si="7"/>
        <v>0</v>
      </c>
      <c r="N38" s="4">
        <f t="shared" si="8"/>
        <v>-5.307</v>
      </c>
      <c r="O38" s="4">
        <f t="shared" si="9"/>
        <v>0.3</v>
      </c>
      <c r="P38" s="4">
        <f t="shared" si="10"/>
        <v>14.8</v>
      </c>
    </row>
    <row r="39" ht="15.75" customHeight="1">
      <c r="A39" s="8">
        <v>1984.0</v>
      </c>
      <c r="B39" s="9">
        <v>190.0</v>
      </c>
      <c r="C39" s="4">
        <v>9.7</v>
      </c>
      <c r="D39" s="4">
        <v>21.2</v>
      </c>
      <c r="E39" s="4">
        <f t="shared" si="1"/>
        <v>0</v>
      </c>
      <c r="F39" s="4">
        <f t="shared" si="2"/>
        <v>0</v>
      </c>
      <c r="G39" s="4">
        <f t="shared" si="3"/>
        <v>29.296</v>
      </c>
      <c r="H39" s="4">
        <f t="shared" si="4"/>
        <v>25.6535</v>
      </c>
      <c r="I39" s="4" t="str">
        <f t="shared" si="5"/>
        <v> </v>
      </c>
      <c r="K39" s="4">
        <v>16.2</v>
      </c>
      <c r="L39" s="4">
        <f t="shared" si="6"/>
        <v>3</v>
      </c>
      <c r="M39" s="4">
        <f t="shared" si="7"/>
        <v>1</v>
      </c>
      <c r="N39" s="4">
        <f t="shared" si="8"/>
        <v>0.0645</v>
      </c>
      <c r="O39" s="4" t="str">
        <f t="shared" si="9"/>
        <v/>
      </c>
      <c r="P39" s="4">
        <f t="shared" si="10"/>
        <v>16.2</v>
      </c>
    </row>
    <row r="40" ht="15.75" customHeight="1">
      <c r="A40" s="8">
        <v>1984.0</v>
      </c>
      <c r="B40" s="9">
        <v>191.0</v>
      </c>
      <c r="C40" s="4">
        <v>8.5</v>
      </c>
      <c r="D40" s="4">
        <v>21.3</v>
      </c>
      <c r="E40" s="4">
        <f t="shared" si="1"/>
        <v>0</v>
      </c>
      <c r="F40" s="4">
        <f t="shared" si="2"/>
        <v>0</v>
      </c>
      <c r="G40" s="4">
        <f t="shared" si="3"/>
        <v>31.829</v>
      </c>
      <c r="H40" s="4">
        <f t="shared" si="4"/>
        <v>30.0765</v>
      </c>
      <c r="I40" s="4" t="str">
        <f t="shared" si="5"/>
        <v> </v>
      </c>
      <c r="K40" s="4">
        <v>16.6</v>
      </c>
      <c r="L40" s="4">
        <f t="shared" si="6"/>
        <v>3</v>
      </c>
      <c r="M40" s="4">
        <f t="shared" si="7"/>
        <v>1</v>
      </c>
      <c r="N40" s="4">
        <f t="shared" si="8"/>
        <v>8.6107</v>
      </c>
      <c r="O40" s="4" t="str">
        <f t="shared" si="9"/>
        <v/>
      </c>
      <c r="P40" s="4">
        <f t="shared" si="10"/>
        <v>16.6</v>
      </c>
    </row>
    <row r="41" ht="15.75" customHeight="1">
      <c r="A41" s="8">
        <v>1984.0</v>
      </c>
      <c r="B41" s="9">
        <v>192.0</v>
      </c>
      <c r="C41" s="4">
        <v>14.8</v>
      </c>
      <c r="D41" s="4">
        <v>18.3</v>
      </c>
      <c r="E41" s="4">
        <f t="shared" si="1"/>
        <v>1</v>
      </c>
      <c r="F41" s="4">
        <f t="shared" si="2"/>
        <v>1</v>
      </c>
      <c r="G41" s="4">
        <f t="shared" si="3"/>
        <v>35.338</v>
      </c>
      <c r="H41" s="4">
        <f t="shared" si="4"/>
        <v>35.6445</v>
      </c>
      <c r="I41" s="4">
        <f t="shared" si="5"/>
        <v>0.3065</v>
      </c>
      <c r="J41" s="4">
        <v>1.8</v>
      </c>
      <c r="K41" s="4">
        <v>16.3</v>
      </c>
      <c r="L41" s="4">
        <f t="shared" si="6"/>
        <v>8</v>
      </c>
      <c r="M41" s="4">
        <f t="shared" si="7"/>
        <v>1</v>
      </c>
      <c r="N41" s="4">
        <f t="shared" si="8"/>
        <v>5.5367</v>
      </c>
      <c r="O41" s="4">
        <f t="shared" si="9"/>
        <v>1.8</v>
      </c>
      <c r="P41" s="4">
        <f t="shared" si="10"/>
        <v>16.3</v>
      </c>
    </row>
    <row r="42" ht="15.75" customHeight="1">
      <c r="A42" s="8">
        <v>1984.0</v>
      </c>
      <c r="B42" s="9">
        <v>193.0</v>
      </c>
      <c r="C42" s="4">
        <v>14.9</v>
      </c>
      <c r="D42" s="4">
        <v>20.4</v>
      </c>
      <c r="E42" s="4">
        <f t="shared" si="1"/>
        <v>1</v>
      </c>
      <c r="F42" s="4">
        <f t="shared" si="2"/>
        <v>0</v>
      </c>
      <c r="G42" s="4">
        <f t="shared" si="3"/>
        <v>35.925</v>
      </c>
      <c r="H42" s="4">
        <f t="shared" si="4"/>
        <v>35.1605</v>
      </c>
      <c r="I42" s="4" t="str">
        <f t="shared" si="5"/>
        <v> </v>
      </c>
      <c r="J42" s="4">
        <v>8.4</v>
      </c>
      <c r="K42" s="4">
        <v>16.8</v>
      </c>
      <c r="L42" s="4">
        <f t="shared" si="6"/>
        <v>8</v>
      </c>
      <c r="M42" s="4">
        <f t="shared" si="7"/>
        <v>0</v>
      </c>
      <c r="N42" s="4">
        <f t="shared" si="8"/>
        <v>-2.2762</v>
      </c>
      <c r="O42" s="4">
        <f t="shared" si="9"/>
        <v>8.4</v>
      </c>
      <c r="P42" s="4">
        <f t="shared" si="10"/>
        <v>16.8</v>
      </c>
    </row>
    <row r="43" ht="15.75" customHeight="1">
      <c r="A43" s="8">
        <v>1984.0</v>
      </c>
      <c r="B43" s="9">
        <v>194.0</v>
      </c>
      <c r="C43" s="4">
        <v>12.3</v>
      </c>
      <c r="D43" s="4">
        <v>26.2</v>
      </c>
      <c r="E43" s="4">
        <f t="shared" si="1"/>
        <v>0</v>
      </c>
      <c r="F43" s="4">
        <f t="shared" si="2"/>
        <v>0</v>
      </c>
      <c r="G43" s="4">
        <f t="shared" si="3"/>
        <v>38.027</v>
      </c>
      <c r="H43" s="4">
        <f t="shared" si="4"/>
        <v>33.896</v>
      </c>
      <c r="I43" s="4" t="str">
        <f t="shared" si="5"/>
        <v> </v>
      </c>
      <c r="K43" s="4">
        <v>20.3</v>
      </c>
      <c r="L43" s="4">
        <f t="shared" si="6"/>
        <v>3</v>
      </c>
      <c r="M43" s="4">
        <f t="shared" si="7"/>
        <v>0</v>
      </c>
      <c r="N43" s="4">
        <f t="shared" si="8"/>
        <v>-3.1019</v>
      </c>
      <c r="O43" s="4" t="str">
        <f t="shared" si="9"/>
        <v/>
      </c>
      <c r="P43" s="4">
        <f t="shared" si="10"/>
        <v>20.3</v>
      </c>
    </row>
    <row r="44" ht="15.75" customHeight="1">
      <c r="A44" s="8">
        <v>1984.0</v>
      </c>
      <c r="B44" s="9">
        <v>195.0</v>
      </c>
      <c r="C44" s="4">
        <v>16.9</v>
      </c>
      <c r="D44" s="4">
        <v>28.9</v>
      </c>
      <c r="E44" s="4">
        <f t="shared" si="1"/>
        <v>0</v>
      </c>
      <c r="F44" s="4">
        <f t="shared" si="2"/>
        <v>0</v>
      </c>
      <c r="G44" s="4">
        <f t="shared" si="3"/>
        <v>41.117</v>
      </c>
      <c r="H44" s="4">
        <f t="shared" si="4"/>
        <v>40.0935</v>
      </c>
      <c r="I44" s="4" t="str">
        <f t="shared" si="5"/>
        <v> </v>
      </c>
      <c r="K44" s="4">
        <v>23.5</v>
      </c>
      <c r="L44" s="4">
        <f t="shared" si="6"/>
        <v>3</v>
      </c>
      <c r="M44" s="4">
        <f t="shared" si="7"/>
        <v>1</v>
      </c>
      <c r="N44" s="4">
        <f t="shared" si="8"/>
        <v>4.9737</v>
      </c>
      <c r="O44" s="4" t="str">
        <f t="shared" si="9"/>
        <v/>
      </c>
      <c r="P44" s="4">
        <f t="shared" si="10"/>
        <v>23.5</v>
      </c>
    </row>
    <row r="45" ht="15.75" customHeight="1">
      <c r="A45" s="8">
        <v>1984.0</v>
      </c>
      <c r="B45" s="9">
        <v>196.0</v>
      </c>
      <c r="C45" s="4">
        <v>17.5</v>
      </c>
      <c r="D45" s="4">
        <v>25.9</v>
      </c>
      <c r="E45" s="4">
        <f t="shared" si="1"/>
        <v>1</v>
      </c>
      <c r="F45" s="4">
        <f t="shared" si="2"/>
        <v>0</v>
      </c>
      <c r="G45" s="4">
        <f t="shared" si="3"/>
        <v>43.062</v>
      </c>
      <c r="H45" s="4">
        <f t="shared" si="4"/>
        <v>41.083</v>
      </c>
      <c r="I45" s="4" t="str">
        <f t="shared" si="5"/>
        <v> </v>
      </c>
      <c r="J45" s="4">
        <v>14.6</v>
      </c>
      <c r="K45" s="4">
        <v>20.8</v>
      </c>
      <c r="L45" s="4">
        <f t="shared" si="6"/>
        <v>8</v>
      </c>
      <c r="M45" s="4">
        <f t="shared" si="7"/>
        <v>1</v>
      </c>
      <c r="N45" s="4">
        <f t="shared" si="8"/>
        <v>2.8236</v>
      </c>
      <c r="O45" s="4">
        <f t="shared" si="9"/>
        <v>14.6</v>
      </c>
      <c r="P45" s="4">
        <f t="shared" si="10"/>
        <v>20.8</v>
      </c>
    </row>
    <row r="46" ht="15.75" customHeight="1">
      <c r="A46" s="8">
        <v>1984.0</v>
      </c>
      <c r="B46" s="9">
        <v>197.0</v>
      </c>
      <c r="C46" s="4">
        <v>15.0</v>
      </c>
      <c r="D46" s="4">
        <v>21.9</v>
      </c>
      <c r="E46" s="4">
        <f t="shared" si="1"/>
        <v>1</v>
      </c>
      <c r="F46" s="4">
        <f t="shared" si="2"/>
        <v>1</v>
      </c>
      <c r="G46" s="4">
        <f t="shared" si="3"/>
        <v>35.852</v>
      </c>
      <c r="H46" s="4">
        <f t="shared" si="4"/>
        <v>35.984</v>
      </c>
      <c r="I46" s="4">
        <f t="shared" si="5"/>
        <v>0.132</v>
      </c>
      <c r="J46" s="4">
        <v>3.1</v>
      </c>
      <c r="K46" s="4">
        <v>18.4</v>
      </c>
      <c r="L46" s="4">
        <f t="shared" si="6"/>
        <v>8</v>
      </c>
      <c r="M46" s="4">
        <f t="shared" si="7"/>
        <v>1</v>
      </c>
      <c r="N46" s="4">
        <f t="shared" si="8"/>
        <v>2.2847</v>
      </c>
      <c r="O46" s="4">
        <f t="shared" si="9"/>
        <v>3.1</v>
      </c>
      <c r="P46" s="4">
        <f t="shared" si="10"/>
        <v>18.4</v>
      </c>
    </row>
    <row r="47" ht="15.75" customHeight="1">
      <c r="A47" s="8">
        <v>1984.0</v>
      </c>
      <c r="B47" s="9">
        <v>198.0</v>
      </c>
      <c r="C47" s="4">
        <v>10.7</v>
      </c>
      <c r="D47" s="4">
        <v>24.3</v>
      </c>
      <c r="E47" s="4">
        <f t="shared" si="1"/>
        <v>0</v>
      </c>
      <c r="F47" s="4">
        <f t="shared" si="2"/>
        <v>0</v>
      </c>
      <c r="G47" s="4">
        <f t="shared" si="3"/>
        <v>33.264</v>
      </c>
      <c r="H47" s="4">
        <f t="shared" si="4"/>
        <v>30.165</v>
      </c>
      <c r="I47" s="4" t="str">
        <f t="shared" si="5"/>
        <v> </v>
      </c>
      <c r="K47" s="4">
        <v>18.0</v>
      </c>
      <c r="L47" s="4">
        <f t="shared" si="6"/>
        <v>3</v>
      </c>
      <c r="M47" s="4">
        <f t="shared" si="7"/>
        <v>1</v>
      </c>
      <c r="N47" s="4">
        <f t="shared" si="8"/>
        <v>1.7345</v>
      </c>
      <c r="O47" s="4" t="str">
        <f t="shared" si="9"/>
        <v/>
      </c>
      <c r="P47" s="4">
        <f t="shared" si="10"/>
        <v>18</v>
      </c>
    </row>
    <row r="48" ht="15.75" customHeight="1">
      <c r="A48" s="8">
        <v>1984.0</v>
      </c>
      <c r="B48" s="9">
        <v>199.0</v>
      </c>
      <c r="C48" s="4">
        <v>15.8</v>
      </c>
      <c r="D48" s="4">
        <v>25.7</v>
      </c>
      <c r="E48" s="4">
        <f t="shared" si="1"/>
        <v>1</v>
      </c>
      <c r="F48" s="4">
        <f t="shared" si="2"/>
        <v>0</v>
      </c>
      <c r="G48" s="4">
        <f t="shared" si="3"/>
        <v>36.271</v>
      </c>
      <c r="H48" s="4">
        <f t="shared" si="4"/>
        <v>33.5665</v>
      </c>
      <c r="I48" s="4" t="str">
        <f t="shared" si="5"/>
        <v> </v>
      </c>
      <c r="J48" s="4">
        <v>5.8</v>
      </c>
      <c r="K48" s="4">
        <v>20.4</v>
      </c>
      <c r="L48" s="4">
        <f t="shared" si="6"/>
        <v>8</v>
      </c>
      <c r="M48" s="4">
        <f t="shared" si="7"/>
        <v>1</v>
      </c>
      <c r="N48" s="4">
        <f t="shared" si="8"/>
        <v>1.8551</v>
      </c>
      <c r="O48" s="4">
        <f t="shared" si="9"/>
        <v>5.8</v>
      </c>
      <c r="P48" s="4">
        <f t="shared" si="10"/>
        <v>20.4</v>
      </c>
    </row>
    <row r="49" ht="15.75" customHeight="1">
      <c r="A49" s="8">
        <v>1984.0</v>
      </c>
      <c r="B49" s="9">
        <v>200.0</v>
      </c>
      <c r="C49" s="4">
        <v>16.0</v>
      </c>
      <c r="D49" s="4">
        <v>27.0</v>
      </c>
      <c r="E49" s="4">
        <f t="shared" si="1"/>
        <v>0</v>
      </c>
      <c r="F49" s="4">
        <f t="shared" si="2"/>
        <v>0</v>
      </c>
      <c r="G49" s="4">
        <f t="shared" si="3"/>
        <v>31.945</v>
      </c>
      <c r="H49" s="4">
        <f t="shared" si="4"/>
        <v>27.7825</v>
      </c>
      <c r="I49" s="4" t="str">
        <f t="shared" si="5"/>
        <v> </v>
      </c>
      <c r="K49" s="4">
        <v>21.7</v>
      </c>
      <c r="L49" s="4">
        <f t="shared" si="6"/>
        <v>3</v>
      </c>
      <c r="M49" s="4">
        <f t="shared" si="7"/>
        <v>1</v>
      </c>
      <c r="N49" s="4">
        <f t="shared" si="8"/>
        <v>1.5309</v>
      </c>
      <c r="O49" s="4" t="str">
        <f t="shared" si="9"/>
        <v/>
      </c>
      <c r="P49" s="4">
        <f t="shared" si="10"/>
        <v>21.7</v>
      </c>
    </row>
    <row r="50" ht="15.75" customHeight="1">
      <c r="A50" s="8">
        <v>1984.0</v>
      </c>
      <c r="B50" s="9">
        <v>201.0</v>
      </c>
      <c r="C50" s="4">
        <v>18.0</v>
      </c>
      <c r="D50" s="4">
        <v>22.1</v>
      </c>
      <c r="E50" s="4">
        <f t="shared" si="1"/>
        <v>1</v>
      </c>
      <c r="F50" s="4">
        <f t="shared" si="2"/>
        <v>0</v>
      </c>
      <c r="G50" s="4">
        <f t="shared" si="3"/>
        <v>28.709</v>
      </c>
      <c r="H50" s="4">
        <f t="shared" si="4"/>
        <v>25.5945</v>
      </c>
      <c r="I50" s="4" t="str">
        <f t="shared" si="5"/>
        <v> </v>
      </c>
      <c r="J50" s="4">
        <v>5.9</v>
      </c>
      <c r="K50" s="4">
        <v>19.8</v>
      </c>
      <c r="L50" s="4">
        <f t="shared" si="6"/>
        <v>8</v>
      </c>
      <c r="M50" s="4">
        <f t="shared" si="7"/>
        <v>0</v>
      </c>
      <c r="N50" s="4">
        <f t="shared" si="8"/>
        <v>-3.7404</v>
      </c>
      <c r="O50" s="4">
        <f t="shared" si="9"/>
        <v>5.9</v>
      </c>
      <c r="P50" s="4">
        <f t="shared" si="10"/>
        <v>19.8</v>
      </c>
    </row>
    <row r="51" ht="15.75" customHeight="1">
      <c r="A51" s="8">
        <v>1984.0</v>
      </c>
      <c r="B51" s="9">
        <v>202.0</v>
      </c>
      <c r="C51" s="4">
        <v>14.9</v>
      </c>
      <c r="D51" s="4">
        <v>20.8</v>
      </c>
      <c r="E51" s="4">
        <f t="shared" si="1"/>
        <v>0</v>
      </c>
      <c r="F51" s="4">
        <f t="shared" si="2"/>
        <v>0</v>
      </c>
      <c r="G51" s="4">
        <f t="shared" si="3"/>
        <v>23.435</v>
      </c>
      <c r="H51" s="4">
        <f t="shared" si="4"/>
        <v>18.651</v>
      </c>
      <c r="I51" s="4" t="str">
        <f t="shared" si="5"/>
        <v> </v>
      </c>
      <c r="K51" s="4">
        <v>18.0</v>
      </c>
      <c r="L51" s="4">
        <f t="shared" si="6"/>
        <v>3</v>
      </c>
      <c r="M51" s="4">
        <f t="shared" si="7"/>
        <v>0</v>
      </c>
      <c r="N51" s="4">
        <f t="shared" si="8"/>
        <v>-6.6478</v>
      </c>
      <c r="O51" s="4" t="str">
        <f t="shared" si="9"/>
        <v/>
      </c>
      <c r="P51" s="4">
        <f t="shared" si="10"/>
        <v>18</v>
      </c>
    </row>
    <row r="52" ht="15.75" customHeight="1">
      <c r="A52" s="8">
        <v>1984.0</v>
      </c>
      <c r="B52" s="9">
        <v>203.0</v>
      </c>
      <c r="C52" s="4">
        <v>13.1</v>
      </c>
      <c r="D52" s="4">
        <v>23.1</v>
      </c>
      <c r="E52" s="4">
        <f t="shared" si="1"/>
        <v>0</v>
      </c>
      <c r="F52" s="4">
        <f t="shared" si="2"/>
        <v>0</v>
      </c>
      <c r="G52" s="4">
        <f t="shared" si="3"/>
        <v>23.702</v>
      </c>
      <c r="H52" s="4">
        <f t="shared" si="4"/>
        <v>20.471</v>
      </c>
      <c r="I52" s="4" t="str">
        <f t="shared" si="5"/>
        <v> </v>
      </c>
      <c r="K52" s="4">
        <v>18.1</v>
      </c>
      <c r="L52" s="4">
        <f t="shared" si="6"/>
        <v>3</v>
      </c>
      <c r="M52" s="4">
        <f t="shared" si="7"/>
        <v>0</v>
      </c>
      <c r="N52" s="4">
        <f t="shared" si="8"/>
        <v>-7.587</v>
      </c>
      <c r="O52" s="4" t="str">
        <f t="shared" si="9"/>
        <v/>
      </c>
      <c r="P52" s="4">
        <f t="shared" si="10"/>
        <v>18.1</v>
      </c>
    </row>
    <row r="53" ht="15.75" customHeight="1">
      <c r="A53" s="8">
        <v>1984.0</v>
      </c>
      <c r="B53" s="9">
        <v>204.0</v>
      </c>
      <c r="C53" s="4">
        <v>13.7</v>
      </c>
      <c r="D53" s="4">
        <v>22.0</v>
      </c>
      <c r="E53" s="4">
        <f t="shared" si="1"/>
        <v>0</v>
      </c>
      <c r="F53" s="4">
        <f t="shared" si="2"/>
        <v>0</v>
      </c>
      <c r="G53" s="4">
        <f t="shared" si="3"/>
        <v>23.901</v>
      </c>
      <c r="H53" s="4">
        <f t="shared" si="4"/>
        <v>19.949</v>
      </c>
      <c r="I53" s="4" t="str">
        <f t="shared" si="5"/>
        <v> </v>
      </c>
      <c r="K53" s="4">
        <v>17.4</v>
      </c>
      <c r="L53" s="4">
        <f t="shared" si="6"/>
        <v>3</v>
      </c>
      <c r="M53" s="4">
        <f t="shared" si="7"/>
        <v>0</v>
      </c>
      <c r="N53" s="4">
        <f t="shared" si="8"/>
        <v>-7.6426</v>
      </c>
      <c r="O53" s="4" t="str">
        <f t="shared" si="9"/>
        <v/>
      </c>
      <c r="P53" s="4">
        <f t="shared" si="10"/>
        <v>17.4</v>
      </c>
    </row>
    <row r="54" ht="15.75" customHeight="1">
      <c r="A54" s="8">
        <v>1984.0</v>
      </c>
      <c r="B54" s="9">
        <v>205.0</v>
      </c>
      <c r="C54" s="4">
        <v>12.4</v>
      </c>
      <c r="D54" s="4">
        <v>19.7</v>
      </c>
      <c r="E54" s="4">
        <f t="shared" si="1"/>
        <v>0</v>
      </c>
      <c r="F54" s="4">
        <f t="shared" si="2"/>
        <v>0</v>
      </c>
      <c r="G54" s="4">
        <f t="shared" si="3"/>
        <v>22.932</v>
      </c>
      <c r="H54" s="4">
        <f t="shared" si="4"/>
        <v>21.907</v>
      </c>
      <c r="I54" s="4" t="str">
        <f t="shared" si="5"/>
        <v> </v>
      </c>
      <c r="K54" s="4">
        <v>15.2</v>
      </c>
      <c r="L54" s="4">
        <f t="shared" si="6"/>
        <v>3</v>
      </c>
      <c r="M54" s="4">
        <f t="shared" si="7"/>
        <v>0</v>
      </c>
      <c r="N54" s="4">
        <f t="shared" si="8"/>
        <v>-3.2478</v>
      </c>
      <c r="O54" s="4" t="str">
        <f t="shared" si="9"/>
        <v/>
      </c>
      <c r="P54" s="4">
        <f t="shared" si="10"/>
        <v>15.2</v>
      </c>
    </row>
    <row r="55" ht="15.75" customHeight="1">
      <c r="A55" s="8">
        <v>1984.0</v>
      </c>
      <c r="B55" s="9">
        <v>206.0</v>
      </c>
      <c r="C55" s="4">
        <v>10.8</v>
      </c>
      <c r="D55" s="4">
        <v>19.3</v>
      </c>
      <c r="E55" s="4">
        <f t="shared" si="1"/>
        <v>0</v>
      </c>
      <c r="F55" s="4">
        <f t="shared" si="2"/>
        <v>0</v>
      </c>
      <c r="G55" s="4">
        <f t="shared" si="3"/>
        <v>25.17</v>
      </c>
      <c r="H55" s="4">
        <f t="shared" si="4"/>
        <v>22.998</v>
      </c>
      <c r="I55" s="4" t="str">
        <f t="shared" si="5"/>
        <v> </v>
      </c>
      <c r="K55" s="4">
        <v>14.9</v>
      </c>
      <c r="L55" s="4">
        <f t="shared" si="6"/>
        <v>3</v>
      </c>
      <c r="M55" s="4">
        <f t="shared" si="7"/>
        <v>1</v>
      </c>
      <c r="N55" s="4">
        <f t="shared" si="8"/>
        <v>1.4892</v>
      </c>
      <c r="O55" s="4" t="str">
        <f t="shared" si="9"/>
        <v/>
      </c>
      <c r="P55" s="4">
        <f t="shared" si="10"/>
        <v>14.9</v>
      </c>
    </row>
    <row r="56" ht="15.75" customHeight="1">
      <c r="A56" s="8">
        <v>1984.0</v>
      </c>
      <c r="B56" s="9">
        <v>207.0</v>
      </c>
      <c r="C56" s="4">
        <v>9.2</v>
      </c>
      <c r="D56" s="4">
        <v>19.3</v>
      </c>
      <c r="E56" s="4">
        <f t="shared" si="1"/>
        <v>1</v>
      </c>
      <c r="F56" s="4">
        <f t="shared" si="2"/>
        <v>1</v>
      </c>
      <c r="G56" s="4">
        <f t="shared" si="3"/>
        <v>24.157</v>
      </c>
      <c r="H56" s="4">
        <f t="shared" si="4"/>
        <v>25.6845</v>
      </c>
      <c r="I56" s="4">
        <f t="shared" si="5"/>
        <v>1.5275</v>
      </c>
      <c r="J56" s="4">
        <v>2.1</v>
      </c>
      <c r="K56" s="4">
        <v>13.5</v>
      </c>
      <c r="L56" s="4">
        <f t="shared" si="6"/>
        <v>8</v>
      </c>
      <c r="M56" s="4">
        <f t="shared" si="7"/>
        <v>1</v>
      </c>
      <c r="N56" s="4">
        <f t="shared" si="8"/>
        <v>0.8987</v>
      </c>
      <c r="O56" s="4">
        <f t="shared" si="9"/>
        <v>2.1</v>
      </c>
      <c r="P56" s="4">
        <f t="shared" si="10"/>
        <v>13.5</v>
      </c>
    </row>
    <row r="57" ht="15.75" customHeight="1">
      <c r="A57" s="8">
        <v>1984.0</v>
      </c>
      <c r="B57" s="9">
        <v>208.0</v>
      </c>
      <c r="C57" s="4">
        <v>8.8</v>
      </c>
      <c r="D57" s="4">
        <v>19.9</v>
      </c>
      <c r="E57" s="4">
        <f t="shared" si="1"/>
        <v>0</v>
      </c>
      <c r="F57" s="4">
        <f t="shared" si="2"/>
        <v>1</v>
      </c>
      <c r="G57" s="4">
        <f t="shared" si="3"/>
        <v>21.297</v>
      </c>
      <c r="H57" s="4">
        <f t="shared" si="4"/>
        <v>21.905</v>
      </c>
      <c r="I57" s="4">
        <f t="shared" si="5"/>
        <v>0.608</v>
      </c>
      <c r="K57" s="4">
        <v>14.2</v>
      </c>
      <c r="L57" s="4">
        <f t="shared" si="6"/>
        <v>3</v>
      </c>
      <c r="M57" s="4">
        <f t="shared" si="7"/>
        <v>1</v>
      </c>
      <c r="N57" s="4">
        <f t="shared" si="8"/>
        <v>0.9639</v>
      </c>
      <c r="O57" s="4" t="str">
        <f t="shared" si="9"/>
        <v/>
      </c>
      <c r="P57" s="4">
        <f t="shared" si="10"/>
        <v>14.2</v>
      </c>
    </row>
    <row r="58" ht="15.75" customHeight="1">
      <c r="A58" s="8">
        <v>1984.0</v>
      </c>
      <c r="B58" s="9">
        <v>209.0</v>
      </c>
      <c r="C58" s="4">
        <v>9.8</v>
      </c>
      <c r="D58" s="4">
        <v>20.0</v>
      </c>
      <c r="E58" s="4">
        <f t="shared" si="1"/>
        <v>1</v>
      </c>
      <c r="F58" s="4">
        <f t="shared" si="2"/>
        <v>1</v>
      </c>
      <c r="G58" s="4">
        <f t="shared" si="3"/>
        <v>22.693</v>
      </c>
      <c r="H58" s="4">
        <f t="shared" si="4"/>
        <v>24.6355</v>
      </c>
      <c r="I58" s="4">
        <f t="shared" si="5"/>
        <v>1.9425</v>
      </c>
      <c r="J58" s="4">
        <v>0.5</v>
      </c>
      <c r="K58" s="4">
        <v>15.0</v>
      </c>
      <c r="L58" s="4">
        <f t="shared" si="6"/>
        <v>8</v>
      </c>
      <c r="M58" s="4">
        <f t="shared" si="7"/>
        <v>1</v>
      </c>
      <c r="N58" s="4">
        <f t="shared" si="8"/>
        <v>1.6318</v>
      </c>
      <c r="O58" s="4">
        <f t="shared" si="9"/>
        <v>0.5</v>
      </c>
      <c r="P58" s="4">
        <f t="shared" si="10"/>
        <v>15</v>
      </c>
    </row>
    <row r="59" ht="15.75" customHeight="1">
      <c r="A59" s="8">
        <v>1984.0</v>
      </c>
      <c r="B59" s="9">
        <v>210.0</v>
      </c>
      <c r="C59" s="4">
        <v>8.9</v>
      </c>
      <c r="D59" s="4">
        <v>21.7</v>
      </c>
      <c r="E59" s="4">
        <f t="shared" si="1"/>
        <v>0</v>
      </c>
      <c r="F59" s="4">
        <f t="shared" si="2"/>
        <v>1</v>
      </c>
      <c r="G59" s="4">
        <f t="shared" si="3"/>
        <v>22.039</v>
      </c>
      <c r="H59" s="4">
        <f t="shared" si="4"/>
        <v>23.1595</v>
      </c>
      <c r="I59" s="4">
        <f t="shared" si="5"/>
        <v>1.1205</v>
      </c>
      <c r="K59" s="4">
        <v>15.3</v>
      </c>
      <c r="L59" s="4">
        <f t="shared" si="6"/>
        <v>3</v>
      </c>
      <c r="M59" s="4">
        <f t="shared" si="7"/>
        <v>1</v>
      </c>
      <c r="N59" s="4">
        <f t="shared" si="8"/>
        <v>8.1506</v>
      </c>
      <c r="O59" s="4" t="str">
        <f t="shared" si="9"/>
        <v/>
      </c>
      <c r="P59" s="4">
        <f t="shared" si="10"/>
        <v>15.3</v>
      </c>
    </row>
    <row r="60" ht="15.75" customHeight="1">
      <c r="A60" s="8">
        <v>1984.0</v>
      </c>
      <c r="B60" s="9">
        <v>211.0</v>
      </c>
      <c r="C60" s="4">
        <v>11.4</v>
      </c>
      <c r="D60" s="4">
        <v>18.0</v>
      </c>
      <c r="E60" s="4">
        <f t="shared" si="1"/>
        <v>1</v>
      </c>
      <c r="F60" s="4">
        <f t="shared" si="2"/>
        <v>1</v>
      </c>
      <c r="G60" s="4">
        <f t="shared" si="3"/>
        <v>22.748</v>
      </c>
      <c r="H60" s="4">
        <f t="shared" si="4"/>
        <v>26.051</v>
      </c>
      <c r="I60" s="4">
        <f t="shared" si="5"/>
        <v>3.303</v>
      </c>
      <c r="J60" s="4">
        <v>2.0</v>
      </c>
      <c r="K60" s="4">
        <v>14.7</v>
      </c>
      <c r="L60" s="4">
        <f t="shared" si="6"/>
        <v>8</v>
      </c>
      <c r="M60" s="4">
        <f t="shared" si="7"/>
        <v>1</v>
      </c>
      <c r="N60" s="4">
        <f t="shared" si="8"/>
        <v>12.8927</v>
      </c>
      <c r="O60" s="4">
        <f t="shared" si="9"/>
        <v>2</v>
      </c>
      <c r="P60" s="4">
        <f t="shared" si="10"/>
        <v>14.7</v>
      </c>
    </row>
    <row r="61" ht="15.75" customHeight="1">
      <c r="A61" s="8">
        <v>1984.0</v>
      </c>
      <c r="B61" s="9">
        <v>212.0</v>
      </c>
      <c r="C61" s="4">
        <v>12.3</v>
      </c>
      <c r="D61" s="4">
        <v>15.2</v>
      </c>
      <c r="E61" s="4">
        <f t="shared" si="1"/>
        <v>1</v>
      </c>
      <c r="F61" s="4">
        <f t="shared" si="2"/>
        <v>1</v>
      </c>
      <c r="G61" s="4">
        <f t="shared" si="3"/>
        <v>24.841</v>
      </c>
      <c r="H61" s="4">
        <f t="shared" si="4"/>
        <v>28.4135</v>
      </c>
      <c r="I61" s="4">
        <f t="shared" si="5"/>
        <v>3.5725</v>
      </c>
      <c r="J61" s="4">
        <v>13.0</v>
      </c>
      <c r="K61" s="4">
        <v>13.8</v>
      </c>
      <c r="L61" s="4">
        <f t="shared" si="6"/>
        <v>8</v>
      </c>
      <c r="M61" s="4">
        <f t="shared" si="7"/>
        <v>1</v>
      </c>
      <c r="N61" s="4">
        <f t="shared" si="8"/>
        <v>13.4581</v>
      </c>
      <c r="O61" s="4">
        <f t="shared" si="9"/>
        <v>13</v>
      </c>
      <c r="P61" s="4">
        <f t="shared" si="10"/>
        <v>13.8</v>
      </c>
    </row>
    <row r="62" ht="15.75" customHeight="1">
      <c r="A62" s="8">
        <v>1984.0</v>
      </c>
      <c r="B62" s="9">
        <v>213.0</v>
      </c>
      <c r="C62" s="4">
        <v>12.3</v>
      </c>
      <c r="D62" s="4">
        <v>15.2</v>
      </c>
      <c r="E62" s="4">
        <f t="shared" si="1"/>
        <v>1</v>
      </c>
      <c r="F62" s="4">
        <f t="shared" si="2"/>
        <v>1</v>
      </c>
      <c r="G62" s="4">
        <f t="shared" si="3"/>
        <v>28.386</v>
      </c>
      <c r="H62" s="4">
        <f t="shared" si="4"/>
        <v>31.1325</v>
      </c>
      <c r="I62" s="4">
        <f t="shared" si="5"/>
        <v>2.7465</v>
      </c>
      <c r="J62" s="4">
        <v>8.0</v>
      </c>
      <c r="K62" s="4">
        <v>13.7</v>
      </c>
      <c r="L62" s="4">
        <f t="shared" si="6"/>
        <v>8</v>
      </c>
      <c r="M62" s="4">
        <f t="shared" si="7"/>
        <v>1</v>
      </c>
      <c r="N62" s="4">
        <f t="shared" si="8"/>
        <v>12.9523</v>
      </c>
      <c r="O62" s="4">
        <f t="shared" si="9"/>
        <v>8</v>
      </c>
      <c r="P62" s="4">
        <f t="shared" si="10"/>
        <v>13.7</v>
      </c>
    </row>
    <row r="63" ht="15.75" customHeight="1">
      <c r="A63" s="8">
        <v>1984.0</v>
      </c>
      <c r="B63" s="9">
        <v>214.0</v>
      </c>
      <c r="C63" s="4">
        <v>12.8</v>
      </c>
      <c r="D63" s="4">
        <v>18.2</v>
      </c>
      <c r="E63" s="4">
        <f t="shared" si="1"/>
        <v>1</v>
      </c>
      <c r="F63" s="4">
        <f t="shared" si="2"/>
        <v>1</v>
      </c>
      <c r="G63" s="4">
        <f t="shared" si="3"/>
        <v>31.519</v>
      </c>
      <c r="H63" s="4">
        <f t="shared" si="4"/>
        <v>32.591</v>
      </c>
      <c r="I63" s="4">
        <f t="shared" si="5"/>
        <v>1.072</v>
      </c>
      <c r="J63" s="4">
        <v>2.4</v>
      </c>
      <c r="K63" s="4">
        <v>14.9</v>
      </c>
      <c r="L63" s="4">
        <f t="shared" si="6"/>
        <v>8</v>
      </c>
      <c r="M63" s="4">
        <f t="shared" si="7"/>
        <v>1</v>
      </c>
      <c r="N63" s="4">
        <f t="shared" si="8"/>
        <v>12.3973</v>
      </c>
      <c r="O63" s="4">
        <f t="shared" si="9"/>
        <v>2.4</v>
      </c>
      <c r="P63" s="4">
        <f t="shared" si="10"/>
        <v>14.9</v>
      </c>
    </row>
    <row r="64" ht="15.75" customHeight="1">
      <c r="A64" s="8">
        <v>1984.0</v>
      </c>
      <c r="B64" s="9">
        <v>215.0</v>
      </c>
      <c r="C64" s="4">
        <v>13.1</v>
      </c>
      <c r="D64" s="4">
        <v>18.5</v>
      </c>
      <c r="E64" s="4">
        <f t="shared" si="1"/>
        <v>1</v>
      </c>
      <c r="F64" s="4">
        <f t="shared" si="2"/>
        <v>1</v>
      </c>
      <c r="G64" s="4">
        <f t="shared" si="3"/>
        <v>32.595</v>
      </c>
      <c r="H64" s="4">
        <f t="shared" si="4"/>
        <v>32.834</v>
      </c>
      <c r="I64" s="4">
        <f t="shared" si="5"/>
        <v>0.239</v>
      </c>
      <c r="J64" s="4">
        <v>10.3</v>
      </c>
      <c r="K64" s="4">
        <v>15.7</v>
      </c>
      <c r="L64" s="4">
        <f t="shared" si="6"/>
        <v>8</v>
      </c>
      <c r="M64" s="4">
        <f t="shared" si="7"/>
        <v>1</v>
      </c>
      <c r="N64" s="4">
        <f t="shared" si="8"/>
        <v>10.3308</v>
      </c>
      <c r="O64" s="4">
        <f t="shared" si="9"/>
        <v>10.3</v>
      </c>
      <c r="P64" s="4">
        <f t="shared" si="10"/>
        <v>15.7</v>
      </c>
    </row>
    <row r="65" ht="15.75" customHeight="1">
      <c r="A65" s="8">
        <v>1984.0</v>
      </c>
      <c r="B65" s="9">
        <v>216.0</v>
      </c>
      <c r="C65" s="4">
        <v>14.1</v>
      </c>
      <c r="D65" s="4">
        <v>22.1</v>
      </c>
      <c r="E65" s="4">
        <f t="shared" si="1"/>
        <v>1</v>
      </c>
      <c r="F65" s="4">
        <f t="shared" si="2"/>
        <v>0</v>
      </c>
      <c r="G65" s="4">
        <f t="shared" si="3"/>
        <v>34.7</v>
      </c>
      <c r="H65" s="4">
        <f t="shared" si="4"/>
        <v>33.1935</v>
      </c>
      <c r="I65" s="4" t="str">
        <f t="shared" si="5"/>
        <v> </v>
      </c>
      <c r="J65" s="4">
        <v>3.0</v>
      </c>
      <c r="K65" s="4">
        <v>16.9</v>
      </c>
      <c r="L65" s="4">
        <f t="shared" si="6"/>
        <v>8</v>
      </c>
      <c r="M65" s="4">
        <f t="shared" si="7"/>
        <v>1</v>
      </c>
      <c r="N65" s="4">
        <f t="shared" si="8"/>
        <v>4.6375</v>
      </c>
      <c r="O65" s="4">
        <f t="shared" si="9"/>
        <v>3</v>
      </c>
      <c r="P65" s="4">
        <f t="shared" si="10"/>
        <v>16.9</v>
      </c>
    </row>
    <row r="66" ht="15.75" customHeight="1">
      <c r="A66" s="8">
        <v>1984.0</v>
      </c>
      <c r="B66" s="9">
        <v>217.0</v>
      </c>
      <c r="C66" s="4">
        <v>12.6</v>
      </c>
      <c r="D66" s="4">
        <v>23.8</v>
      </c>
      <c r="E66" s="4">
        <f t="shared" si="1"/>
        <v>1</v>
      </c>
      <c r="F66" s="4">
        <f t="shared" si="2"/>
        <v>0</v>
      </c>
      <c r="G66" s="4">
        <f t="shared" si="3"/>
        <v>34.498</v>
      </c>
      <c r="H66" s="4">
        <f t="shared" si="4"/>
        <v>31.1275</v>
      </c>
      <c r="I66" s="4" t="str">
        <f t="shared" si="5"/>
        <v> </v>
      </c>
      <c r="J66" s="4">
        <v>0.5</v>
      </c>
      <c r="K66" s="4">
        <v>11.9</v>
      </c>
      <c r="L66" s="4">
        <f t="shared" si="6"/>
        <v>8</v>
      </c>
      <c r="M66" s="4">
        <f t="shared" si="7"/>
        <v>0</v>
      </c>
      <c r="N66" s="4">
        <f t="shared" si="8"/>
        <v>-5.5256</v>
      </c>
      <c r="O66" s="4">
        <f t="shared" si="9"/>
        <v>0.5</v>
      </c>
      <c r="P66" s="4">
        <f t="shared" si="10"/>
        <v>11.9</v>
      </c>
    </row>
    <row r="67" ht="15.75" customHeight="1">
      <c r="A67" s="8">
        <v>1984.0</v>
      </c>
      <c r="B67" s="9">
        <v>218.0</v>
      </c>
      <c r="C67" s="4">
        <v>12.0</v>
      </c>
      <c r="D67" s="4">
        <v>23.1</v>
      </c>
      <c r="E67" s="4">
        <f t="shared" si="1"/>
        <v>0</v>
      </c>
      <c r="F67" s="4">
        <f t="shared" si="2"/>
        <v>0</v>
      </c>
      <c r="G67" s="4">
        <f t="shared" si="3"/>
        <v>30.898</v>
      </c>
      <c r="H67" s="4">
        <f t="shared" si="4"/>
        <v>26.088</v>
      </c>
      <c r="I67" s="4" t="str">
        <f t="shared" si="5"/>
        <v> </v>
      </c>
      <c r="K67" s="4">
        <v>18.0</v>
      </c>
      <c r="L67" s="4">
        <f t="shared" si="6"/>
        <v>3</v>
      </c>
      <c r="M67" s="4">
        <f t="shared" si="7"/>
        <v>0</v>
      </c>
      <c r="N67" s="4">
        <f t="shared" si="8"/>
        <v>-8.4124</v>
      </c>
      <c r="O67" s="4" t="str">
        <f t="shared" si="9"/>
        <v/>
      </c>
      <c r="P67" s="4">
        <f t="shared" si="10"/>
        <v>18</v>
      </c>
    </row>
    <row r="68" ht="15.75" customHeight="1">
      <c r="A68" s="8">
        <v>1984.0</v>
      </c>
      <c r="B68" s="9">
        <v>219.0</v>
      </c>
      <c r="C68" s="4">
        <v>10.9</v>
      </c>
      <c r="D68" s="4">
        <v>23.7</v>
      </c>
      <c r="E68" s="4">
        <f t="shared" si="1"/>
        <v>0</v>
      </c>
      <c r="F68" s="4">
        <f t="shared" si="2"/>
        <v>0</v>
      </c>
      <c r="G68" s="4">
        <f t="shared" si="3"/>
        <v>32.667</v>
      </c>
      <c r="H68" s="4">
        <f t="shared" si="4"/>
        <v>28.8715</v>
      </c>
      <c r="I68" s="4" t="str">
        <f t="shared" si="5"/>
        <v> </v>
      </c>
      <c r="K68" s="4">
        <v>11.6</v>
      </c>
      <c r="L68" s="4">
        <f t="shared" si="6"/>
        <v>3</v>
      </c>
      <c r="M68" s="4">
        <f t="shared" si="7"/>
        <v>0</v>
      </c>
      <c r="N68" s="4">
        <f t="shared" si="8"/>
        <v>-8.8111</v>
      </c>
      <c r="O68" s="4" t="str">
        <f t="shared" si="9"/>
        <v/>
      </c>
      <c r="P68" s="4">
        <f t="shared" si="10"/>
        <v>11.6</v>
      </c>
    </row>
    <row r="69" ht="15.75" customHeight="1">
      <c r="A69" s="8">
        <v>1984.0</v>
      </c>
      <c r="B69" s="9">
        <v>220.0</v>
      </c>
      <c r="C69" s="4">
        <v>11.7</v>
      </c>
      <c r="D69" s="4">
        <v>24.2</v>
      </c>
      <c r="E69" s="4">
        <f t="shared" si="1"/>
        <v>0</v>
      </c>
      <c r="F69" s="4">
        <f t="shared" si="2"/>
        <v>0</v>
      </c>
      <c r="G69" s="4">
        <f t="shared" si="3"/>
        <v>34.901</v>
      </c>
      <c r="H69" s="4">
        <f t="shared" si="4"/>
        <v>30.178</v>
      </c>
      <c r="I69" s="4" t="str">
        <f t="shared" si="5"/>
        <v> </v>
      </c>
      <c r="K69" s="4">
        <v>18.2</v>
      </c>
      <c r="L69" s="4">
        <f t="shared" si="6"/>
        <v>3</v>
      </c>
      <c r="M69" s="4">
        <f t="shared" si="7"/>
        <v>0</v>
      </c>
      <c r="N69" s="4">
        <f t="shared" si="8"/>
        <v>-7.1575</v>
      </c>
      <c r="O69" s="4" t="str">
        <f t="shared" si="9"/>
        <v/>
      </c>
      <c r="P69" s="4">
        <f t="shared" si="10"/>
        <v>18.2</v>
      </c>
    </row>
    <row r="70" ht="15.75" customHeight="1">
      <c r="A70" s="8">
        <v>1984.0</v>
      </c>
      <c r="B70" s="9">
        <v>221.0</v>
      </c>
      <c r="C70" s="4">
        <v>11.8</v>
      </c>
      <c r="D70" s="4">
        <v>25.0</v>
      </c>
      <c r="E70" s="4">
        <f t="shared" si="1"/>
        <v>0</v>
      </c>
      <c r="F70" s="4">
        <f t="shared" si="2"/>
        <v>0</v>
      </c>
      <c r="G70" s="4">
        <f t="shared" si="3"/>
        <v>32.607</v>
      </c>
      <c r="H70" s="4">
        <f t="shared" si="4"/>
        <v>30.3015</v>
      </c>
      <c r="I70" s="4" t="str">
        <f t="shared" si="5"/>
        <v> </v>
      </c>
      <c r="K70" s="4">
        <v>19.4</v>
      </c>
      <c r="L70" s="4">
        <f t="shared" si="6"/>
        <v>3</v>
      </c>
      <c r="M70" s="4">
        <f t="shared" si="7"/>
        <v>0</v>
      </c>
      <c r="N70" s="4">
        <f t="shared" si="8"/>
        <v>-4.0313</v>
      </c>
      <c r="O70" s="4" t="str">
        <f t="shared" si="9"/>
        <v/>
      </c>
      <c r="P70" s="4">
        <f t="shared" si="10"/>
        <v>19.4</v>
      </c>
    </row>
    <row r="71" ht="15.75" customHeight="1">
      <c r="A71" s="8">
        <v>1984.0</v>
      </c>
      <c r="B71" s="9">
        <v>222.0</v>
      </c>
      <c r="C71" s="4">
        <v>14.7</v>
      </c>
      <c r="D71" s="4">
        <v>24.1</v>
      </c>
      <c r="E71" s="4">
        <f t="shared" si="1"/>
        <v>0</v>
      </c>
      <c r="F71" s="4">
        <f t="shared" si="2"/>
        <v>0</v>
      </c>
      <c r="G71" s="4">
        <f t="shared" si="3"/>
        <v>30.787</v>
      </c>
      <c r="H71" s="4">
        <f t="shared" si="4"/>
        <v>29.819</v>
      </c>
      <c r="I71" s="4" t="str">
        <f t="shared" si="5"/>
        <v> </v>
      </c>
      <c r="K71" s="4">
        <v>19.3</v>
      </c>
      <c r="L71" s="4">
        <f t="shared" si="6"/>
        <v>3</v>
      </c>
      <c r="M71" s="4">
        <f t="shared" si="7"/>
        <v>1</v>
      </c>
      <c r="N71" s="4">
        <f t="shared" si="8"/>
        <v>1.6213</v>
      </c>
      <c r="O71" s="4" t="str">
        <f t="shared" si="9"/>
        <v/>
      </c>
      <c r="P71" s="4">
        <f t="shared" si="10"/>
        <v>19.3</v>
      </c>
    </row>
    <row r="72" ht="15.75" customHeight="1">
      <c r="A72" s="8">
        <v>1984.0</v>
      </c>
      <c r="B72" s="9">
        <v>223.0</v>
      </c>
      <c r="C72" s="4">
        <v>13.4</v>
      </c>
      <c r="D72" s="4">
        <v>25.1</v>
      </c>
      <c r="E72" s="4">
        <f t="shared" si="1"/>
        <v>1</v>
      </c>
      <c r="F72" s="4">
        <f t="shared" si="2"/>
        <v>0</v>
      </c>
      <c r="G72" s="4">
        <f t="shared" si="3"/>
        <v>30.105</v>
      </c>
      <c r="H72" s="4">
        <f t="shared" si="4"/>
        <v>29.5335</v>
      </c>
      <c r="I72" s="4" t="str">
        <f t="shared" si="5"/>
        <v> </v>
      </c>
      <c r="J72" s="4">
        <v>0.3</v>
      </c>
      <c r="K72" s="4">
        <v>19.4</v>
      </c>
      <c r="L72" s="4">
        <f t="shared" si="6"/>
        <v>8</v>
      </c>
      <c r="M72" s="4">
        <f t="shared" si="7"/>
        <v>0</v>
      </c>
      <c r="N72" s="4">
        <f t="shared" si="8"/>
        <v>-0.4475</v>
      </c>
      <c r="O72" s="4">
        <f t="shared" si="9"/>
        <v>0.3</v>
      </c>
      <c r="P72" s="4">
        <f t="shared" si="10"/>
        <v>19.4</v>
      </c>
    </row>
    <row r="73" ht="15.75" customHeight="1">
      <c r="A73" s="8">
        <v>1984.0</v>
      </c>
      <c r="B73" s="9">
        <v>224.0</v>
      </c>
      <c r="C73" s="4">
        <v>14.7</v>
      </c>
      <c r="D73" s="4">
        <v>26.0</v>
      </c>
      <c r="E73" s="4">
        <f t="shared" si="1"/>
        <v>0</v>
      </c>
      <c r="F73" s="4">
        <f t="shared" si="2"/>
        <v>0</v>
      </c>
      <c r="G73" s="4">
        <f t="shared" si="3"/>
        <v>25.131</v>
      </c>
      <c r="H73" s="4">
        <f t="shared" si="4"/>
        <v>23.125</v>
      </c>
      <c r="I73" s="4" t="str">
        <f t="shared" si="5"/>
        <v> </v>
      </c>
      <c r="K73" s="4">
        <v>20.2</v>
      </c>
      <c r="L73" s="4">
        <f t="shared" si="6"/>
        <v>3</v>
      </c>
      <c r="M73" s="4">
        <f t="shared" si="7"/>
        <v>1</v>
      </c>
      <c r="N73" s="4">
        <f t="shared" si="8"/>
        <v>4.7549</v>
      </c>
      <c r="O73" s="4" t="str">
        <f t="shared" si="9"/>
        <v/>
      </c>
      <c r="P73" s="4">
        <f t="shared" si="10"/>
        <v>20.2</v>
      </c>
    </row>
    <row r="74" ht="15.75" customHeight="1">
      <c r="A74" s="8">
        <v>1984.0</v>
      </c>
      <c r="B74" s="9">
        <v>225.0</v>
      </c>
      <c r="C74" s="4">
        <v>13.2</v>
      </c>
      <c r="D74" s="4">
        <v>20.6</v>
      </c>
      <c r="E74" s="4">
        <f t="shared" si="1"/>
        <v>1</v>
      </c>
      <c r="F74" s="4">
        <f t="shared" si="2"/>
        <v>1</v>
      </c>
      <c r="G74" s="4">
        <f t="shared" si="3"/>
        <v>21.828</v>
      </c>
      <c r="H74" s="4">
        <f t="shared" si="4"/>
        <v>22.3925</v>
      </c>
      <c r="I74" s="4">
        <f t="shared" si="5"/>
        <v>0.5645</v>
      </c>
      <c r="J74" s="4">
        <v>0.3</v>
      </c>
      <c r="K74" s="4">
        <v>17.4</v>
      </c>
      <c r="L74" s="4">
        <f t="shared" si="6"/>
        <v>8</v>
      </c>
      <c r="M74" s="4">
        <f t="shared" si="7"/>
        <v>1</v>
      </c>
      <c r="N74" s="4">
        <f t="shared" si="8"/>
        <v>6.2271</v>
      </c>
      <c r="O74" s="4">
        <f t="shared" si="9"/>
        <v>0.3</v>
      </c>
      <c r="P74" s="4">
        <f t="shared" si="10"/>
        <v>17.4</v>
      </c>
    </row>
    <row r="75" ht="15.75" customHeight="1">
      <c r="A75" s="8">
        <v>1984.0</v>
      </c>
      <c r="B75" s="9">
        <v>226.0</v>
      </c>
      <c r="C75" s="4">
        <v>9.9</v>
      </c>
      <c r="D75" s="4">
        <v>16.7</v>
      </c>
      <c r="E75" s="4">
        <f t="shared" si="1"/>
        <v>1</v>
      </c>
      <c r="F75" s="4">
        <f t="shared" si="2"/>
        <v>0</v>
      </c>
      <c r="G75" s="4">
        <f t="shared" si="3"/>
        <v>16.885</v>
      </c>
      <c r="H75" s="4">
        <f t="shared" si="4"/>
        <v>15.898</v>
      </c>
      <c r="I75" s="4" t="str">
        <f t="shared" si="5"/>
        <v> </v>
      </c>
      <c r="J75" s="4">
        <v>0.4</v>
      </c>
      <c r="K75" s="4">
        <v>12.9</v>
      </c>
      <c r="L75" s="4">
        <f t="shared" si="6"/>
        <v>8</v>
      </c>
      <c r="M75" s="4">
        <f t="shared" si="7"/>
        <v>0</v>
      </c>
      <c r="N75" s="4">
        <f t="shared" si="8"/>
        <v>-2.1388</v>
      </c>
      <c r="O75" s="4">
        <f t="shared" si="9"/>
        <v>0.4</v>
      </c>
      <c r="P75" s="4">
        <f t="shared" si="10"/>
        <v>12.9</v>
      </c>
    </row>
    <row r="76" ht="15.75" customHeight="1">
      <c r="A76" s="8">
        <v>1984.0</v>
      </c>
      <c r="B76" s="9">
        <v>227.0</v>
      </c>
      <c r="C76" s="4">
        <v>9.8</v>
      </c>
      <c r="D76" s="4">
        <v>16.1</v>
      </c>
      <c r="E76" s="4">
        <f t="shared" si="1"/>
        <v>0</v>
      </c>
      <c r="F76" s="4">
        <f t="shared" si="2"/>
        <v>1</v>
      </c>
      <c r="G76" s="4">
        <f t="shared" si="3"/>
        <v>15.587</v>
      </c>
      <c r="H76" s="4">
        <f t="shared" si="4"/>
        <v>15.791</v>
      </c>
      <c r="I76" s="4">
        <f t="shared" si="5"/>
        <v>0.204</v>
      </c>
      <c r="K76" s="4">
        <v>12.5</v>
      </c>
      <c r="L76" s="4">
        <f t="shared" si="6"/>
        <v>3</v>
      </c>
      <c r="M76" s="4">
        <f t="shared" si="7"/>
        <v>0</v>
      </c>
      <c r="N76" s="4">
        <f t="shared" si="8"/>
        <v>-3.4106</v>
      </c>
      <c r="O76" s="4" t="str">
        <f t="shared" si="9"/>
        <v/>
      </c>
      <c r="P76" s="4">
        <f t="shared" si="10"/>
        <v>12.5</v>
      </c>
    </row>
    <row r="77" ht="15.75" customHeight="1">
      <c r="A77" s="8">
        <v>1984.0</v>
      </c>
      <c r="B77" s="9">
        <v>228.0</v>
      </c>
      <c r="C77" s="4">
        <v>9.7</v>
      </c>
      <c r="D77" s="4">
        <v>16.1</v>
      </c>
      <c r="E77" s="4">
        <f t="shared" si="1"/>
        <v>0</v>
      </c>
      <c r="F77" s="4">
        <f t="shared" si="2"/>
        <v>0</v>
      </c>
      <c r="G77" s="4">
        <f t="shared" si="3"/>
        <v>18.559</v>
      </c>
      <c r="H77" s="4">
        <f t="shared" si="4"/>
        <v>17.4715</v>
      </c>
      <c r="I77" s="4" t="str">
        <f t="shared" si="5"/>
        <v> </v>
      </c>
      <c r="K77" s="4">
        <v>12.6</v>
      </c>
      <c r="L77" s="4">
        <f t="shared" si="6"/>
        <v>3</v>
      </c>
      <c r="M77" s="4">
        <f t="shared" si="7"/>
        <v>1</v>
      </c>
      <c r="N77" s="4">
        <f t="shared" si="8"/>
        <v>0.4597</v>
      </c>
      <c r="O77" s="4" t="str">
        <f t="shared" si="9"/>
        <v/>
      </c>
      <c r="P77" s="4">
        <f t="shared" si="10"/>
        <v>12.6</v>
      </c>
    </row>
    <row r="78" ht="15.75" customHeight="1">
      <c r="A78" s="8">
        <v>1984.0</v>
      </c>
      <c r="B78" s="9">
        <v>229.0</v>
      </c>
      <c r="C78" s="4">
        <v>6.2</v>
      </c>
      <c r="D78" s="4">
        <v>18.0</v>
      </c>
      <c r="E78" s="4">
        <f t="shared" si="1"/>
        <v>1</v>
      </c>
      <c r="F78" s="4">
        <f t="shared" si="2"/>
        <v>0</v>
      </c>
      <c r="G78" s="4">
        <f t="shared" si="3"/>
        <v>20.949</v>
      </c>
      <c r="H78" s="4">
        <f t="shared" si="4"/>
        <v>20.3975</v>
      </c>
      <c r="I78" s="4" t="str">
        <f t="shared" si="5"/>
        <v> </v>
      </c>
      <c r="J78" s="4">
        <v>1.3</v>
      </c>
      <c r="K78" s="4">
        <v>11.9</v>
      </c>
      <c r="L78" s="4">
        <f t="shared" si="6"/>
        <v>8</v>
      </c>
      <c r="M78" s="4">
        <f t="shared" si="7"/>
        <v>1</v>
      </c>
      <c r="N78" s="4">
        <f t="shared" si="8"/>
        <v>0.3165</v>
      </c>
      <c r="O78" s="4">
        <f t="shared" si="9"/>
        <v>1.3</v>
      </c>
      <c r="P78" s="4">
        <f t="shared" si="10"/>
        <v>11.9</v>
      </c>
    </row>
    <row r="79" ht="15.75" customHeight="1">
      <c r="A79" s="8">
        <v>1984.0</v>
      </c>
      <c r="B79" s="9">
        <v>230.0</v>
      </c>
      <c r="C79" s="4">
        <v>4.4</v>
      </c>
      <c r="D79" s="4">
        <v>17.5</v>
      </c>
      <c r="E79" s="4">
        <f t="shared" si="1"/>
        <v>0</v>
      </c>
      <c r="F79" s="4">
        <f t="shared" si="2"/>
        <v>1</v>
      </c>
      <c r="G79" s="4">
        <f t="shared" si="3"/>
        <v>17.138</v>
      </c>
      <c r="H79" s="4">
        <f t="shared" si="4"/>
        <v>18.006</v>
      </c>
      <c r="I79" s="4">
        <f t="shared" si="5"/>
        <v>0.868</v>
      </c>
      <c r="K79" s="4">
        <v>11.3</v>
      </c>
      <c r="L79" s="4">
        <f t="shared" si="6"/>
        <v>3</v>
      </c>
      <c r="M79" s="4">
        <f t="shared" si="7"/>
        <v>1</v>
      </c>
      <c r="N79" s="4">
        <f t="shared" si="8"/>
        <v>1.6543</v>
      </c>
      <c r="O79" s="4" t="str">
        <f t="shared" si="9"/>
        <v/>
      </c>
      <c r="P79" s="4">
        <f t="shared" si="10"/>
        <v>11.3</v>
      </c>
    </row>
    <row r="80" ht="15.75" customHeight="1">
      <c r="A80" s="8">
        <v>1984.0</v>
      </c>
      <c r="B80" s="9">
        <v>231.0</v>
      </c>
      <c r="C80" s="4">
        <v>6.1</v>
      </c>
      <c r="D80" s="4">
        <v>17.8</v>
      </c>
      <c r="E80" s="4">
        <f t="shared" si="1"/>
        <v>1</v>
      </c>
      <c r="F80" s="4">
        <f t="shared" si="2"/>
        <v>0</v>
      </c>
      <c r="G80" s="4">
        <f t="shared" si="3"/>
        <v>22.716</v>
      </c>
      <c r="H80" s="4">
        <f t="shared" si="4"/>
        <v>21.1235</v>
      </c>
      <c r="I80" s="4" t="str">
        <f t="shared" si="5"/>
        <v> </v>
      </c>
      <c r="J80" s="4">
        <v>1.0</v>
      </c>
      <c r="K80" s="4">
        <v>11.6</v>
      </c>
      <c r="L80" s="4">
        <f t="shared" si="6"/>
        <v>8</v>
      </c>
      <c r="M80" s="4">
        <f t="shared" si="7"/>
        <v>0</v>
      </c>
      <c r="N80" s="4">
        <f t="shared" si="8"/>
        <v>-5.715</v>
      </c>
      <c r="O80" s="4">
        <f t="shared" si="9"/>
        <v>1</v>
      </c>
      <c r="P80" s="4">
        <f t="shared" si="10"/>
        <v>11.6</v>
      </c>
    </row>
    <row r="81" ht="15.75" customHeight="1">
      <c r="A81" s="8">
        <v>1984.0</v>
      </c>
      <c r="B81" s="9">
        <v>232.0</v>
      </c>
      <c r="C81" s="4">
        <v>6.9</v>
      </c>
      <c r="D81" s="4">
        <v>18.4</v>
      </c>
      <c r="E81" s="4">
        <f t="shared" si="1"/>
        <v>0</v>
      </c>
      <c r="F81" s="4">
        <f t="shared" si="2"/>
        <v>0</v>
      </c>
      <c r="G81" s="4">
        <f t="shared" si="3"/>
        <v>22.431</v>
      </c>
      <c r="H81" s="4">
        <f t="shared" si="4"/>
        <v>19.927</v>
      </c>
      <c r="I81" s="4" t="str">
        <f t="shared" si="5"/>
        <v> </v>
      </c>
      <c r="K81" s="4">
        <v>12.1</v>
      </c>
      <c r="L81" s="4">
        <f t="shared" si="6"/>
        <v>3</v>
      </c>
      <c r="M81" s="4">
        <f t="shared" si="7"/>
        <v>0</v>
      </c>
      <c r="N81" s="4">
        <f t="shared" si="8"/>
        <v>-1.0245</v>
      </c>
      <c r="O81" s="4" t="str">
        <f t="shared" si="9"/>
        <v/>
      </c>
      <c r="P81" s="4">
        <f t="shared" si="10"/>
        <v>12.1</v>
      </c>
    </row>
    <row r="82" ht="15.75" customHeight="1">
      <c r="A82" s="8">
        <v>1984.0</v>
      </c>
      <c r="B82" s="9">
        <v>233.0</v>
      </c>
      <c r="C82" s="4">
        <v>5.0</v>
      </c>
      <c r="D82" s="4">
        <v>19.7</v>
      </c>
      <c r="E82" s="4">
        <f t="shared" si="1"/>
        <v>0</v>
      </c>
      <c r="F82" s="4">
        <f t="shared" si="2"/>
        <v>0</v>
      </c>
      <c r="G82" s="4">
        <f t="shared" si="3"/>
        <v>25.686</v>
      </c>
      <c r="H82" s="4">
        <f t="shared" si="4"/>
        <v>23.1495</v>
      </c>
      <c r="I82" s="4" t="str">
        <f t="shared" si="5"/>
        <v> </v>
      </c>
      <c r="K82" s="4">
        <v>13.5</v>
      </c>
      <c r="L82" s="4">
        <f t="shared" si="6"/>
        <v>3</v>
      </c>
      <c r="M82" s="4">
        <f t="shared" si="7"/>
        <v>1</v>
      </c>
      <c r="N82" s="4">
        <f t="shared" si="8"/>
        <v>0.0694</v>
      </c>
      <c r="O82" s="4" t="str">
        <f t="shared" si="9"/>
        <v/>
      </c>
      <c r="P82" s="4">
        <f t="shared" si="10"/>
        <v>13.5</v>
      </c>
    </row>
    <row r="83" ht="15.75" customHeight="1">
      <c r="A83" s="8">
        <v>1984.0</v>
      </c>
      <c r="B83" s="9">
        <v>234.0</v>
      </c>
      <c r="C83" s="4">
        <v>10.7</v>
      </c>
      <c r="D83" s="4">
        <v>18.4</v>
      </c>
      <c r="E83" s="4">
        <f t="shared" si="1"/>
        <v>1</v>
      </c>
      <c r="F83" s="4">
        <f t="shared" si="2"/>
        <v>0</v>
      </c>
      <c r="G83" s="4">
        <f t="shared" si="3"/>
        <v>28.878</v>
      </c>
      <c r="H83" s="4">
        <f t="shared" si="4"/>
        <v>26.316</v>
      </c>
      <c r="I83" s="4" t="str">
        <f t="shared" si="5"/>
        <v> </v>
      </c>
      <c r="J83" s="4">
        <v>0.8</v>
      </c>
      <c r="K83" s="4">
        <v>14.2</v>
      </c>
      <c r="L83" s="4">
        <f t="shared" si="6"/>
        <v>8</v>
      </c>
      <c r="M83" s="4">
        <f t="shared" si="7"/>
        <v>0</v>
      </c>
      <c r="N83" s="4">
        <f t="shared" si="8"/>
        <v>-4.0344</v>
      </c>
      <c r="O83" s="4">
        <f t="shared" si="9"/>
        <v>0.8</v>
      </c>
      <c r="P83" s="4">
        <f t="shared" si="10"/>
        <v>14.2</v>
      </c>
    </row>
    <row r="84" ht="15.75" customHeight="1">
      <c r="A84" s="8">
        <v>1984.0</v>
      </c>
      <c r="B84" s="9">
        <v>235.0</v>
      </c>
      <c r="C84" s="4">
        <v>7.0</v>
      </c>
      <c r="D84" s="4">
        <v>20.7</v>
      </c>
      <c r="E84" s="4">
        <f t="shared" si="1"/>
        <v>0</v>
      </c>
      <c r="F84" s="4">
        <f t="shared" si="2"/>
        <v>0</v>
      </c>
      <c r="G84" s="4">
        <f t="shared" si="3"/>
        <v>18.67</v>
      </c>
      <c r="H84" s="4">
        <f t="shared" si="4"/>
        <v>14.3475</v>
      </c>
      <c r="I84" s="4" t="str">
        <f t="shared" si="5"/>
        <v> </v>
      </c>
      <c r="K84" s="4">
        <v>14.3</v>
      </c>
      <c r="L84" s="4">
        <f t="shared" si="6"/>
        <v>3</v>
      </c>
      <c r="M84" s="4">
        <f t="shared" si="7"/>
        <v>0</v>
      </c>
      <c r="N84" s="4">
        <f t="shared" si="8"/>
        <v>-7.9215</v>
      </c>
      <c r="O84" s="4" t="str">
        <f t="shared" si="9"/>
        <v/>
      </c>
      <c r="P84" s="4">
        <f t="shared" si="10"/>
        <v>14.3</v>
      </c>
    </row>
    <row r="85" ht="15.75" customHeight="1">
      <c r="A85" s="8">
        <v>1984.0</v>
      </c>
      <c r="B85" s="9">
        <v>236.0</v>
      </c>
      <c r="C85" s="4">
        <v>9.3</v>
      </c>
      <c r="D85" s="4">
        <v>23.5</v>
      </c>
      <c r="E85" s="4">
        <f t="shared" si="1"/>
        <v>0</v>
      </c>
      <c r="F85" s="4">
        <f t="shared" si="2"/>
        <v>0</v>
      </c>
      <c r="G85" s="4">
        <f t="shared" si="3"/>
        <v>17.547</v>
      </c>
      <c r="H85" s="4">
        <f t="shared" si="4"/>
        <v>14.5205</v>
      </c>
      <c r="I85" s="4" t="str">
        <f t="shared" si="5"/>
        <v> </v>
      </c>
      <c r="K85" s="4">
        <v>16.7</v>
      </c>
      <c r="L85" s="4">
        <f t="shared" si="6"/>
        <v>3</v>
      </c>
      <c r="M85" s="4">
        <f t="shared" si="7"/>
        <v>0</v>
      </c>
      <c r="N85" s="4">
        <f t="shared" si="8"/>
        <v>-9.1162</v>
      </c>
      <c r="O85" s="4" t="str">
        <f t="shared" si="9"/>
        <v/>
      </c>
      <c r="P85" s="4">
        <f t="shared" si="10"/>
        <v>16.7</v>
      </c>
    </row>
    <row r="86" ht="15.75" customHeight="1">
      <c r="A86" s="8">
        <v>1984.0</v>
      </c>
      <c r="B86" s="9">
        <v>237.0</v>
      </c>
      <c r="C86" s="4">
        <v>11.4</v>
      </c>
      <c r="D86" s="4">
        <v>25.3</v>
      </c>
      <c r="E86" s="4">
        <f t="shared" si="1"/>
        <v>0</v>
      </c>
      <c r="F86" s="4">
        <f t="shared" si="2"/>
        <v>0</v>
      </c>
      <c r="G86" s="4">
        <f t="shared" si="3"/>
        <v>16.268</v>
      </c>
      <c r="H86" s="4">
        <f t="shared" si="4"/>
        <v>13.5155</v>
      </c>
      <c r="I86" s="4" t="str">
        <f t="shared" si="5"/>
        <v> </v>
      </c>
      <c r="K86" s="4">
        <v>18.3</v>
      </c>
      <c r="L86" s="4">
        <f t="shared" si="6"/>
        <v>3</v>
      </c>
      <c r="M86" s="4">
        <f t="shared" si="7"/>
        <v>0</v>
      </c>
      <c r="N86" s="4">
        <f t="shared" si="8"/>
        <v>-12.0545</v>
      </c>
      <c r="O86" s="4" t="str">
        <f t="shared" si="9"/>
        <v/>
      </c>
      <c r="P86" s="4">
        <f t="shared" si="10"/>
        <v>18.3</v>
      </c>
    </row>
    <row r="87" ht="15.75" customHeight="1">
      <c r="A87" s="8">
        <v>1984.0</v>
      </c>
      <c r="B87" s="9">
        <v>238.0</v>
      </c>
      <c r="C87" s="4">
        <v>11.3</v>
      </c>
      <c r="D87" s="4">
        <v>23.9</v>
      </c>
      <c r="E87" s="4">
        <f t="shared" si="1"/>
        <v>0</v>
      </c>
      <c r="F87" s="4">
        <f t="shared" si="2"/>
        <v>0</v>
      </c>
      <c r="G87" s="4">
        <f t="shared" si="3"/>
        <v>13.025</v>
      </c>
      <c r="H87" s="4">
        <f t="shared" si="4"/>
        <v>12.2365</v>
      </c>
      <c r="I87" s="4" t="str">
        <f t="shared" si="5"/>
        <v> </v>
      </c>
      <c r="K87" s="4">
        <v>16.7</v>
      </c>
      <c r="L87" s="4">
        <f t="shared" si="6"/>
        <v>3</v>
      </c>
      <c r="M87" s="4">
        <f t="shared" si="7"/>
        <v>0</v>
      </c>
      <c r="N87" s="4">
        <f t="shared" si="8"/>
        <v>-8.3757</v>
      </c>
      <c r="O87" s="4" t="str">
        <f t="shared" si="9"/>
        <v/>
      </c>
      <c r="P87" s="4">
        <f t="shared" si="10"/>
        <v>16.7</v>
      </c>
    </row>
    <row r="88" ht="15.75" customHeight="1">
      <c r="A88" s="8">
        <v>1984.0</v>
      </c>
      <c r="B88" s="9">
        <v>239.0</v>
      </c>
      <c r="C88" s="4">
        <v>4.5</v>
      </c>
      <c r="D88" s="4">
        <v>11.9</v>
      </c>
      <c r="E88" s="4">
        <f t="shared" si="1"/>
        <v>0</v>
      </c>
      <c r="K88" s="4">
        <v>8.0</v>
      </c>
      <c r="L88" s="4">
        <f t="shared" si="6"/>
        <v>3</v>
      </c>
      <c r="O88" s="4">
        <f t="shared" si="9"/>
        <v>0</v>
      </c>
      <c r="P88" s="4">
        <f t="shared" si="10"/>
        <v>0</v>
      </c>
    </row>
    <row r="89" ht="15.75" customHeight="1">
      <c r="A89" s="8">
        <v>1984.0</v>
      </c>
      <c r="B89" s="9">
        <v>240.0</v>
      </c>
      <c r="C89" s="4">
        <v>4.3</v>
      </c>
      <c r="D89" s="4">
        <v>11.5</v>
      </c>
      <c r="E89" s="4">
        <f t="shared" si="1"/>
        <v>0</v>
      </c>
      <c r="K89" s="4">
        <v>7.1</v>
      </c>
      <c r="L89" s="4">
        <f t="shared" si="6"/>
        <v>3</v>
      </c>
      <c r="O89" s="4">
        <f t="shared" si="9"/>
        <v>0</v>
      </c>
      <c r="P89" s="4">
        <f t="shared" si="10"/>
        <v>0</v>
      </c>
    </row>
    <row r="90" ht="15.75" customHeight="1">
      <c r="A90" s="8">
        <v>1984.0</v>
      </c>
      <c r="B90" s="9">
        <v>241.0</v>
      </c>
      <c r="C90" s="4">
        <v>3.3</v>
      </c>
      <c r="D90" s="4">
        <v>12.5</v>
      </c>
      <c r="E90" s="4">
        <f t="shared" si="1"/>
        <v>1</v>
      </c>
      <c r="J90" s="4">
        <v>1.4</v>
      </c>
      <c r="K90" s="4">
        <v>7.3</v>
      </c>
      <c r="L90" s="4">
        <f t="shared" si="6"/>
        <v>8</v>
      </c>
      <c r="O90" s="4">
        <f t="shared" si="9"/>
        <v>0</v>
      </c>
      <c r="P90" s="4">
        <f t="shared" si="10"/>
        <v>0</v>
      </c>
    </row>
    <row r="91" ht="15.75" customHeight="1">
      <c r="A91" s="8">
        <v>1984.0</v>
      </c>
      <c r="B91" s="9">
        <v>242.0</v>
      </c>
      <c r="C91" s="4">
        <v>7.6</v>
      </c>
      <c r="D91" s="4">
        <v>13.0</v>
      </c>
      <c r="E91" s="4">
        <f t="shared" si="1"/>
        <v>1</v>
      </c>
      <c r="J91" s="4">
        <v>3.6</v>
      </c>
      <c r="K91" s="4">
        <v>10.3</v>
      </c>
      <c r="L91" s="4">
        <f t="shared" si="6"/>
        <v>8</v>
      </c>
      <c r="O91" s="4">
        <f t="shared" si="9"/>
        <v>3.6</v>
      </c>
      <c r="P91" s="4">
        <f t="shared" si="10"/>
        <v>10.3</v>
      </c>
    </row>
    <row r="92" ht="15.75" customHeight="1">
      <c r="A92" s="8">
        <v>1984.0</v>
      </c>
      <c r="B92" s="9">
        <v>243.0</v>
      </c>
      <c r="C92" s="4">
        <v>9.7</v>
      </c>
      <c r="D92" s="4">
        <v>16.6</v>
      </c>
      <c r="E92" s="4">
        <f t="shared" si="1"/>
        <v>1</v>
      </c>
      <c r="J92" s="4">
        <v>16.2</v>
      </c>
      <c r="K92" s="4">
        <v>13.2</v>
      </c>
      <c r="L92" s="4">
        <f t="shared" si="6"/>
        <v>8</v>
      </c>
      <c r="O92" s="4">
        <f t="shared" si="9"/>
        <v>16.2</v>
      </c>
      <c r="P92" s="4">
        <f t="shared" si="10"/>
        <v>13.2</v>
      </c>
    </row>
    <row r="93" ht="15.75" customHeight="1">
      <c r="A93" s="8">
        <v>1984.0</v>
      </c>
      <c r="B93" s="9">
        <v>244.0</v>
      </c>
      <c r="C93" s="4">
        <v>12.4</v>
      </c>
      <c r="D93" s="4">
        <v>18.2</v>
      </c>
      <c r="E93" s="4">
        <f t="shared" si="1"/>
        <v>0</v>
      </c>
      <c r="K93" s="4">
        <v>15.6</v>
      </c>
      <c r="L93" s="4">
        <f t="shared" si="6"/>
        <v>3</v>
      </c>
      <c r="O93" s="4" t="str">
        <f t="shared" si="9"/>
        <v/>
      </c>
      <c r="P93" s="4">
        <f t="shared" si="10"/>
        <v>15.6</v>
      </c>
    </row>
    <row r="94" ht="15.75" customHeight="1"/>
    <row r="95" ht="15.75" customHeight="1"/>
    <row r="96" ht="15.75" customHeight="1">
      <c r="O96" s="4">
        <f>SUM(O2:O93)</f>
        <v>220.8</v>
      </c>
      <c r="P96" s="4">
        <f>SUMIF(P2:P93,"&gt;0")/10</f>
        <v>133.81</v>
      </c>
    </row>
    <row r="97" ht="15.75" customHeight="1"/>
    <row r="98" ht="15.75" customHeight="1">
      <c r="I98" s="4">
        <f>SUM(I2:I87)</f>
        <v>73.538</v>
      </c>
      <c r="O98" s="4" t="s">
        <v>15</v>
      </c>
      <c r="P98" s="4">
        <f>O96/P96</f>
        <v>1.650100889</v>
      </c>
    </row>
    <row r="99" ht="15.75" customHeight="1">
      <c r="I99" s="4">
        <f>SUM(I2:I31)</f>
        <v>49.964</v>
      </c>
      <c r="O99" s="4" t="s">
        <v>16</v>
      </c>
      <c r="P99" s="4">
        <f>SUM(O2:O31)/(SUM(P2:P31)/10)</f>
        <v>2.047924901</v>
      </c>
    </row>
    <row r="100" ht="15.75" customHeight="1">
      <c r="I100" s="4">
        <f>SUM(I32:I62)</f>
        <v>20.6265</v>
      </c>
      <c r="O100" s="4" t="s">
        <v>17</v>
      </c>
      <c r="P100" s="4">
        <f>SUM(O33:O62)/(SUM(P33:P62)/10)</f>
        <v>1.953516329</v>
      </c>
    </row>
    <row r="101" ht="15.75" customHeight="1">
      <c r="I101" s="4">
        <f>SUM(I63:I93)</f>
        <v>2.9475</v>
      </c>
      <c r="O101" s="4" t="s">
        <v>18</v>
      </c>
      <c r="P101" s="4">
        <f>SUM(O63:O93)/(SUM(P63:P93)/10)</f>
        <v>0.9533999049</v>
      </c>
    </row>
    <row r="102" ht="15.75" customHeight="1">
      <c r="I102" s="4">
        <f>SUMIF(I2:I87,"&gt;0")</f>
        <v>73.538</v>
      </c>
    </row>
    <row r="103" ht="15.75" customHeight="1">
      <c r="I103" s="4">
        <f>SUMIF(I2:I31,"&gt;0")</f>
        <v>49.964</v>
      </c>
    </row>
    <row r="104" ht="15.75" customHeight="1">
      <c r="I104" s="4">
        <f>SUMIF(I32:I62,"&gt;0")</f>
        <v>20.6265</v>
      </c>
      <c r="P104" s="4">
        <f>SUM(O16:O35)/(SUM(P16:P35)/10)</f>
        <v>2.229385816</v>
      </c>
    </row>
    <row r="105" ht="15.75" customHeight="1">
      <c r="I105" s="4">
        <f>SUMIF(I63:I87,"&gt;0")</f>
        <v>2.9475</v>
      </c>
      <c r="P105" s="4">
        <f>SUM(O36:O55)/(SUM(P36:P55)/10)</f>
        <v>1.411403018</v>
      </c>
    </row>
    <row r="106" ht="15.75" customHeight="1">
      <c r="P106" s="4">
        <f>SUM(O56:O77)/(SUM(P56:P77)/10)</f>
        <v>1.254763999</v>
      </c>
    </row>
    <row r="107" ht="15.75" customHeight="1">
      <c r="P107" s="4">
        <f>SUM(O16:O77)/(SUM(P16:P77)/10)</f>
        <v>1.600241546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1987.0</v>
      </c>
      <c r="B2" s="4">
        <v>152.0</v>
      </c>
      <c r="C2" s="4">
        <v>6.8</v>
      </c>
      <c r="D2" s="4">
        <v>17.8</v>
      </c>
      <c r="E2" s="4">
        <f t="shared" ref="E2:E93" si="1">IF(J2&gt;0,1,0)</f>
        <v>0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17.435</v>
      </c>
      <c r="H2" s="4">
        <f t="shared" ref="H2:H87" si="4">0.63 * D2 + 0.37 * D3 + 0.49 * D4 + 0.22 * D5 + 0.65 * D6 + 0.24 *C2 - 0.06 * C3- 0.15 * C4 - 0.135 * C5 + 0.15 * C6 + 4.88 * E2 + 3.55 * E3 + 3.34 *E4 + 2.5 * E5 + 2.29 *E6-31.34</f>
        <v>16.8315</v>
      </c>
      <c r="I2" s="4" t="str">
        <f t="shared" ref="I2:I87" si="5">IF((H2-G2)&gt;0,H2-G2," ")</f>
        <v> </v>
      </c>
      <c r="K2" s="4">
        <v>12.9</v>
      </c>
      <c r="L2" s="4">
        <f t="shared" ref="L2:L93" si="6">IF(E2&gt;0,8,3)</f>
        <v>3</v>
      </c>
      <c r="M2" s="4">
        <f t="shared" ref="M2:M87" si="7">IF(N2&gt;=0,1,0)</f>
        <v>1</v>
      </c>
      <c r="N2" s="4">
        <f t="shared" ref="N2:N87" si="8">-0.216*D2-0.191*D3-0.119*D4+0.004*C2-0.171*C3+0.628*C4-0.479*L2+0.513*L3+0.046*L4+5.947*E2+6.699*E3+4.328*E4-1.788</f>
        <v>8.7345</v>
      </c>
      <c r="O2" s="4" t="str">
        <f t="shared" ref="O2:O93" si="9">IF(K2&gt;10,J2,0)</f>
        <v/>
      </c>
      <c r="P2" s="4">
        <f t="shared" ref="P2:P93" si="10">IF(K2&gt;10,K2,0)</f>
        <v>12.9</v>
      </c>
    </row>
    <row r="3">
      <c r="A3" s="4">
        <v>1987.0</v>
      </c>
      <c r="B3" s="4">
        <v>153.0</v>
      </c>
      <c r="C3" s="4">
        <v>9.0</v>
      </c>
      <c r="D3" s="4">
        <v>20.7</v>
      </c>
      <c r="E3" s="4">
        <f t="shared" si="1"/>
        <v>1</v>
      </c>
      <c r="F3" s="4">
        <f t="shared" si="2"/>
        <v>0</v>
      </c>
      <c r="G3" s="4">
        <f t="shared" si="3"/>
        <v>22.185</v>
      </c>
      <c r="H3" s="4">
        <f t="shared" si="4"/>
        <v>21.135</v>
      </c>
      <c r="I3" s="4" t="str">
        <f t="shared" si="5"/>
        <v> </v>
      </c>
      <c r="J3" s="4">
        <v>1.2</v>
      </c>
      <c r="K3" s="4">
        <v>14.8</v>
      </c>
      <c r="L3" s="4">
        <f t="shared" si="6"/>
        <v>8</v>
      </c>
      <c r="M3" s="4">
        <f t="shared" si="7"/>
        <v>1</v>
      </c>
      <c r="N3" s="4">
        <f t="shared" si="8"/>
        <v>6.0902</v>
      </c>
      <c r="O3" s="4">
        <f t="shared" si="9"/>
        <v>1.2</v>
      </c>
      <c r="P3" s="4">
        <f t="shared" si="10"/>
        <v>14.8</v>
      </c>
    </row>
    <row r="4">
      <c r="A4" s="4">
        <v>1987.0</v>
      </c>
      <c r="B4" s="4">
        <v>154.0</v>
      </c>
      <c r="C4" s="4">
        <v>12.6</v>
      </c>
      <c r="D4" s="4">
        <v>18.0</v>
      </c>
      <c r="E4" s="4">
        <f t="shared" si="1"/>
        <v>1</v>
      </c>
      <c r="F4" s="4">
        <f t="shared" si="2"/>
        <v>0</v>
      </c>
      <c r="G4" s="4">
        <f t="shared" si="3"/>
        <v>22.872</v>
      </c>
      <c r="H4" s="4">
        <f t="shared" si="4"/>
        <v>22.7035</v>
      </c>
      <c r="I4" s="4" t="str">
        <f t="shared" si="5"/>
        <v> </v>
      </c>
      <c r="J4" s="4">
        <v>0.6</v>
      </c>
      <c r="K4" s="4">
        <v>14.5</v>
      </c>
      <c r="L4" s="4">
        <f t="shared" si="6"/>
        <v>8</v>
      </c>
      <c r="M4" s="4">
        <f t="shared" si="7"/>
        <v>0</v>
      </c>
      <c r="N4" s="4">
        <f t="shared" si="8"/>
        <v>-2.3718</v>
      </c>
      <c r="O4" s="4">
        <f t="shared" si="9"/>
        <v>0.6</v>
      </c>
      <c r="P4" s="4">
        <f t="shared" si="10"/>
        <v>14.5</v>
      </c>
    </row>
    <row r="5">
      <c r="A5" s="4">
        <v>1987.0</v>
      </c>
      <c r="B5" s="4">
        <v>155.0</v>
      </c>
      <c r="C5" s="4">
        <v>10.3</v>
      </c>
      <c r="D5" s="4">
        <v>13.6</v>
      </c>
      <c r="E5" s="4">
        <f t="shared" si="1"/>
        <v>0</v>
      </c>
      <c r="F5" s="4">
        <f t="shared" si="2"/>
        <v>0</v>
      </c>
      <c r="G5" s="4">
        <f t="shared" si="3"/>
        <v>21.677</v>
      </c>
      <c r="H5" s="4">
        <f t="shared" si="4"/>
        <v>18.7425</v>
      </c>
      <c r="I5" s="4" t="str">
        <f t="shared" si="5"/>
        <v> </v>
      </c>
      <c r="K5" s="4">
        <v>11.6</v>
      </c>
      <c r="L5" s="4">
        <f t="shared" si="6"/>
        <v>3</v>
      </c>
      <c r="M5" s="4">
        <f t="shared" si="7"/>
        <v>0</v>
      </c>
      <c r="N5" s="4">
        <f t="shared" si="8"/>
        <v>-6.0886</v>
      </c>
      <c r="O5" s="4" t="str">
        <f t="shared" si="9"/>
        <v/>
      </c>
      <c r="P5" s="4">
        <f t="shared" si="10"/>
        <v>11.6</v>
      </c>
    </row>
    <row r="6">
      <c r="A6" s="4">
        <v>1987.0</v>
      </c>
      <c r="B6" s="4">
        <v>156.0</v>
      </c>
      <c r="C6" s="4">
        <v>9.4</v>
      </c>
      <c r="D6" s="4">
        <v>17.5</v>
      </c>
      <c r="E6" s="4">
        <f t="shared" si="1"/>
        <v>0</v>
      </c>
      <c r="F6" s="4">
        <f t="shared" si="2"/>
        <v>0</v>
      </c>
      <c r="G6" s="4">
        <f t="shared" si="3"/>
        <v>27.228</v>
      </c>
      <c r="H6" s="4">
        <f t="shared" si="4"/>
        <v>23.971</v>
      </c>
      <c r="I6" s="4" t="str">
        <f t="shared" si="5"/>
        <v> </v>
      </c>
      <c r="K6" s="4">
        <v>13.6</v>
      </c>
      <c r="L6" s="4">
        <f t="shared" si="6"/>
        <v>3</v>
      </c>
      <c r="M6" s="4">
        <f t="shared" si="7"/>
        <v>0</v>
      </c>
      <c r="N6" s="4">
        <f t="shared" si="8"/>
        <v>-1.0083</v>
      </c>
      <c r="O6" s="4" t="str">
        <f t="shared" si="9"/>
        <v/>
      </c>
      <c r="P6" s="4">
        <f t="shared" si="10"/>
        <v>13.6</v>
      </c>
    </row>
    <row r="7">
      <c r="A7" s="4">
        <v>1987.0</v>
      </c>
      <c r="B7" s="4">
        <v>157.0</v>
      </c>
      <c r="C7" s="4">
        <v>9.3</v>
      </c>
      <c r="D7" s="4">
        <v>21.3</v>
      </c>
      <c r="E7" s="4">
        <f t="shared" si="1"/>
        <v>0</v>
      </c>
      <c r="F7" s="4">
        <f t="shared" si="2"/>
        <v>0</v>
      </c>
      <c r="G7" s="4">
        <f t="shared" si="3"/>
        <v>31.345</v>
      </c>
      <c r="H7" s="4">
        <f t="shared" si="4"/>
        <v>27.828</v>
      </c>
      <c r="I7" s="4" t="str">
        <f t="shared" si="5"/>
        <v> </v>
      </c>
      <c r="K7" s="4">
        <v>16.6</v>
      </c>
      <c r="L7" s="4">
        <f t="shared" si="6"/>
        <v>3</v>
      </c>
      <c r="M7" s="4">
        <f t="shared" si="7"/>
        <v>1</v>
      </c>
      <c r="N7" s="4">
        <f t="shared" si="8"/>
        <v>3.39</v>
      </c>
      <c r="O7" s="4" t="str">
        <f t="shared" si="9"/>
        <v/>
      </c>
      <c r="P7" s="4">
        <f t="shared" si="10"/>
        <v>16.6</v>
      </c>
    </row>
    <row r="8">
      <c r="A8" s="4">
        <v>1987.0</v>
      </c>
      <c r="B8" s="4">
        <v>158.0</v>
      </c>
      <c r="C8" s="4">
        <v>13.1</v>
      </c>
      <c r="D8" s="4">
        <v>23.9</v>
      </c>
      <c r="E8" s="4">
        <f t="shared" si="1"/>
        <v>1</v>
      </c>
      <c r="F8" s="4">
        <f t="shared" si="2"/>
        <v>0</v>
      </c>
      <c r="G8" s="4">
        <f t="shared" si="3"/>
        <v>35.252</v>
      </c>
      <c r="H8" s="4">
        <f t="shared" si="4"/>
        <v>33.467</v>
      </c>
      <c r="I8" s="4" t="str">
        <f t="shared" si="5"/>
        <v> </v>
      </c>
      <c r="J8" s="4">
        <v>0.3</v>
      </c>
      <c r="K8" s="4">
        <v>18.2</v>
      </c>
      <c r="L8" s="4">
        <f t="shared" si="6"/>
        <v>8</v>
      </c>
      <c r="M8" s="4">
        <f t="shared" si="7"/>
        <v>0</v>
      </c>
      <c r="N8" s="4">
        <f t="shared" si="8"/>
        <v>-3.71</v>
      </c>
      <c r="O8" s="4">
        <f t="shared" si="9"/>
        <v>0.3</v>
      </c>
      <c r="P8" s="4">
        <f t="shared" si="10"/>
        <v>18.2</v>
      </c>
    </row>
    <row r="9">
      <c r="A9" s="4">
        <v>1987.0</v>
      </c>
      <c r="B9" s="4">
        <v>159.0</v>
      </c>
      <c r="C9" s="4">
        <v>15.8</v>
      </c>
      <c r="D9" s="4">
        <v>24.2</v>
      </c>
      <c r="E9" s="4">
        <f t="shared" si="1"/>
        <v>0</v>
      </c>
      <c r="F9" s="4">
        <f t="shared" si="2"/>
        <v>0</v>
      </c>
      <c r="G9" s="4">
        <f t="shared" si="3"/>
        <v>32.893</v>
      </c>
      <c r="H9" s="4">
        <f t="shared" si="4"/>
        <v>27.638</v>
      </c>
      <c r="I9" s="4" t="str">
        <f t="shared" si="5"/>
        <v> </v>
      </c>
      <c r="K9" s="4">
        <v>19.9</v>
      </c>
      <c r="L9" s="4">
        <f t="shared" si="6"/>
        <v>3</v>
      </c>
      <c r="M9" s="4">
        <f t="shared" si="7"/>
        <v>0</v>
      </c>
      <c r="N9" s="4">
        <f t="shared" si="8"/>
        <v>-7.3437</v>
      </c>
      <c r="O9" s="4" t="str">
        <f t="shared" si="9"/>
        <v/>
      </c>
      <c r="P9" s="4">
        <f t="shared" si="10"/>
        <v>19.9</v>
      </c>
    </row>
    <row r="10">
      <c r="A10" s="4">
        <v>1987.0</v>
      </c>
      <c r="B10" s="4">
        <v>160.0</v>
      </c>
      <c r="C10" s="4">
        <v>15.4</v>
      </c>
      <c r="D10" s="4">
        <v>24.8</v>
      </c>
      <c r="E10" s="4">
        <f t="shared" si="1"/>
        <v>0</v>
      </c>
      <c r="F10" s="4">
        <f t="shared" si="2"/>
        <v>0</v>
      </c>
      <c r="G10" s="4">
        <f t="shared" si="3"/>
        <v>34.189</v>
      </c>
      <c r="H10" s="4">
        <f t="shared" si="4"/>
        <v>29.733</v>
      </c>
      <c r="I10" s="4" t="str">
        <f t="shared" si="5"/>
        <v> </v>
      </c>
      <c r="K10" s="4">
        <v>20.2</v>
      </c>
      <c r="L10" s="4">
        <f t="shared" si="6"/>
        <v>3</v>
      </c>
      <c r="M10" s="4">
        <f t="shared" si="7"/>
        <v>0</v>
      </c>
      <c r="N10" s="4">
        <f t="shared" si="8"/>
        <v>-3.0701</v>
      </c>
      <c r="O10" s="4" t="str">
        <f t="shared" si="9"/>
        <v/>
      </c>
      <c r="P10" s="4">
        <f t="shared" si="10"/>
        <v>20.2</v>
      </c>
    </row>
    <row r="11">
      <c r="A11" s="4">
        <v>1987.0</v>
      </c>
      <c r="B11" s="4">
        <v>161.0</v>
      </c>
      <c r="C11" s="4">
        <v>15.6</v>
      </c>
      <c r="D11" s="4">
        <v>25.7</v>
      </c>
      <c r="E11" s="4">
        <f t="shared" si="1"/>
        <v>0</v>
      </c>
      <c r="F11" s="4">
        <f t="shared" si="2"/>
        <v>0</v>
      </c>
      <c r="G11" s="4">
        <f t="shared" si="3"/>
        <v>36.053</v>
      </c>
      <c r="H11" s="4">
        <f t="shared" si="4"/>
        <v>34.093</v>
      </c>
      <c r="I11" s="4" t="str">
        <f t="shared" si="5"/>
        <v> </v>
      </c>
      <c r="K11" s="4">
        <v>20.9</v>
      </c>
      <c r="L11" s="4">
        <f t="shared" si="6"/>
        <v>3</v>
      </c>
      <c r="M11" s="4">
        <f t="shared" si="7"/>
        <v>0</v>
      </c>
      <c r="N11" s="4">
        <f t="shared" si="8"/>
        <v>-0.6908</v>
      </c>
      <c r="O11" s="4" t="str">
        <f t="shared" si="9"/>
        <v/>
      </c>
      <c r="P11" s="4">
        <f t="shared" si="10"/>
        <v>20.9</v>
      </c>
    </row>
    <row r="12">
      <c r="A12" s="4">
        <v>1987.0</v>
      </c>
      <c r="B12" s="4">
        <v>162.0</v>
      </c>
      <c r="C12" s="4">
        <v>15.4</v>
      </c>
      <c r="D12" s="4">
        <v>24.2</v>
      </c>
      <c r="E12" s="4">
        <f t="shared" si="1"/>
        <v>1</v>
      </c>
      <c r="F12" s="4">
        <f t="shared" si="2"/>
        <v>0</v>
      </c>
      <c r="G12" s="4">
        <f t="shared" si="3"/>
        <v>39.78</v>
      </c>
      <c r="H12" s="4">
        <f t="shared" si="4"/>
        <v>38.8395</v>
      </c>
      <c r="I12" s="4" t="str">
        <f t="shared" si="5"/>
        <v> </v>
      </c>
      <c r="J12" s="4">
        <v>1.0</v>
      </c>
      <c r="K12" s="4">
        <v>19.3</v>
      </c>
      <c r="L12" s="4">
        <f t="shared" si="6"/>
        <v>8</v>
      </c>
      <c r="M12" s="4">
        <f t="shared" si="7"/>
        <v>0</v>
      </c>
      <c r="N12" s="4">
        <f t="shared" si="8"/>
        <v>-6.9103</v>
      </c>
      <c r="O12" s="4">
        <f t="shared" si="9"/>
        <v>1</v>
      </c>
      <c r="P12" s="4">
        <f t="shared" si="10"/>
        <v>19.3</v>
      </c>
    </row>
    <row r="13">
      <c r="A13" s="4">
        <v>1987.0</v>
      </c>
      <c r="B13" s="4">
        <v>163.0</v>
      </c>
      <c r="C13" s="4">
        <v>11.0</v>
      </c>
      <c r="D13" s="4">
        <v>21.6</v>
      </c>
      <c r="E13" s="4">
        <f t="shared" si="1"/>
        <v>0</v>
      </c>
      <c r="F13" s="4">
        <f t="shared" si="2"/>
        <v>0</v>
      </c>
      <c r="G13" s="4">
        <f t="shared" si="3"/>
        <v>35.777</v>
      </c>
      <c r="H13" s="4">
        <f t="shared" si="4"/>
        <v>32.4905</v>
      </c>
      <c r="I13" s="4" t="str">
        <f t="shared" si="5"/>
        <v> </v>
      </c>
      <c r="K13" s="4">
        <v>16.5</v>
      </c>
      <c r="L13" s="4">
        <f t="shared" si="6"/>
        <v>3</v>
      </c>
      <c r="M13" s="4">
        <f t="shared" si="7"/>
        <v>0</v>
      </c>
      <c r="N13" s="4">
        <f t="shared" si="8"/>
        <v>-3.1027</v>
      </c>
      <c r="O13" s="4" t="str">
        <f t="shared" si="9"/>
        <v/>
      </c>
      <c r="P13" s="4">
        <f t="shared" si="10"/>
        <v>16.5</v>
      </c>
    </row>
    <row r="14">
      <c r="A14" s="4">
        <v>1987.0</v>
      </c>
      <c r="B14" s="4">
        <v>164.0</v>
      </c>
      <c r="C14" s="4">
        <v>8.2</v>
      </c>
      <c r="D14" s="4">
        <v>24.3</v>
      </c>
      <c r="E14" s="4">
        <f t="shared" si="1"/>
        <v>0</v>
      </c>
      <c r="F14" s="4">
        <f t="shared" si="2"/>
        <v>0</v>
      </c>
      <c r="G14" s="4">
        <f t="shared" si="3"/>
        <v>37.757</v>
      </c>
      <c r="H14" s="4">
        <f t="shared" si="4"/>
        <v>35.8105</v>
      </c>
      <c r="I14" s="4" t="str">
        <f t="shared" si="5"/>
        <v> </v>
      </c>
      <c r="K14" s="4">
        <v>17.4</v>
      </c>
      <c r="L14" s="4">
        <f t="shared" si="6"/>
        <v>3</v>
      </c>
      <c r="M14" s="4">
        <f t="shared" si="7"/>
        <v>1</v>
      </c>
      <c r="N14" s="4">
        <f t="shared" si="8"/>
        <v>6.1536</v>
      </c>
      <c r="O14" s="4" t="str">
        <f t="shared" si="9"/>
        <v/>
      </c>
      <c r="P14" s="4">
        <f t="shared" si="10"/>
        <v>17.4</v>
      </c>
    </row>
    <row r="15">
      <c r="A15" s="4">
        <v>1987.0</v>
      </c>
      <c r="B15" s="4">
        <v>165.0</v>
      </c>
      <c r="C15" s="4">
        <v>12.1</v>
      </c>
      <c r="D15" s="4">
        <v>25.6</v>
      </c>
      <c r="E15" s="4">
        <f t="shared" si="1"/>
        <v>1</v>
      </c>
      <c r="F15" s="4">
        <f t="shared" si="2"/>
        <v>0</v>
      </c>
      <c r="G15" s="4">
        <f t="shared" si="3"/>
        <v>40.982</v>
      </c>
      <c r="H15" s="4">
        <f t="shared" si="4"/>
        <v>40.074</v>
      </c>
      <c r="I15" s="4" t="str">
        <f t="shared" si="5"/>
        <v> </v>
      </c>
      <c r="J15" s="4">
        <v>0.2</v>
      </c>
      <c r="K15" s="4">
        <v>19.4</v>
      </c>
      <c r="L15" s="4">
        <f t="shared" si="6"/>
        <v>8</v>
      </c>
      <c r="M15" s="4">
        <f t="shared" si="7"/>
        <v>1</v>
      </c>
      <c r="N15" s="4">
        <f t="shared" si="8"/>
        <v>4.0056</v>
      </c>
      <c r="O15" s="4">
        <f t="shared" si="9"/>
        <v>0.2</v>
      </c>
      <c r="P15" s="4">
        <f t="shared" si="10"/>
        <v>19.4</v>
      </c>
    </row>
    <row r="16">
      <c r="A16" s="4">
        <v>1987.0</v>
      </c>
      <c r="B16" s="4">
        <v>166.0</v>
      </c>
      <c r="C16" s="4">
        <v>14.7</v>
      </c>
      <c r="D16" s="4">
        <v>26.7</v>
      </c>
      <c r="E16" s="4">
        <f t="shared" si="1"/>
        <v>1</v>
      </c>
      <c r="F16" s="4">
        <f t="shared" si="2"/>
        <v>0</v>
      </c>
      <c r="G16" s="4">
        <f t="shared" si="3"/>
        <v>35.597</v>
      </c>
      <c r="H16" s="4">
        <f t="shared" si="4"/>
        <v>34.7275</v>
      </c>
      <c r="I16" s="4" t="str">
        <f t="shared" si="5"/>
        <v> </v>
      </c>
      <c r="J16" s="4">
        <v>12.9</v>
      </c>
      <c r="K16" s="4">
        <v>18.8</v>
      </c>
      <c r="L16" s="4">
        <f t="shared" si="6"/>
        <v>8</v>
      </c>
      <c r="M16" s="4">
        <f t="shared" si="7"/>
        <v>0</v>
      </c>
      <c r="N16" s="4">
        <f t="shared" si="8"/>
        <v>-3.295</v>
      </c>
      <c r="O16" s="4">
        <f t="shared" si="9"/>
        <v>12.9</v>
      </c>
      <c r="P16" s="4">
        <f t="shared" si="10"/>
        <v>18.8</v>
      </c>
    </row>
    <row r="17">
      <c r="A17" s="4">
        <v>1987.0</v>
      </c>
      <c r="B17" s="4">
        <v>167.0</v>
      </c>
      <c r="C17" s="4">
        <v>14.1</v>
      </c>
      <c r="D17" s="4">
        <v>25.4</v>
      </c>
      <c r="E17" s="4">
        <f t="shared" si="1"/>
        <v>0</v>
      </c>
      <c r="F17" s="4">
        <f t="shared" si="2"/>
        <v>0</v>
      </c>
      <c r="G17" s="4">
        <f t="shared" si="3"/>
        <v>30.604</v>
      </c>
      <c r="H17" s="4">
        <f t="shared" si="4"/>
        <v>29.6925</v>
      </c>
      <c r="I17" s="4" t="str">
        <f t="shared" si="5"/>
        <v> </v>
      </c>
      <c r="K17" s="4">
        <v>19.9</v>
      </c>
      <c r="L17" s="4">
        <f t="shared" si="6"/>
        <v>3</v>
      </c>
      <c r="M17" s="4">
        <f t="shared" si="7"/>
        <v>0</v>
      </c>
      <c r="N17" s="4">
        <f t="shared" si="8"/>
        <v>-3.8106</v>
      </c>
      <c r="O17" s="4" t="str">
        <f t="shared" si="9"/>
        <v/>
      </c>
      <c r="P17" s="4">
        <f t="shared" si="10"/>
        <v>19.9</v>
      </c>
    </row>
    <row r="18">
      <c r="A18" s="4">
        <v>1987.0</v>
      </c>
      <c r="B18" s="4">
        <v>168.0</v>
      </c>
      <c r="C18" s="4">
        <v>17.2</v>
      </c>
      <c r="D18" s="4">
        <v>26.3</v>
      </c>
      <c r="E18" s="4">
        <f t="shared" si="1"/>
        <v>0</v>
      </c>
      <c r="F18" s="4">
        <f t="shared" si="2"/>
        <v>0</v>
      </c>
      <c r="G18" s="4">
        <f t="shared" si="3"/>
        <v>36.192</v>
      </c>
      <c r="H18" s="4">
        <f t="shared" si="4"/>
        <v>35.768</v>
      </c>
      <c r="I18" s="4" t="str">
        <f t="shared" si="5"/>
        <v> </v>
      </c>
      <c r="K18" s="4">
        <v>22.2</v>
      </c>
      <c r="L18" s="4">
        <f t="shared" si="6"/>
        <v>3</v>
      </c>
      <c r="M18" s="4">
        <f t="shared" si="7"/>
        <v>1</v>
      </c>
      <c r="N18" s="4">
        <f t="shared" si="8"/>
        <v>6.3124</v>
      </c>
      <c r="O18" s="4" t="str">
        <f t="shared" si="9"/>
        <v/>
      </c>
      <c r="P18" s="4">
        <f t="shared" si="10"/>
        <v>22.2</v>
      </c>
    </row>
    <row r="19">
      <c r="A19" s="4">
        <v>1987.0</v>
      </c>
      <c r="B19" s="4">
        <v>169.0</v>
      </c>
      <c r="C19" s="4">
        <v>15.3</v>
      </c>
      <c r="D19" s="4">
        <v>25.5</v>
      </c>
      <c r="E19" s="4">
        <f t="shared" si="1"/>
        <v>1</v>
      </c>
      <c r="F19" s="4">
        <f t="shared" si="2"/>
        <v>1</v>
      </c>
      <c r="G19" s="4">
        <f t="shared" si="3"/>
        <v>33.667</v>
      </c>
      <c r="H19" s="4">
        <f t="shared" si="4"/>
        <v>35.0885</v>
      </c>
      <c r="I19" s="4">
        <f t="shared" si="5"/>
        <v>1.4215</v>
      </c>
      <c r="J19" s="4">
        <v>6.5</v>
      </c>
      <c r="K19" s="4">
        <v>19.5</v>
      </c>
      <c r="L19" s="4">
        <f t="shared" si="6"/>
        <v>8</v>
      </c>
      <c r="M19" s="4">
        <f t="shared" si="7"/>
        <v>1</v>
      </c>
      <c r="N19" s="4">
        <f t="shared" si="8"/>
        <v>11.2187</v>
      </c>
      <c r="O19" s="4">
        <f t="shared" si="9"/>
        <v>6.5</v>
      </c>
      <c r="P19" s="4">
        <f t="shared" si="10"/>
        <v>19.5</v>
      </c>
    </row>
    <row r="20">
      <c r="A20" s="4">
        <v>1987.0</v>
      </c>
      <c r="B20" s="4">
        <v>170.0</v>
      </c>
      <c r="C20" s="4">
        <v>14.7</v>
      </c>
      <c r="D20" s="4">
        <v>17.6</v>
      </c>
      <c r="E20" s="4">
        <f t="shared" si="1"/>
        <v>1</v>
      </c>
      <c r="F20" s="4">
        <f t="shared" si="2"/>
        <v>1</v>
      </c>
      <c r="G20" s="4">
        <f t="shared" si="3"/>
        <v>30.101</v>
      </c>
      <c r="H20" s="4">
        <f t="shared" si="4"/>
        <v>33.344</v>
      </c>
      <c r="I20" s="4">
        <f t="shared" si="5"/>
        <v>3.243</v>
      </c>
      <c r="J20" s="4">
        <v>2.9</v>
      </c>
      <c r="K20" s="4">
        <v>16.0</v>
      </c>
      <c r="L20" s="4">
        <f t="shared" si="6"/>
        <v>8</v>
      </c>
      <c r="M20" s="4">
        <f t="shared" si="7"/>
        <v>1</v>
      </c>
      <c r="N20" s="4">
        <f t="shared" si="8"/>
        <v>13.7083</v>
      </c>
      <c r="O20" s="4">
        <f t="shared" si="9"/>
        <v>2.9</v>
      </c>
      <c r="P20" s="4">
        <f t="shared" si="10"/>
        <v>16</v>
      </c>
    </row>
    <row r="21" ht="15.75" customHeight="1">
      <c r="A21" s="4">
        <v>1987.0</v>
      </c>
      <c r="B21" s="4">
        <v>171.0</v>
      </c>
      <c r="C21" s="4">
        <v>13.8</v>
      </c>
      <c r="D21" s="4">
        <v>16.4</v>
      </c>
      <c r="E21" s="4">
        <f t="shared" si="1"/>
        <v>1</v>
      </c>
      <c r="F21" s="4">
        <f t="shared" si="2"/>
        <v>1</v>
      </c>
      <c r="G21" s="4">
        <f t="shared" si="3"/>
        <v>28.11</v>
      </c>
      <c r="H21" s="4">
        <f t="shared" si="4"/>
        <v>31.292</v>
      </c>
      <c r="I21" s="4">
        <f t="shared" si="5"/>
        <v>3.182</v>
      </c>
      <c r="J21" s="4">
        <v>5.8</v>
      </c>
      <c r="K21" s="4">
        <v>14.9</v>
      </c>
      <c r="L21" s="4">
        <f t="shared" si="6"/>
        <v>8</v>
      </c>
      <c r="M21" s="4">
        <f t="shared" si="7"/>
        <v>1</v>
      </c>
      <c r="N21" s="4">
        <f t="shared" si="8"/>
        <v>12.033</v>
      </c>
      <c r="O21" s="4">
        <f t="shared" si="9"/>
        <v>5.8</v>
      </c>
      <c r="P21" s="4">
        <f t="shared" si="10"/>
        <v>14.9</v>
      </c>
    </row>
    <row r="22" ht="15.75" customHeight="1">
      <c r="A22" s="4">
        <v>1987.0</v>
      </c>
      <c r="B22" s="4">
        <v>172.0</v>
      </c>
      <c r="C22" s="4">
        <v>15.9</v>
      </c>
      <c r="D22" s="4">
        <v>24.1</v>
      </c>
      <c r="E22" s="4">
        <f t="shared" si="1"/>
        <v>1</v>
      </c>
      <c r="F22" s="4">
        <f t="shared" si="2"/>
        <v>1</v>
      </c>
      <c r="G22" s="4">
        <f t="shared" si="3"/>
        <v>36.489</v>
      </c>
      <c r="H22" s="4">
        <f t="shared" si="4"/>
        <v>38.5415</v>
      </c>
      <c r="I22" s="4">
        <f t="shared" si="5"/>
        <v>2.0525</v>
      </c>
      <c r="J22" s="4">
        <v>15.3</v>
      </c>
      <c r="K22" s="4">
        <v>19.1</v>
      </c>
      <c r="L22" s="4">
        <f t="shared" si="6"/>
        <v>8</v>
      </c>
      <c r="M22" s="4">
        <f t="shared" si="7"/>
        <v>1</v>
      </c>
      <c r="N22" s="4">
        <f t="shared" si="8"/>
        <v>10.8235</v>
      </c>
      <c r="O22" s="4">
        <f t="shared" si="9"/>
        <v>15.3</v>
      </c>
      <c r="P22" s="4">
        <f t="shared" si="10"/>
        <v>19.1</v>
      </c>
    </row>
    <row r="23" ht="15.75" customHeight="1">
      <c r="A23" s="4">
        <v>1987.0</v>
      </c>
      <c r="B23" s="4">
        <v>173.0</v>
      </c>
      <c r="C23" s="4">
        <v>15.0</v>
      </c>
      <c r="D23" s="4">
        <v>20.2</v>
      </c>
      <c r="E23" s="4">
        <f t="shared" si="1"/>
        <v>1</v>
      </c>
      <c r="F23" s="4">
        <f t="shared" si="2"/>
        <v>1</v>
      </c>
      <c r="G23" s="4">
        <f t="shared" si="3"/>
        <v>32.066</v>
      </c>
      <c r="H23" s="4">
        <f t="shared" si="4"/>
        <v>33.979</v>
      </c>
      <c r="I23" s="4">
        <f t="shared" si="5"/>
        <v>1.913</v>
      </c>
      <c r="J23" s="4">
        <v>3.1</v>
      </c>
      <c r="K23" s="4">
        <v>17.0</v>
      </c>
      <c r="L23" s="4">
        <f t="shared" si="6"/>
        <v>8</v>
      </c>
      <c r="M23" s="4">
        <f t="shared" si="7"/>
        <v>1</v>
      </c>
      <c r="N23" s="4">
        <f t="shared" si="8"/>
        <v>11.921</v>
      </c>
      <c r="O23" s="4">
        <f t="shared" si="9"/>
        <v>3.1</v>
      </c>
      <c r="P23" s="4">
        <f t="shared" si="10"/>
        <v>17</v>
      </c>
    </row>
    <row r="24" ht="15.75" customHeight="1">
      <c r="A24" s="4">
        <v>1987.0</v>
      </c>
      <c r="B24" s="4">
        <v>174.0</v>
      </c>
      <c r="C24" s="4">
        <v>14.6</v>
      </c>
      <c r="D24" s="4">
        <v>21.9</v>
      </c>
      <c r="E24" s="4">
        <f t="shared" si="1"/>
        <v>1</v>
      </c>
      <c r="F24" s="4">
        <f t="shared" si="2"/>
        <v>1</v>
      </c>
      <c r="G24" s="4">
        <f t="shared" si="3"/>
        <v>32.423</v>
      </c>
      <c r="H24" s="4">
        <f t="shared" si="4"/>
        <v>33.054</v>
      </c>
      <c r="I24" s="4">
        <f t="shared" si="5"/>
        <v>0.631</v>
      </c>
      <c r="J24" s="4">
        <v>2.4</v>
      </c>
      <c r="K24" s="4">
        <v>17.5</v>
      </c>
      <c r="L24" s="4">
        <f t="shared" si="6"/>
        <v>8</v>
      </c>
      <c r="M24" s="4">
        <f t="shared" si="7"/>
        <v>1</v>
      </c>
      <c r="N24" s="4">
        <f t="shared" si="8"/>
        <v>11.34</v>
      </c>
      <c r="O24" s="4">
        <f t="shared" si="9"/>
        <v>2.4</v>
      </c>
      <c r="P24" s="4">
        <f t="shared" si="10"/>
        <v>17.5</v>
      </c>
    </row>
    <row r="25" ht="15.75" customHeight="1">
      <c r="A25" s="4">
        <v>1987.0</v>
      </c>
      <c r="B25" s="4">
        <v>175.0</v>
      </c>
      <c r="C25" s="4">
        <v>14.7</v>
      </c>
      <c r="D25" s="4">
        <v>18.1</v>
      </c>
      <c r="E25" s="4">
        <f t="shared" si="1"/>
        <v>1</v>
      </c>
      <c r="F25" s="4">
        <f t="shared" si="2"/>
        <v>1</v>
      </c>
      <c r="G25" s="4">
        <f t="shared" si="3"/>
        <v>31.75</v>
      </c>
      <c r="H25" s="4">
        <f t="shared" si="4"/>
        <v>33.9695</v>
      </c>
      <c r="I25" s="4">
        <f t="shared" si="5"/>
        <v>2.2195</v>
      </c>
      <c r="J25" s="4">
        <v>41.8</v>
      </c>
      <c r="K25" s="4">
        <v>16.1</v>
      </c>
      <c r="L25" s="4">
        <f t="shared" si="6"/>
        <v>8</v>
      </c>
      <c r="M25" s="4">
        <f t="shared" si="7"/>
        <v>1</v>
      </c>
      <c r="N25" s="4">
        <f t="shared" si="8"/>
        <v>10.0391</v>
      </c>
      <c r="O25" s="4">
        <f t="shared" si="9"/>
        <v>41.8</v>
      </c>
      <c r="P25" s="4">
        <f t="shared" si="10"/>
        <v>16.1</v>
      </c>
    </row>
    <row r="26" ht="15.75" customHeight="1">
      <c r="A26" s="4">
        <v>1987.0</v>
      </c>
      <c r="B26" s="4">
        <v>176.0</v>
      </c>
      <c r="C26" s="4">
        <v>14.2</v>
      </c>
      <c r="D26" s="4">
        <v>23.2</v>
      </c>
      <c r="E26" s="4">
        <f t="shared" si="1"/>
        <v>1</v>
      </c>
      <c r="F26" s="4">
        <f t="shared" si="2"/>
        <v>1</v>
      </c>
      <c r="G26" s="4">
        <f t="shared" si="3"/>
        <v>30.539</v>
      </c>
      <c r="H26" s="4">
        <f t="shared" si="4"/>
        <v>32.345</v>
      </c>
      <c r="I26" s="4">
        <f t="shared" si="5"/>
        <v>1.806</v>
      </c>
      <c r="J26" s="4">
        <v>3.8</v>
      </c>
      <c r="K26" s="4">
        <v>18.5</v>
      </c>
      <c r="L26" s="4">
        <f t="shared" si="6"/>
        <v>8</v>
      </c>
      <c r="M26" s="4">
        <f t="shared" si="7"/>
        <v>1</v>
      </c>
      <c r="N26" s="4">
        <f t="shared" si="8"/>
        <v>3.0411</v>
      </c>
      <c r="O26" s="4">
        <f t="shared" si="9"/>
        <v>3.8</v>
      </c>
      <c r="P26" s="4">
        <f t="shared" si="10"/>
        <v>18.5</v>
      </c>
    </row>
    <row r="27" ht="15.75" customHeight="1">
      <c r="A27" s="4">
        <v>1987.0</v>
      </c>
      <c r="B27" s="4">
        <v>177.0</v>
      </c>
      <c r="C27" s="4">
        <v>11.8</v>
      </c>
      <c r="D27" s="4">
        <v>20.9</v>
      </c>
      <c r="E27" s="4">
        <f t="shared" si="1"/>
        <v>1</v>
      </c>
      <c r="F27" s="4">
        <f t="shared" si="2"/>
        <v>1</v>
      </c>
      <c r="G27" s="4">
        <f t="shared" si="3"/>
        <v>27.612</v>
      </c>
      <c r="H27" s="4">
        <f t="shared" si="4"/>
        <v>29.565</v>
      </c>
      <c r="I27" s="4">
        <f t="shared" si="5"/>
        <v>1.953</v>
      </c>
      <c r="J27" s="4">
        <v>9.5</v>
      </c>
      <c r="K27" s="4">
        <v>16.5</v>
      </c>
      <c r="L27" s="4">
        <f t="shared" si="6"/>
        <v>8</v>
      </c>
      <c r="M27" s="4">
        <f t="shared" si="7"/>
        <v>0</v>
      </c>
      <c r="N27" s="4">
        <f t="shared" si="8"/>
        <v>-0.5793</v>
      </c>
      <c r="O27" s="4">
        <f t="shared" si="9"/>
        <v>9.5</v>
      </c>
      <c r="P27" s="4">
        <f t="shared" si="10"/>
        <v>16.5</v>
      </c>
    </row>
    <row r="28" ht="15.75" customHeight="1">
      <c r="A28" s="4">
        <v>1987.0</v>
      </c>
      <c r="B28" s="4">
        <v>178.0</v>
      </c>
      <c r="C28" s="4">
        <v>8.3</v>
      </c>
      <c r="D28" s="4">
        <v>20.8</v>
      </c>
      <c r="E28" s="4">
        <f t="shared" si="1"/>
        <v>0</v>
      </c>
      <c r="F28" s="4">
        <f t="shared" si="2"/>
        <v>0</v>
      </c>
      <c r="G28" s="4">
        <f t="shared" si="3"/>
        <v>26.021</v>
      </c>
      <c r="H28" s="4">
        <f t="shared" si="4"/>
        <v>24.8365</v>
      </c>
      <c r="I28" s="4" t="str">
        <f t="shared" si="5"/>
        <v> </v>
      </c>
      <c r="K28" s="4">
        <v>15.7</v>
      </c>
      <c r="L28" s="4">
        <f t="shared" si="6"/>
        <v>3</v>
      </c>
      <c r="M28" s="4">
        <f t="shared" si="7"/>
        <v>1</v>
      </c>
      <c r="N28" s="4">
        <f t="shared" si="8"/>
        <v>7.1233</v>
      </c>
      <c r="O28" s="4" t="str">
        <f t="shared" si="9"/>
        <v/>
      </c>
      <c r="P28" s="4">
        <f t="shared" si="10"/>
        <v>15.7</v>
      </c>
    </row>
    <row r="29" ht="15.75" customHeight="1">
      <c r="A29" s="4">
        <v>1987.0</v>
      </c>
      <c r="B29" s="4">
        <v>179.0</v>
      </c>
      <c r="C29" s="4">
        <v>8.8</v>
      </c>
      <c r="D29" s="4">
        <v>23.6</v>
      </c>
      <c r="E29" s="4">
        <f t="shared" si="1"/>
        <v>1</v>
      </c>
      <c r="F29" s="4">
        <f t="shared" si="2"/>
        <v>1</v>
      </c>
      <c r="G29" s="4">
        <f t="shared" si="3"/>
        <v>30.927</v>
      </c>
      <c r="H29" s="4">
        <f t="shared" si="4"/>
        <v>30.9645</v>
      </c>
      <c r="I29" s="4">
        <f t="shared" si="5"/>
        <v>0.0375</v>
      </c>
      <c r="J29" s="4">
        <v>21.6</v>
      </c>
      <c r="K29" s="4">
        <v>17.2</v>
      </c>
      <c r="L29" s="4">
        <f t="shared" si="6"/>
        <v>8</v>
      </c>
      <c r="M29" s="4">
        <f t="shared" si="7"/>
        <v>1</v>
      </c>
      <c r="N29" s="4">
        <f t="shared" si="8"/>
        <v>10.6358</v>
      </c>
      <c r="O29" s="4">
        <f t="shared" si="9"/>
        <v>21.6</v>
      </c>
      <c r="P29" s="4">
        <f t="shared" si="10"/>
        <v>17.2</v>
      </c>
    </row>
    <row r="30" ht="15.75" customHeight="1">
      <c r="A30" s="4">
        <v>1987.0</v>
      </c>
      <c r="B30" s="4">
        <v>180.0</v>
      </c>
      <c r="C30" s="4">
        <v>11.6</v>
      </c>
      <c r="D30" s="4">
        <v>16.5</v>
      </c>
      <c r="E30" s="4">
        <f t="shared" si="1"/>
        <v>1</v>
      </c>
      <c r="F30" s="4">
        <f t="shared" si="2"/>
        <v>0</v>
      </c>
      <c r="G30" s="4">
        <f t="shared" si="3"/>
        <v>25.007</v>
      </c>
      <c r="H30" s="4">
        <f t="shared" si="4"/>
        <v>24.418</v>
      </c>
      <c r="I30" s="4" t="str">
        <f t="shared" si="5"/>
        <v> </v>
      </c>
      <c r="J30" s="4">
        <v>0.2</v>
      </c>
      <c r="K30" s="4">
        <v>13.9</v>
      </c>
      <c r="L30" s="4">
        <f t="shared" si="6"/>
        <v>8</v>
      </c>
      <c r="M30" s="4">
        <f t="shared" si="7"/>
        <v>1</v>
      </c>
      <c r="N30" s="4">
        <f t="shared" si="8"/>
        <v>6.1797</v>
      </c>
      <c r="O30" s="4">
        <f t="shared" si="9"/>
        <v>0.2</v>
      </c>
      <c r="P30" s="4">
        <f t="shared" si="10"/>
        <v>13.9</v>
      </c>
    </row>
    <row r="31" ht="15.75" customHeight="1">
      <c r="A31" s="4">
        <v>1987.0</v>
      </c>
      <c r="B31" s="4">
        <v>181.0</v>
      </c>
      <c r="C31" s="4">
        <v>11.1</v>
      </c>
      <c r="D31" s="4">
        <v>16.5</v>
      </c>
      <c r="E31" s="4">
        <f t="shared" si="1"/>
        <v>1</v>
      </c>
      <c r="F31" s="4">
        <f t="shared" si="2"/>
        <v>0</v>
      </c>
      <c r="G31" s="4">
        <f t="shared" si="3"/>
        <v>24.438</v>
      </c>
      <c r="H31" s="4">
        <f t="shared" si="4"/>
        <v>22.2245</v>
      </c>
      <c r="I31" s="4" t="str">
        <f t="shared" si="5"/>
        <v> </v>
      </c>
      <c r="J31" s="4">
        <v>5.0</v>
      </c>
      <c r="K31" s="4">
        <v>13.2</v>
      </c>
      <c r="L31" s="4">
        <f t="shared" si="6"/>
        <v>8</v>
      </c>
      <c r="M31" s="4">
        <f t="shared" si="7"/>
        <v>0</v>
      </c>
      <c r="N31" s="4">
        <f t="shared" si="8"/>
        <v>-2.768</v>
      </c>
      <c r="O31" s="4">
        <f t="shared" si="9"/>
        <v>5</v>
      </c>
      <c r="P31" s="4">
        <f t="shared" si="10"/>
        <v>13.2</v>
      </c>
    </row>
    <row r="32" ht="15.75" customHeight="1">
      <c r="A32" s="4">
        <v>1987.0</v>
      </c>
      <c r="B32" s="4">
        <v>182.0</v>
      </c>
      <c r="C32" s="4">
        <v>9.5</v>
      </c>
      <c r="D32" s="4">
        <v>20.9</v>
      </c>
      <c r="E32" s="4">
        <f t="shared" si="1"/>
        <v>0</v>
      </c>
      <c r="F32" s="4">
        <f t="shared" si="2"/>
        <v>0</v>
      </c>
      <c r="G32" s="4">
        <f t="shared" si="3"/>
        <v>19.026</v>
      </c>
      <c r="H32" s="4">
        <f t="shared" si="4"/>
        <v>14.9945</v>
      </c>
      <c r="I32" s="4" t="str">
        <f t="shared" si="5"/>
        <v> </v>
      </c>
      <c r="K32" s="4">
        <v>15.6</v>
      </c>
      <c r="L32" s="4">
        <f t="shared" si="6"/>
        <v>3</v>
      </c>
      <c r="M32" s="4">
        <f t="shared" si="7"/>
        <v>0</v>
      </c>
      <c r="N32" s="4">
        <f t="shared" si="8"/>
        <v>-7.9034</v>
      </c>
      <c r="O32" s="4" t="str">
        <f t="shared" si="9"/>
        <v/>
      </c>
      <c r="P32" s="4">
        <f t="shared" si="10"/>
        <v>15.6</v>
      </c>
    </row>
    <row r="33" ht="15.75" customHeight="1">
      <c r="A33" s="4">
        <v>1987.0</v>
      </c>
      <c r="B33" s="4">
        <v>183.0</v>
      </c>
      <c r="C33" s="4">
        <v>11.8</v>
      </c>
      <c r="D33" s="4">
        <v>25.6</v>
      </c>
      <c r="E33" s="4">
        <f t="shared" si="1"/>
        <v>0</v>
      </c>
      <c r="F33" s="4">
        <f t="shared" si="2"/>
        <v>0</v>
      </c>
      <c r="G33" s="4">
        <f t="shared" si="3"/>
        <v>23.605</v>
      </c>
      <c r="H33" s="4">
        <f t="shared" si="4"/>
        <v>19.217</v>
      </c>
      <c r="I33" s="4" t="str">
        <f t="shared" si="5"/>
        <v> </v>
      </c>
      <c r="K33" s="4">
        <v>19.9</v>
      </c>
      <c r="L33" s="4">
        <f t="shared" si="6"/>
        <v>3</v>
      </c>
      <c r="M33" s="4">
        <f t="shared" si="7"/>
        <v>0</v>
      </c>
      <c r="N33" s="4">
        <f t="shared" si="8"/>
        <v>-10.4522</v>
      </c>
      <c r="O33" s="4" t="str">
        <f t="shared" si="9"/>
        <v/>
      </c>
      <c r="P33" s="4">
        <f t="shared" si="10"/>
        <v>19.9</v>
      </c>
    </row>
    <row r="34" ht="15.75" customHeight="1">
      <c r="A34" s="4">
        <v>1987.0</v>
      </c>
      <c r="B34" s="4">
        <v>184.0</v>
      </c>
      <c r="C34" s="4">
        <v>12.1</v>
      </c>
      <c r="D34" s="4">
        <v>21.6</v>
      </c>
      <c r="E34" s="4">
        <f t="shared" si="1"/>
        <v>0</v>
      </c>
      <c r="F34" s="4">
        <f t="shared" si="2"/>
        <v>0</v>
      </c>
      <c r="G34" s="4">
        <f t="shared" si="3"/>
        <v>21.673</v>
      </c>
      <c r="H34" s="4">
        <f t="shared" si="4"/>
        <v>19.321</v>
      </c>
      <c r="I34" s="4" t="str">
        <f t="shared" si="5"/>
        <v> </v>
      </c>
      <c r="K34" s="4">
        <v>17.5</v>
      </c>
      <c r="L34" s="4">
        <f t="shared" si="6"/>
        <v>3</v>
      </c>
      <c r="M34" s="4">
        <f t="shared" si="7"/>
        <v>0</v>
      </c>
      <c r="N34" s="4">
        <f t="shared" si="8"/>
        <v>-9.2605</v>
      </c>
      <c r="O34" s="4" t="str">
        <f t="shared" si="9"/>
        <v/>
      </c>
      <c r="P34" s="4">
        <f t="shared" si="10"/>
        <v>17.5</v>
      </c>
    </row>
    <row r="35" ht="15.75" customHeight="1">
      <c r="A35" s="4">
        <v>1987.0</v>
      </c>
      <c r="B35" s="4">
        <v>185.0</v>
      </c>
      <c r="C35" s="4">
        <v>8.3</v>
      </c>
      <c r="D35" s="4">
        <v>20.5</v>
      </c>
      <c r="E35" s="4">
        <f t="shared" si="1"/>
        <v>0</v>
      </c>
      <c r="F35" s="4">
        <f t="shared" si="2"/>
        <v>0</v>
      </c>
      <c r="G35" s="4">
        <f t="shared" si="3"/>
        <v>23.037</v>
      </c>
      <c r="H35" s="4">
        <f t="shared" si="4"/>
        <v>21.026</v>
      </c>
      <c r="I35" s="4" t="str">
        <f t="shared" si="5"/>
        <v> </v>
      </c>
      <c r="K35" s="4">
        <v>15.1</v>
      </c>
      <c r="L35" s="4">
        <f t="shared" si="6"/>
        <v>3</v>
      </c>
      <c r="M35" s="4">
        <f t="shared" si="7"/>
        <v>0</v>
      </c>
      <c r="N35" s="4">
        <f t="shared" si="8"/>
        <v>-7.8997</v>
      </c>
      <c r="O35" s="4" t="str">
        <f t="shared" si="9"/>
        <v/>
      </c>
      <c r="P35" s="4">
        <f t="shared" si="10"/>
        <v>15.1</v>
      </c>
    </row>
    <row r="36" ht="15.75" customHeight="1">
      <c r="A36" s="4">
        <v>1987.0</v>
      </c>
      <c r="B36" s="4">
        <v>186.0</v>
      </c>
      <c r="C36" s="4">
        <v>6.2</v>
      </c>
      <c r="D36" s="4">
        <v>13.9</v>
      </c>
      <c r="E36" s="4">
        <f t="shared" si="1"/>
        <v>0</v>
      </c>
      <c r="F36" s="4">
        <f t="shared" si="2"/>
        <v>0</v>
      </c>
      <c r="G36" s="4">
        <f t="shared" si="3"/>
        <v>24.27</v>
      </c>
      <c r="H36" s="4">
        <f t="shared" si="4"/>
        <v>22.441</v>
      </c>
      <c r="I36" s="4" t="str">
        <f t="shared" si="5"/>
        <v> </v>
      </c>
      <c r="K36" s="4">
        <v>10.6</v>
      </c>
      <c r="L36" s="4">
        <f t="shared" si="6"/>
        <v>3</v>
      </c>
      <c r="M36" s="4">
        <f t="shared" si="7"/>
        <v>1</v>
      </c>
      <c r="N36" s="4">
        <f t="shared" si="8"/>
        <v>0.5853</v>
      </c>
      <c r="O36" s="4" t="str">
        <f t="shared" si="9"/>
        <v/>
      </c>
      <c r="P36" s="4">
        <f t="shared" si="10"/>
        <v>10.6</v>
      </c>
    </row>
    <row r="37" ht="15.75" customHeight="1">
      <c r="A37" s="4">
        <v>1987.0</v>
      </c>
      <c r="B37" s="4">
        <v>187.0</v>
      </c>
      <c r="C37" s="4">
        <v>6.4</v>
      </c>
      <c r="D37" s="4">
        <v>19.0</v>
      </c>
      <c r="E37" s="4">
        <f t="shared" si="1"/>
        <v>0</v>
      </c>
      <c r="F37" s="4">
        <f t="shared" si="2"/>
        <v>1</v>
      </c>
      <c r="G37" s="4">
        <f t="shared" si="3"/>
        <v>29.265</v>
      </c>
      <c r="H37" s="4">
        <f t="shared" si="4"/>
        <v>29.586</v>
      </c>
      <c r="I37" s="4">
        <f t="shared" si="5"/>
        <v>0.321</v>
      </c>
      <c r="K37" s="4">
        <v>14.6</v>
      </c>
      <c r="L37" s="4">
        <f t="shared" si="6"/>
        <v>3</v>
      </c>
      <c r="M37" s="4">
        <f t="shared" si="7"/>
        <v>1</v>
      </c>
      <c r="N37" s="4">
        <f t="shared" si="8"/>
        <v>7.2685</v>
      </c>
      <c r="O37" s="4" t="str">
        <f t="shared" si="9"/>
        <v/>
      </c>
      <c r="P37" s="4">
        <f t="shared" si="10"/>
        <v>14.6</v>
      </c>
    </row>
    <row r="38" ht="15.75" customHeight="1">
      <c r="A38" s="4">
        <v>1987.0</v>
      </c>
      <c r="B38" s="4">
        <v>188.0</v>
      </c>
      <c r="C38" s="4">
        <v>12.4</v>
      </c>
      <c r="D38" s="4">
        <v>21.1</v>
      </c>
      <c r="E38" s="4">
        <f t="shared" si="1"/>
        <v>1</v>
      </c>
      <c r="F38" s="4">
        <f t="shared" si="2"/>
        <v>1</v>
      </c>
      <c r="G38" s="4">
        <f t="shared" si="3"/>
        <v>32.256</v>
      </c>
      <c r="H38" s="4">
        <f t="shared" si="4"/>
        <v>33.5</v>
      </c>
      <c r="I38" s="4">
        <f t="shared" si="5"/>
        <v>1.244</v>
      </c>
      <c r="J38" s="4">
        <v>9.6</v>
      </c>
      <c r="K38" s="4">
        <v>15.5</v>
      </c>
      <c r="L38" s="4">
        <f t="shared" si="6"/>
        <v>8</v>
      </c>
      <c r="M38" s="4">
        <f t="shared" si="7"/>
        <v>1</v>
      </c>
      <c r="N38" s="4">
        <f t="shared" si="8"/>
        <v>5.5386</v>
      </c>
      <c r="O38" s="4">
        <f t="shared" si="9"/>
        <v>9.6</v>
      </c>
      <c r="P38" s="4">
        <f t="shared" si="10"/>
        <v>15.5</v>
      </c>
    </row>
    <row r="39" ht="15.75" customHeight="1">
      <c r="A39" s="4">
        <v>1987.0</v>
      </c>
      <c r="B39" s="4">
        <v>189.0</v>
      </c>
      <c r="C39" s="4">
        <v>12.6</v>
      </c>
      <c r="D39" s="4">
        <v>22.6</v>
      </c>
      <c r="E39" s="4">
        <f t="shared" si="1"/>
        <v>1</v>
      </c>
      <c r="F39" s="4">
        <f t="shared" si="2"/>
        <v>1</v>
      </c>
      <c r="G39" s="4">
        <f t="shared" si="3"/>
        <v>32.287</v>
      </c>
      <c r="H39" s="4">
        <f t="shared" si="4"/>
        <v>33.5225</v>
      </c>
      <c r="I39" s="4">
        <f t="shared" si="5"/>
        <v>1.2355</v>
      </c>
      <c r="J39" s="4">
        <v>0.4</v>
      </c>
      <c r="K39" s="4">
        <v>18.0</v>
      </c>
      <c r="L39" s="4">
        <f t="shared" si="6"/>
        <v>8</v>
      </c>
      <c r="M39" s="4">
        <f t="shared" si="7"/>
        <v>1</v>
      </c>
      <c r="N39" s="4">
        <f t="shared" si="8"/>
        <v>0.7734</v>
      </c>
      <c r="O39" s="4">
        <f t="shared" si="9"/>
        <v>0.4</v>
      </c>
      <c r="P39" s="4">
        <f t="shared" si="10"/>
        <v>18</v>
      </c>
    </row>
    <row r="40" ht="15.75" customHeight="1">
      <c r="A40" s="4">
        <v>1987.0</v>
      </c>
      <c r="B40" s="4">
        <v>190.0</v>
      </c>
      <c r="C40" s="4">
        <v>13.4</v>
      </c>
      <c r="D40" s="4">
        <v>26.6</v>
      </c>
      <c r="E40" s="4">
        <f t="shared" si="1"/>
        <v>0</v>
      </c>
      <c r="F40" s="4">
        <f t="shared" si="2"/>
        <v>0</v>
      </c>
      <c r="G40" s="4">
        <f t="shared" si="3"/>
        <v>32.408</v>
      </c>
      <c r="H40" s="4">
        <f t="shared" si="4"/>
        <v>32.3405</v>
      </c>
      <c r="I40" s="4" t="str">
        <f t="shared" si="5"/>
        <v> </v>
      </c>
      <c r="K40" s="4">
        <v>21.0</v>
      </c>
      <c r="L40" s="4">
        <f t="shared" si="6"/>
        <v>3</v>
      </c>
      <c r="M40" s="4">
        <f t="shared" si="7"/>
        <v>1</v>
      </c>
      <c r="N40" s="4">
        <f t="shared" si="8"/>
        <v>4.3834</v>
      </c>
      <c r="O40" s="4" t="str">
        <f t="shared" si="9"/>
        <v/>
      </c>
      <c r="P40" s="4">
        <f t="shared" si="10"/>
        <v>21</v>
      </c>
    </row>
    <row r="41" ht="15.75" customHeight="1">
      <c r="A41" s="4">
        <v>1987.0</v>
      </c>
      <c r="B41" s="4">
        <v>191.0</v>
      </c>
      <c r="C41" s="4">
        <v>14.8</v>
      </c>
      <c r="D41" s="4">
        <v>24.2</v>
      </c>
      <c r="E41" s="4">
        <f t="shared" si="1"/>
        <v>1</v>
      </c>
      <c r="F41" s="4">
        <f t="shared" si="2"/>
        <v>1</v>
      </c>
      <c r="G41" s="4">
        <f t="shared" si="3"/>
        <v>31.685</v>
      </c>
      <c r="H41" s="4">
        <f t="shared" si="4"/>
        <v>34.6605</v>
      </c>
      <c r="I41" s="4">
        <f t="shared" si="5"/>
        <v>2.9755</v>
      </c>
      <c r="J41" s="4">
        <v>0.9</v>
      </c>
      <c r="K41" s="4">
        <v>19.5</v>
      </c>
      <c r="L41" s="4">
        <f t="shared" si="6"/>
        <v>8</v>
      </c>
      <c r="M41" s="4">
        <f t="shared" si="7"/>
        <v>1</v>
      </c>
      <c r="N41" s="4">
        <f t="shared" si="8"/>
        <v>9.1778</v>
      </c>
      <c r="O41" s="4">
        <f t="shared" si="9"/>
        <v>0.9</v>
      </c>
      <c r="P41" s="4">
        <f t="shared" si="10"/>
        <v>19.5</v>
      </c>
    </row>
    <row r="42" ht="15.75" customHeight="1">
      <c r="A42" s="4">
        <v>1987.0</v>
      </c>
      <c r="B42" s="4">
        <v>192.0</v>
      </c>
      <c r="C42" s="4">
        <v>11.3</v>
      </c>
      <c r="D42" s="4">
        <v>18.0</v>
      </c>
      <c r="E42" s="4">
        <f t="shared" si="1"/>
        <v>1</v>
      </c>
      <c r="F42" s="4">
        <f t="shared" si="2"/>
        <v>1</v>
      </c>
      <c r="G42" s="4">
        <f t="shared" si="3"/>
        <v>26.126</v>
      </c>
      <c r="H42" s="4">
        <f t="shared" si="4"/>
        <v>29.2765</v>
      </c>
      <c r="I42" s="4">
        <f t="shared" si="5"/>
        <v>3.1505</v>
      </c>
      <c r="J42" s="4">
        <v>0.8</v>
      </c>
      <c r="K42" s="4">
        <v>14.7</v>
      </c>
      <c r="L42" s="4">
        <f t="shared" si="6"/>
        <v>8</v>
      </c>
      <c r="M42" s="4">
        <f t="shared" si="7"/>
        <v>1</v>
      </c>
      <c r="N42" s="4">
        <f t="shared" si="8"/>
        <v>10.0478</v>
      </c>
      <c r="O42" s="4">
        <f t="shared" si="9"/>
        <v>0.8</v>
      </c>
      <c r="P42" s="4">
        <f t="shared" si="10"/>
        <v>14.7</v>
      </c>
    </row>
    <row r="43" ht="15.75" customHeight="1">
      <c r="A43" s="4">
        <v>1987.0</v>
      </c>
      <c r="B43" s="4">
        <v>193.0</v>
      </c>
      <c r="C43" s="4">
        <v>9.7</v>
      </c>
      <c r="D43" s="4">
        <v>18.5</v>
      </c>
      <c r="E43" s="4">
        <f t="shared" si="1"/>
        <v>1</v>
      </c>
      <c r="F43" s="4">
        <f t="shared" si="2"/>
        <v>1</v>
      </c>
      <c r="G43" s="4">
        <f t="shared" si="3"/>
        <v>21.662</v>
      </c>
      <c r="H43" s="4">
        <f t="shared" si="4"/>
        <v>24.2045</v>
      </c>
      <c r="I43" s="4">
        <f t="shared" si="5"/>
        <v>2.5425</v>
      </c>
      <c r="J43" s="4">
        <v>0.7</v>
      </c>
      <c r="K43" s="4">
        <v>13.4</v>
      </c>
      <c r="L43" s="4">
        <f t="shared" si="6"/>
        <v>8</v>
      </c>
      <c r="M43" s="4">
        <f t="shared" si="7"/>
        <v>1</v>
      </c>
      <c r="N43" s="4">
        <f t="shared" si="8"/>
        <v>11.8512</v>
      </c>
      <c r="O43" s="4">
        <f t="shared" si="9"/>
        <v>0.7</v>
      </c>
      <c r="P43" s="4">
        <f t="shared" si="10"/>
        <v>13.4</v>
      </c>
    </row>
    <row r="44" ht="15.75" customHeight="1">
      <c r="A44" s="4">
        <v>1987.0</v>
      </c>
      <c r="B44" s="4">
        <v>194.0</v>
      </c>
      <c r="C44" s="4">
        <v>8.9</v>
      </c>
      <c r="D44" s="4">
        <v>19.6</v>
      </c>
      <c r="E44" s="4">
        <f t="shared" si="1"/>
        <v>1</v>
      </c>
      <c r="F44" s="4">
        <f t="shared" si="2"/>
        <v>1</v>
      </c>
      <c r="G44" s="4">
        <f t="shared" si="3"/>
        <v>21.63</v>
      </c>
      <c r="H44" s="4">
        <f t="shared" si="4"/>
        <v>22.5675</v>
      </c>
      <c r="I44" s="4">
        <f t="shared" si="5"/>
        <v>0.9375</v>
      </c>
      <c r="J44" s="4">
        <v>13.5</v>
      </c>
      <c r="K44" s="4">
        <v>13.6</v>
      </c>
      <c r="L44" s="4">
        <f t="shared" si="6"/>
        <v>8</v>
      </c>
      <c r="M44" s="4">
        <f t="shared" si="7"/>
        <v>1</v>
      </c>
      <c r="N44" s="4">
        <f t="shared" si="8"/>
        <v>9.7436</v>
      </c>
      <c r="O44" s="4">
        <f t="shared" si="9"/>
        <v>13.5</v>
      </c>
      <c r="P44" s="4">
        <f t="shared" si="10"/>
        <v>13.6</v>
      </c>
    </row>
    <row r="45" ht="15.75" customHeight="1">
      <c r="A45" s="4">
        <v>1987.0</v>
      </c>
      <c r="B45" s="4">
        <v>195.0</v>
      </c>
      <c r="C45" s="4">
        <v>11.9</v>
      </c>
      <c r="D45" s="4">
        <v>18.7</v>
      </c>
      <c r="E45" s="4">
        <f t="shared" si="1"/>
        <v>1</v>
      </c>
      <c r="F45" s="4">
        <f t="shared" si="2"/>
        <v>1</v>
      </c>
      <c r="G45" s="4">
        <f t="shared" si="3"/>
        <v>19.282</v>
      </c>
      <c r="H45" s="4">
        <f t="shared" si="4"/>
        <v>20.386</v>
      </c>
      <c r="I45" s="4">
        <f t="shared" si="5"/>
        <v>1.104</v>
      </c>
      <c r="J45" s="4">
        <v>9.4</v>
      </c>
      <c r="K45" s="4">
        <v>14.9</v>
      </c>
      <c r="L45" s="4">
        <f t="shared" si="6"/>
        <v>8</v>
      </c>
      <c r="M45" s="4">
        <f t="shared" si="7"/>
        <v>1</v>
      </c>
      <c r="N45" s="4">
        <f t="shared" si="8"/>
        <v>7.7643</v>
      </c>
      <c r="O45" s="4">
        <f t="shared" si="9"/>
        <v>9.4</v>
      </c>
      <c r="P45" s="4">
        <f t="shared" si="10"/>
        <v>14.9</v>
      </c>
    </row>
    <row r="46" ht="15.75" customHeight="1">
      <c r="A46" s="4">
        <v>1987.0</v>
      </c>
      <c r="B46" s="4">
        <v>196.0</v>
      </c>
      <c r="C46" s="4">
        <v>9.3</v>
      </c>
      <c r="D46" s="4">
        <v>17.8</v>
      </c>
      <c r="E46" s="4">
        <f t="shared" si="1"/>
        <v>1</v>
      </c>
      <c r="F46" s="4">
        <f t="shared" si="2"/>
        <v>1</v>
      </c>
      <c r="G46" s="4">
        <f t="shared" si="3"/>
        <v>15.814</v>
      </c>
      <c r="H46" s="4">
        <f t="shared" si="4"/>
        <v>16.9185</v>
      </c>
      <c r="I46" s="4">
        <f t="shared" si="5"/>
        <v>1.1045</v>
      </c>
      <c r="J46" s="4">
        <v>0.9</v>
      </c>
      <c r="K46" s="4">
        <v>12.9</v>
      </c>
      <c r="L46" s="4">
        <f t="shared" si="6"/>
        <v>8</v>
      </c>
      <c r="M46" s="4">
        <f t="shared" si="7"/>
        <v>0</v>
      </c>
      <c r="N46" s="4">
        <f t="shared" si="8"/>
        <v>-2.489</v>
      </c>
      <c r="O46" s="4">
        <f t="shared" si="9"/>
        <v>0.9</v>
      </c>
      <c r="P46" s="4">
        <f t="shared" si="10"/>
        <v>12.9</v>
      </c>
    </row>
    <row r="47" ht="15.75" customHeight="1">
      <c r="A47" s="4">
        <v>1987.0</v>
      </c>
      <c r="B47" s="4">
        <v>197.0</v>
      </c>
      <c r="C47" s="4">
        <v>11.3</v>
      </c>
      <c r="D47" s="4">
        <v>13.6</v>
      </c>
      <c r="E47" s="4">
        <f t="shared" si="1"/>
        <v>0</v>
      </c>
      <c r="F47" s="4">
        <f t="shared" si="2"/>
        <v>0</v>
      </c>
      <c r="G47" s="4">
        <f t="shared" si="3"/>
        <v>14.849</v>
      </c>
      <c r="H47" s="4">
        <f t="shared" si="4"/>
        <v>14.087</v>
      </c>
      <c r="I47" s="4" t="str">
        <f t="shared" si="5"/>
        <v> </v>
      </c>
      <c r="K47" s="4">
        <v>12.4</v>
      </c>
      <c r="L47" s="4">
        <f t="shared" si="6"/>
        <v>3</v>
      </c>
      <c r="M47" s="4">
        <f t="shared" si="7"/>
        <v>0</v>
      </c>
      <c r="N47" s="4">
        <f t="shared" si="8"/>
        <v>-1.0481</v>
      </c>
      <c r="O47" s="4" t="str">
        <f t="shared" si="9"/>
        <v/>
      </c>
      <c r="P47" s="4">
        <f t="shared" si="10"/>
        <v>12.4</v>
      </c>
    </row>
    <row r="48" ht="15.75" customHeight="1">
      <c r="A48" s="4">
        <v>1987.0</v>
      </c>
      <c r="B48" s="4">
        <v>198.0</v>
      </c>
      <c r="C48" s="4">
        <v>9.4</v>
      </c>
      <c r="D48" s="4">
        <v>17.3</v>
      </c>
      <c r="E48" s="4">
        <f t="shared" si="1"/>
        <v>0</v>
      </c>
      <c r="F48" s="4">
        <f t="shared" si="2"/>
        <v>0</v>
      </c>
      <c r="G48" s="4">
        <f t="shared" si="3"/>
        <v>18.219</v>
      </c>
      <c r="H48" s="4">
        <f t="shared" si="4"/>
        <v>16.8695</v>
      </c>
      <c r="I48" s="4" t="str">
        <f t="shared" si="5"/>
        <v> </v>
      </c>
      <c r="K48" s="4">
        <v>13.5</v>
      </c>
      <c r="L48" s="4">
        <f t="shared" si="6"/>
        <v>3</v>
      </c>
      <c r="M48" s="4">
        <f t="shared" si="7"/>
        <v>1</v>
      </c>
      <c r="N48" s="4">
        <f t="shared" si="8"/>
        <v>7.2268</v>
      </c>
      <c r="O48" s="4" t="str">
        <f t="shared" si="9"/>
        <v/>
      </c>
      <c r="P48" s="4">
        <f t="shared" si="10"/>
        <v>13.5</v>
      </c>
    </row>
    <row r="49" ht="15.75" customHeight="1">
      <c r="A49" s="4">
        <v>1987.0</v>
      </c>
      <c r="B49" s="4">
        <v>199.0</v>
      </c>
      <c r="C49" s="4">
        <v>9.3</v>
      </c>
      <c r="D49" s="4">
        <v>17.6</v>
      </c>
      <c r="E49" s="4">
        <f t="shared" si="1"/>
        <v>1</v>
      </c>
      <c r="F49" s="4">
        <f t="shared" si="2"/>
        <v>1</v>
      </c>
      <c r="G49" s="4">
        <f t="shared" si="3"/>
        <v>23.452</v>
      </c>
      <c r="H49" s="4">
        <f t="shared" si="4"/>
        <v>23.5765</v>
      </c>
      <c r="I49" s="4">
        <f t="shared" si="5"/>
        <v>0.1245</v>
      </c>
      <c r="J49" s="4">
        <v>5.4</v>
      </c>
      <c r="K49" s="4">
        <v>13.4</v>
      </c>
      <c r="L49" s="4">
        <f t="shared" si="6"/>
        <v>8</v>
      </c>
      <c r="M49" s="4">
        <f t="shared" si="7"/>
        <v>1</v>
      </c>
      <c r="N49" s="4">
        <f t="shared" si="8"/>
        <v>7.6366</v>
      </c>
      <c r="O49" s="4">
        <f t="shared" si="9"/>
        <v>5.4</v>
      </c>
      <c r="P49" s="4">
        <f t="shared" si="10"/>
        <v>13.4</v>
      </c>
    </row>
    <row r="50" ht="15.75" customHeight="1">
      <c r="A50" s="4">
        <v>1987.0</v>
      </c>
      <c r="B50" s="4">
        <v>200.0</v>
      </c>
      <c r="C50" s="4">
        <v>8.6</v>
      </c>
      <c r="D50" s="4">
        <v>15.1</v>
      </c>
      <c r="E50" s="4">
        <f t="shared" si="1"/>
        <v>1</v>
      </c>
      <c r="F50" s="4">
        <f t="shared" si="2"/>
        <v>0</v>
      </c>
      <c r="G50" s="4">
        <f t="shared" si="3"/>
        <v>25.106</v>
      </c>
      <c r="H50" s="4">
        <f t="shared" si="4"/>
        <v>22.415</v>
      </c>
      <c r="I50" s="4" t="str">
        <f t="shared" si="5"/>
        <v> </v>
      </c>
      <c r="J50" s="4">
        <v>0.3</v>
      </c>
      <c r="K50" s="4">
        <v>11.9</v>
      </c>
      <c r="L50" s="4">
        <f t="shared" si="6"/>
        <v>8</v>
      </c>
      <c r="M50" s="4">
        <f t="shared" si="7"/>
        <v>0</v>
      </c>
      <c r="N50" s="4">
        <f t="shared" si="8"/>
        <v>-3.3224</v>
      </c>
      <c r="O50" s="4">
        <f t="shared" si="9"/>
        <v>0.3</v>
      </c>
      <c r="P50" s="4">
        <f t="shared" si="10"/>
        <v>11.9</v>
      </c>
    </row>
    <row r="51" ht="15.75" customHeight="1">
      <c r="A51" s="4">
        <v>1987.0</v>
      </c>
      <c r="B51" s="4">
        <v>201.0</v>
      </c>
      <c r="C51" s="4">
        <v>10.5</v>
      </c>
      <c r="D51" s="4">
        <v>17.7</v>
      </c>
      <c r="E51" s="4">
        <f t="shared" si="1"/>
        <v>0</v>
      </c>
      <c r="F51" s="4">
        <f t="shared" si="2"/>
        <v>0</v>
      </c>
      <c r="G51" s="4">
        <f t="shared" si="3"/>
        <v>28.069</v>
      </c>
      <c r="H51" s="4">
        <f t="shared" si="4"/>
        <v>23.362</v>
      </c>
      <c r="I51" s="4" t="str">
        <f t="shared" si="5"/>
        <v> </v>
      </c>
      <c r="K51" s="4">
        <v>13.1</v>
      </c>
      <c r="L51" s="4">
        <f t="shared" si="6"/>
        <v>3</v>
      </c>
      <c r="M51" s="4">
        <f t="shared" si="7"/>
        <v>0</v>
      </c>
      <c r="N51" s="4">
        <f t="shared" si="8"/>
        <v>-4.7864</v>
      </c>
      <c r="O51" s="4" t="str">
        <f t="shared" si="9"/>
        <v/>
      </c>
      <c r="P51" s="4">
        <f t="shared" si="10"/>
        <v>13.1</v>
      </c>
    </row>
    <row r="52" ht="15.75" customHeight="1">
      <c r="A52" s="4">
        <v>1987.0</v>
      </c>
      <c r="B52" s="4">
        <v>202.0</v>
      </c>
      <c r="C52" s="4">
        <v>8.5</v>
      </c>
      <c r="D52" s="4">
        <v>19.0</v>
      </c>
      <c r="E52" s="4">
        <f t="shared" si="1"/>
        <v>0</v>
      </c>
      <c r="F52" s="4">
        <f t="shared" si="2"/>
        <v>0</v>
      </c>
      <c r="G52" s="4">
        <f t="shared" si="3"/>
        <v>30.6</v>
      </c>
      <c r="H52" s="4">
        <f t="shared" si="4"/>
        <v>28.28</v>
      </c>
      <c r="I52" s="4" t="str">
        <f t="shared" si="5"/>
        <v> </v>
      </c>
      <c r="K52" s="4">
        <v>14.3</v>
      </c>
      <c r="L52" s="4">
        <f t="shared" si="6"/>
        <v>3</v>
      </c>
      <c r="M52" s="4">
        <f t="shared" si="7"/>
        <v>0</v>
      </c>
      <c r="N52" s="4">
        <f t="shared" si="8"/>
        <v>-7.5941</v>
      </c>
      <c r="O52" s="4" t="str">
        <f t="shared" si="9"/>
        <v/>
      </c>
      <c r="P52" s="4">
        <f t="shared" si="10"/>
        <v>14.3</v>
      </c>
    </row>
    <row r="53" ht="15.75" customHeight="1">
      <c r="A53" s="4">
        <v>1987.0</v>
      </c>
      <c r="B53" s="4">
        <v>203.0</v>
      </c>
      <c r="C53" s="4">
        <v>13.6</v>
      </c>
      <c r="D53" s="4">
        <v>24.5</v>
      </c>
      <c r="E53" s="4">
        <f t="shared" si="1"/>
        <v>0</v>
      </c>
      <c r="F53" s="4">
        <f t="shared" si="2"/>
        <v>0</v>
      </c>
      <c r="G53" s="4">
        <f t="shared" si="3"/>
        <v>37.147</v>
      </c>
      <c r="H53" s="4">
        <f t="shared" si="4"/>
        <v>31.6185</v>
      </c>
      <c r="I53" s="4" t="str">
        <f t="shared" si="5"/>
        <v> </v>
      </c>
      <c r="K53" s="4">
        <v>19.0</v>
      </c>
      <c r="L53" s="4">
        <f t="shared" si="6"/>
        <v>3</v>
      </c>
      <c r="M53" s="4">
        <f t="shared" si="7"/>
        <v>0</v>
      </c>
      <c r="N53" s="4">
        <f t="shared" si="8"/>
        <v>-8.8162</v>
      </c>
      <c r="O53" s="4" t="str">
        <f t="shared" si="9"/>
        <v/>
      </c>
      <c r="P53" s="4">
        <f t="shared" si="10"/>
        <v>19</v>
      </c>
    </row>
    <row r="54" ht="15.75" customHeight="1">
      <c r="A54" s="4">
        <v>1987.0</v>
      </c>
      <c r="B54" s="4">
        <v>204.0</v>
      </c>
      <c r="C54" s="4">
        <v>13.2</v>
      </c>
      <c r="D54" s="4">
        <v>27.4</v>
      </c>
      <c r="E54" s="4">
        <f t="shared" si="1"/>
        <v>0</v>
      </c>
      <c r="F54" s="4">
        <f t="shared" si="2"/>
        <v>0</v>
      </c>
      <c r="G54" s="4">
        <f t="shared" si="3"/>
        <v>38.418</v>
      </c>
      <c r="H54" s="4">
        <f t="shared" si="4"/>
        <v>35.609</v>
      </c>
      <c r="I54" s="4" t="str">
        <f t="shared" si="5"/>
        <v> </v>
      </c>
      <c r="K54" s="4">
        <v>20.5</v>
      </c>
      <c r="L54" s="4">
        <f t="shared" si="6"/>
        <v>3</v>
      </c>
      <c r="M54" s="4">
        <f t="shared" si="7"/>
        <v>0</v>
      </c>
      <c r="N54" s="4">
        <f t="shared" si="8"/>
        <v>-2.2772</v>
      </c>
      <c r="O54" s="4" t="str">
        <f t="shared" si="9"/>
        <v/>
      </c>
      <c r="P54" s="4">
        <f t="shared" si="10"/>
        <v>20.5</v>
      </c>
    </row>
    <row r="55" ht="15.75" customHeight="1">
      <c r="A55" s="4">
        <v>1987.0</v>
      </c>
      <c r="B55" s="4">
        <v>205.0</v>
      </c>
      <c r="C55" s="4">
        <v>14.0</v>
      </c>
      <c r="D55" s="4">
        <v>28.0</v>
      </c>
      <c r="E55" s="4">
        <f t="shared" si="1"/>
        <v>0</v>
      </c>
      <c r="F55" s="4">
        <f t="shared" si="2"/>
        <v>0</v>
      </c>
      <c r="G55" s="4">
        <f t="shared" si="3"/>
        <v>35.29</v>
      </c>
      <c r="H55" s="4">
        <f t="shared" si="4"/>
        <v>31.6005</v>
      </c>
      <c r="I55" s="4" t="str">
        <f t="shared" si="5"/>
        <v> </v>
      </c>
      <c r="K55" s="4">
        <v>21.1</v>
      </c>
      <c r="L55" s="4">
        <f t="shared" si="6"/>
        <v>3</v>
      </c>
      <c r="M55" s="4">
        <f t="shared" si="7"/>
        <v>0</v>
      </c>
      <c r="N55" s="4">
        <f t="shared" si="8"/>
        <v>-0.4384</v>
      </c>
      <c r="O55" s="4" t="str">
        <f t="shared" si="9"/>
        <v/>
      </c>
      <c r="P55" s="4">
        <f t="shared" si="10"/>
        <v>21.1</v>
      </c>
    </row>
    <row r="56" ht="15.75" customHeight="1">
      <c r="A56" s="4">
        <v>1987.0</v>
      </c>
      <c r="B56" s="4">
        <v>206.0</v>
      </c>
      <c r="C56" s="4">
        <v>18.1</v>
      </c>
      <c r="D56" s="4">
        <v>25.6</v>
      </c>
      <c r="E56" s="4">
        <f t="shared" si="1"/>
        <v>1</v>
      </c>
      <c r="F56" s="4">
        <f t="shared" si="2"/>
        <v>0</v>
      </c>
      <c r="G56" s="4">
        <f t="shared" si="3"/>
        <v>35.488</v>
      </c>
      <c r="H56" s="4">
        <f t="shared" si="4"/>
        <v>33.924</v>
      </c>
      <c r="I56" s="4" t="str">
        <f t="shared" si="5"/>
        <v> </v>
      </c>
      <c r="J56" s="4">
        <v>2.1</v>
      </c>
      <c r="K56" s="4">
        <v>21.1</v>
      </c>
      <c r="L56" s="4">
        <f t="shared" si="6"/>
        <v>8</v>
      </c>
      <c r="M56" s="4">
        <f t="shared" si="7"/>
        <v>0</v>
      </c>
      <c r="N56" s="4">
        <f t="shared" si="8"/>
        <v>-0.2931</v>
      </c>
      <c r="O56" s="4">
        <f t="shared" si="9"/>
        <v>2.1</v>
      </c>
      <c r="P56" s="4">
        <f t="shared" si="10"/>
        <v>21.1</v>
      </c>
    </row>
    <row r="57" ht="15.75" customHeight="1">
      <c r="A57" s="4">
        <v>1987.0</v>
      </c>
      <c r="B57" s="4">
        <v>207.0</v>
      </c>
      <c r="C57" s="4">
        <v>13.8</v>
      </c>
      <c r="D57" s="4">
        <v>23.9</v>
      </c>
      <c r="E57" s="4">
        <f t="shared" si="1"/>
        <v>0</v>
      </c>
      <c r="F57" s="4">
        <f t="shared" si="2"/>
        <v>0</v>
      </c>
      <c r="G57" s="4">
        <f t="shared" si="3"/>
        <v>25.883</v>
      </c>
      <c r="H57" s="4">
        <f t="shared" si="4"/>
        <v>23.9435</v>
      </c>
      <c r="I57" s="4" t="str">
        <f t="shared" si="5"/>
        <v> </v>
      </c>
      <c r="K57" s="4">
        <v>19.5</v>
      </c>
      <c r="L57" s="4">
        <f t="shared" si="6"/>
        <v>3</v>
      </c>
      <c r="M57" s="4">
        <f t="shared" si="7"/>
        <v>1</v>
      </c>
      <c r="N57" s="4">
        <f t="shared" si="8"/>
        <v>0.0373</v>
      </c>
      <c r="O57" s="4" t="str">
        <f t="shared" si="9"/>
        <v/>
      </c>
      <c r="P57" s="4">
        <f t="shared" si="10"/>
        <v>19.5</v>
      </c>
    </row>
    <row r="58" ht="15.75" customHeight="1">
      <c r="A58" s="4">
        <v>1987.0</v>
      </c>
      <c r="B58" s="4">
        <v>208.0</v>
      </c>
      <c r="C58" s="4">
        <v>13.5</v>
      </c>
      <c r="D58" s="4">
        <v>24.8</v>
      </c>
      <c r="E58" s="4">
        <f t="shared" si="1"/>
        <v>1</v>
      </c>
      <c r="F58" s="4">
        <f t="shared" si="2"/>
        <v>0</v>
      </c>
      <c r="G58" s="4">
        <f t="shared" si="3"/>
        <v>29.457</v>
      </c>
      <c r="H58" s="4">
        <f t="shared" si="4"/>
        <v>29.127</v>
      </c>
      <c r="I58" s="4" t="str">
        <f t="shared" si="5"/>
        <v> </v>
      </c>
      <c r="J58" s="4">
        <v>3.5</v>
      </c>
      <c r="K58" s="4">
        <v>19.6</v>
      </c>
      <c r="L58" s="4">
        <f t="shared" si="6"/>
        <v>8</v>
      </c>
      <c r="M58" s="4">
        <f t="shared" si="7"/>
        <v>0</v>
      </c>
      <c r="N58" s="4">
        <f t="shared" si="8"/>
        <v>-3.3863</v>
      </c>
      <c r="O58" s="4">
        <f t="shared" si="9"/>
        <v>3.5</v>
      </c>
      <c r="P58" s="4">
        <f t="shared" si="10"/>
        <v>19.6</v>
      </c>
    </row>
    <row r="59" ht="15.75" customHeight="1">
      <c r="A59" s="4">
        <v>1987.0</v>
      </c>
      <c r="B59" s="4">
        <v>209.0</v>
      </c>
      <c r="C59" s="4">
        <v>10.8</v>
      </c>
      <c r="D59" s="4">
        <v>19.4</v>
      </c>
      <c r="E59" s="4">
        <f t="shared" si="1"/>
        <v>0</v>
      </c>
      <c r="F59" s="4">
        <f t="shared" si="2"/>
        <v>0</v>
      </c>
      <c r="G59" s="4">
        <f t="shared" si="3"/>
        <v>25.932</v>
      </c>
      <c r="H59" s="4">
        <f t="shared" si="4"/>
        <v>24.5405</v>
      </c>
      <c r="I59" s="4" t="str">
        <f t="shared" si="5"/>
        <v> </v>
      </c>
      <c r="K59" s="4">
        <v>15.2</v>
      </c>
      <c r="L59" s="4">
        <f t="shared" si="6"/>
        <v>3</v>
      </c>
      <c r="M59" s="4">
        <f t="shared" si="7"/>
        <v>0</v>
      </c>
      <c r="N59" s="4">
        <f t="shared" si="8"/>
        <v>-2.6999</v>
      </c>
      <c r="O59" s="4" t="str">
        <f t="shared" si="9"/>
        <v/>
      </c>
      <c r="P59" s="4">
        <f t="shared" si="10"/>
        <v>15.2</v>
      </c>
    </row>
    <row r="60" ht="15.75" customHeight="1">
      <c r="A60" s="4">
        <v>1987.0</v>
      </c>
      <c r="B60" s="4">
        <v>210.0</v>
      </c>
      <c r="C60" s="4">
        <v>12.7</v>
      </c>
      <c r="D60" s="4">
        <v>21.1</v>
      </c>
      <c r="E60" s="4">
        <f t="shared" si="1"/>
        <v>0</v>
      </c>
      <c r="F60" s="4">
        <f t="shared" si="2"/>
        <v>0</v>
      </c>
      <c r="G60" s="4">
        <f t="shared" si="3"/>
        <v>30.794</v>
      </c>
      <c r="H60" s="4">
        <f t="shared" si="4"/>
        <v>30.3835</v>
      </c>
      <c r="I60" s="4" t="str">
        <f t="shared" si="5"/>
        <v> </v>
      </c>
      <c r="K60" s="4">
        <v>16.6</v>
      </c>
      <c r="L60" s="4">
        <f t="shared" si="6"/>
        <v>3</v>
      </c>
      <c r="M60" s="4">
        <f t="shared" si="7"/>
        <v>1</v>
      </c>
      <c r="N60" s="4">
        <f t="shared" si="8"/>
        <v>6.7177</v>
      </c>
      <c r="O60" s="4" t="str">
        <f t="shared" si="9"/>
        <v/>
      </c>
      <c r="P60" s="4">
        <f t="shared" si="10"/>
        <v>16.6</v>
      </c>
    </row>
    <row r="61" ht="15.75" customHeight="1">
      <c r="A61" s="4">
        <v>1987.0</v>
      </c>
      <c r="B61" s="4">
        <v>211.0</v>
      </c>
      <c r="C61" s="4">
        <v>10.4</v>
      </c>
      <c r="D61" s="4">
        <v>15.9</v>
      </c>
      <c r="E61" s="4">
        <f t="shared" si="1"/>
        <v>1</v>
      </c>
      <c r="F61" s="4">
        <f t="shared" si="2"/>
        <v>1</v>
      </c>
      <c r="G61" s="4">
        <f t="shared" si="3"/>
        <v>32.45</v>
      </c>
      <c r="H61" s="4">
        <f t="shared" si="4"/>
        <v>33.158</v>
      </c>
      <c r="I61" s="4">
        <f t="shared" si="5"/>
        <v>0.708</v>
      </c>
      <c r="J61" s="4">
        <v>7.2</v>
      </c>
      <c r="K61" s="4">
        <v>13.7</v>
      </c>
      <c r="L61" s="4">
        <f t="shared" si="6"/>
        <v>8</v>
      </c>
      <c r="M61" s="4">
        <f t="shared" si="7"/>
        <v>1</v>
      </c>
      <c r="N61" s="4">
        <f t="shared" si="8"/>
        <v>8.7073</v>
      </c>
      <c r="O61" s="4">
        <f t="shared" si="9"/>
        <v>7.2</v>
      </c>
      <c r="P61" s="4">
        <f t="shared" si="10"/>
        <v>13.7</v>
      </c>
    </row>
    <row r="62" ht="15.75" customHeight="1">
      <c r="A62" s="4">
        <v>1987.0</v>
      </c>
      <c r="B62" s="4">
        <v>212.0</v>
      </c>
      <c r="C62" s="4">
        <v>9.9</v>
      </c>
      <c r="D62" s="4">
        <v>20.6</v>
      </c>
      <c r="E62" s="4">
        <f t="shared" si="1"/>
        <v>1</v>
      </c>
      <c r="F62" s="4">
        <f t="shared" si="2"/>
        <v>1</v>
      </c>
      <c r="G62" s="4">
        <f t="shared" si="3"/>
        <v>31.833</v>
      </c>
      <c r="H62" s="4">
        <f t="shared" si="4"/>
        <v>32.2505</v>
      </c>
      <c r="I62" s="4">
        <f t="shared" si="5"/>
        <v>0.4175</v>
      </c>
      <c r="J62" s="4">
        <v>0.2</v>
      </c>
      <c r="K62" s="4">
        <v>14.8</v>
      </c>
      <c r="L62" s="4">
        <f t="shared" si="6"/>
        <v>8</v>
      </c>
      <c r="M62" s="4">
        <f t="shared" si="7"/>
        <v>1</v>
      </c>
      <c r="N62" s="4">
        <f t="shared" si="8"/>
        <v>6.0414</v>
      </c>
      <c r="O62" s="4">
        <f t="shared" si="9"/>
        <v>0.2</v>
      </c>
      <c r="P62" s="4">
        <f t="shared" si="10"/>
        <v>14.8</v>
      </c>
    </row>
    <row r="63" ht="15.75" customHeight="1">
      <c r="A63" s="4">
        <v>1987.0</v>
      </c>
      <c r="B63" s="4">
        <v>213.0</v>
      </c>
      <c r="C63" s="4">
        <v>7.5</v>
      </c>
      <c r="D63" s="4">
        <v>23.6</v>
      </c>
      <c r="E63" s="4">
        <f t="shared" si="1"/>
        <v>1</v>
      </c>
      <c r="F63" s="4">
        <f t="shared" si="2"/>
        <v>0</v>
      </c>
      <c r="G63" s="4">
        <f t="shared" si="3"/>
        <v>32.268</v>
      </c>
      <c r="H63" s="4">
        <f t="shared" si="4"/>
        <v>32.2195</v>
      </c>
      <c r="I63" s="4" t="str">
        <f t="shared" si="5"/>
        <v> </v>
      </c>
      <c r="J63" s="4">
        <v>0.1</v>
      </c>
      <c r="K63" s="4">
        <v>16.8</v>
      </c>
      <c r="L63" s="4">
        <f t="shared" si="6"/>
        <v>8</v>
      </c>
      <c r="M63" s="4">
        <f t="shared" si="7"/>
        <v>0</v>
      </c>
      <c r="N63" s="4">
        <f t="shared" si="8"/>
        <v>-4.1751</v>
      </c>
      <c r="O63" s="4">
        <f t="shared" si="9"/>
        <v>0.1</v>
      </c>
      <c r="P63" s="4">
        <f t="shared" si="10"/>
        <v>16.8</v>
      </c>
    </row>
    <row r="64" ht="15.75" customHeight="1">
      <c r="A64" s="4">
        <v>1987.0</v>
      </c>
      <c r="B64" s="4">
        <v>214.0</v>
      </c>
      <c r="C64" s="4">
        <v>12.6</v>
      </c>
      <c r="D64" s="4">
        <v>24.7</v>
      </c>
      <c r="E64" s="4">
        <f t="shared" si="1"/>
        <v>0</v>
      </c>
      <c r="F64" s="4">
        <f t="shared" si="2"/>
        <v>0</v>
      </c>
      <c r="G64" s="4">
        <f t="shared" si="3"/>
        <v>34.219</v>
      </c>
      <c r="H64" s="4">
        <f t="shared" si="4"/>
        <v>30.7495</v>
      </c>
      <c r="I64" s="4" t="str">
        <f t="shared" si="5"/>
        <v> </v>
      </c>
      <c r="K64" s="4">
        <v>19.5</v>
      </c>
      <c r="L64" s="4">
        <f t="shared" si="6"/>
        <v>3</v>
      </c>
      <c r="M64" s="4">
        <f t="shared" si="7"/>
        <v>0</v>
      </c>
      <c r="N64" s="4">
        <f t="shared" si="8"/>
        <v>-4.5045</v>
      </c>
      <c r="O64" s="4" t="str">
        <f t="shared" si="9"/>
        <v/>
      </c>
      <c r="P64" s="4">
        <f t="shared" si="10"/>
        <v>19.5</v>
      </c>
    </row>
    <row r="65" ht="15.75" customHeight="1">
      <c r="A65" s="4">
        <v>1987.0</v>
      </c>
      <c r="B65" s="4">
        <v>215.0</v>
      </c>
      <c r="C65" s="4">
        <v>14.1</v>
      </c>
      <c r="D65" s="4">
        <v>26.0</v>
      </c>
      <c r="E65" s="4">
        <f t="shared" si="1"/>
        <v>0</v>
      </c>
      <c r="F65" s="4">
        <f t="shared" si="2"/>
        <v>0</v>
      </c>
      <c r="G65" s="4">
        <f t="shared" si="3"/>
        <v>34.198</v>
      </c>
      <c r="H65" s="4">
        <f t="shared" si="4"/>
        <v>33.4605</v>
      </c>
      <c r="I65" s="4" t="str">
        <f t="shared" si="5"/>
        <v> </v>
      </c>
      <c r="K65" s="4">
        <v>20.8</v>
      </c>
      <c r="L65" s="4">
        <f t="shared" si="6"/>
        <v>3</v>
      </c>
      <c r="M65" s="4">
        <f t="shared" si="7"/>
        <v>1</v>
      </c>
      <c r="N65" s="4">
        <f t="shared" si="8"/>
        <v>5.1825</v>
      </c>
      <c r="O65" s="4" t="str">
        <f t="shared" si="9"/>
        <v/>
      </c>
      <c r="P65" s="4">
        <f t="shared" si="10"/>
        <v>20.8</v>
      </c>
    </row>
    <row r="66" ht="15.75" customHeight="1">
      <c r="A66" s="4">
        <v>1987.0</v>
      </c>
      <c r="B66" s="4">
        <v>216.0</v>
      </c>
      <c r="C66" s="4">
        <v>12.1</v>
      </c>
      <c r="D66" s="4">
        <v>20.6</v>
      </c>
      <c r="E66" s="4">
        <f t="shared" si="1"/>
        <v>1</v>
      </c>
      <c r="F66" s="4">
        <f t="shared" si="2"/>
        <v>0</v>
      </c>
      <c r="G66" s="4">
        <f t="shared" si="3"/>
        <v>29.882</v>
      </c>
      <c r="H66" s="4">
        <f t="shared" si="4"/>
        <v>29.757</v>
      </c>
      <c r="I66" s="4" t="str">
        <f t="shared" si="5"/>
        <v> </v>
      </c>
      <c r="J66" s="4">
        <v>15.2</v>
      </c>
      <c r="K66" s="4">
        <v>16.5</v>
      </c>
      <c r="L66" s="4">
        <f t="shared" si="6"/>
        <v>8</v>
      </c>
      <c r="M66" s="4">
        <f t="shared" si="7"/>
        <v>1</v>
      </c>
      <c r="N66" s="4">
        <f t="shared" si="8"/>
        <v>5.1624</v>
      </c>
      <c r="O66" s="4">
        <f t="shared" si="9"/>
        <v>15.2</v>
      </c>
      <c r="P66" s="4">
        <f t="shared" si="10"/>
        <v>16.5</v>
      </c>
    </row>
    <row r="67" ht="15.75" customHeight="1">
      <c r="A67" s="4">
        <v>1987.0</v>
      </c>
      <c r="B67" s="4">
        <v>217.0</v>
      </c>
      <c r="C67" s="4">
        <v>11.1</v>
      </c>
      <c r="D67" s="4">
        <v>21.0</v>
      </c>
      <c r="E67" s="4">
        <f t="shared" si="1"/>
        <v>1</v>
      </c>
      <c r="F67" s="4">
        <f t="shared" si="2"/>
        <v>0</v>
      </c>
      <c r="G67" s="4">
        <f t="shared" si="3"/>
        <v>24.149</v>
      </c>
      <c r="H67" s="4">
        <f t="shared" si="4"/>
        <v>23.7515</v>
      </c>
      <c r="I67" s="4" t="str">
        <f t="shared" si="5"/>
        <v> </v>
      </c>
      <c r="J67" s="4">
        <v>0.8</v>
      </c>
      <c r="K67" s="4">
        <v>15.9</v>
      </c>
      <c r="L67" s="4">
        <f t="shared" si="6"/>
        <v>8</v>
      </c>
      <c r="M67" s="4">
        <f t="shared" si="7"/>
        <v>1</v>
      </c>
      <c r="N67" s="4">
        <f t="shared" si="8"/>
        <v>0.7321</v>
      </c>
      <c r="O67" s="4">
        <f t="shared" si="9"/>
        <v>0.8</v>
      </c>
      <c r="P67" s="4">
        <f t="shared" si="10"/>
        <v>15.9</v>
      </c>
    </row>
    <row r="68" ht="15.75" customHeight="1">
      <c r="A68" s="4">
        <v>1987.0</v>
      </c>
      <c r="B68" s="4">
        <v>218.0</v>
      </c>
      <c r="C68" s="4">
        <v>11.3</v>
      </c>
      <c r="D68" s="4">
        <v>24.3</v>
      </c>
      <c r="E68" s="4">
        <f t="shared" si="1"/>
        <v>0</v>
      </c>
      <c r="F68" s="4">
        <f t="shared" si="2"/>
        <v>0</v>
      </c>
      <c r="G68" s="4">
        <f t="shared" si="3"/>
        <v>22.6818</v>
      </c>
      <c r="H68" s="4">
        <f t="shared" si="4"/>
        <v>19.2325</v>
      </c>
      <c r="I68" s="4" t="str">
        <f t="shared" si="5"/>
        <v> </v>
      </c>
      <c r="K68" s="4">
        <v>18.9</v>
      </c>
      <c r="L68" s="4">
        <f t="shared" si="6"/>
        <v>3</v>
      </c>
      <c r="M68" s="4">
        <f t="shared" si="7"/>
        <v>1</v>
      </c>
      <c r="N68" s="4">
        <f t="shared" si="8"/>
        <v>0.9552</v>
      </c>
      <c r="O68" s="4" t="str">
        <f t="shared" si="9"/>
        <v/>
      </c>
      <c r="P68" s="4">
        <f t="shared" si="10"/>
        <v>18.9</v>
      </c>
    </row>
    <row r="69" ht="15.75" customHeight="1">
      <c r="A69" s="4">
        <v>1987.0</v>
      </c>
      <c r="B69" s="4">
        <v>219.0</v>
      </c>
      <c r="C69" s="4">
        <v>12.6</v>
      </c>
      <c r="D69" s="4">
        <v>22.5</v>
      </c>
      <c r="E69" s="4">
        <f t="shared" si="1"/>
        <v>1</v>
      </c>
      <c r="F69" s="4">
        <f t="shared" si="2"/>
        <v>0</v>
      </c>
      <c r="G69" s="4">
        <f t="shared" si="3"/>
        <v>21.7854</v>
      </c>
      <c r="H69" s="4">
        <f t="shared" si="4"/>
        <v>20.4254</v>
      </c>
      <c r="I69" s="4" t="str">
        <f t="shared" si="5"/>
        <v> </v>
      </c>
      <c r="J69" s="4">
        <v>1.0</v>
      </c>
      <c r="K69" s="4">
        <v>15.1</v>
      </c>
      <c r="L69" s="4">
        <f t="shared" si="6"/>
        <v>8</v>
      </c>
      <c r="M69" s="4">
        <f t="shared" si="7"/>
        <v>0</v>
      </c>
      <c r="N69" s="4">
        <f t="shared" si="8"/>
        <v>-2.6136</v>
      </c>
      <c r="O69" s="4">
        <f t="shared" si="9"/>
        <v>1</v>
      </c>
      <c r="P69" s="4">
        <f t="shared" si="10"/>
        <v>15.1</v>
      </c>
    </row>
    <row r="70" ht="15.75" customHeight="1">
      <c r="A70" s="4">
        <v>1987.0</v>
      </c>
      <c r="B70" s="4">
        <v>220.0</v>
      </c>
      <c r="C70" s="4">
        <v>11.3</v>
      </c>
      <c r="D70" s="4">
        <v>18.5</v>
      </c>
      <c r="E70" s="4">
        <f t="shared" si="1"/>
        <v>0</v>
      </c>
      <c r="F70" s="4">
        <f t="shared" si="2"/>
        <v>0</v>
      </c>
      <c r="G70" s="4">
        <f t="shared" si="3"/>
        <v>14.4732</v>
      </c>
      <c r="H70" s="4">
        <f t="shared" si="4"/>
        <v>14.3668</v>
      </c>
      <c r="I70" s="4" t="str">
        <f t="shared" si="5"/>
        <v> </v>
      </c>
      <c r="K70" s="4">
        <v>14.8</v>
      </c>
      <c r="L70" s="4">
        <f t="shared" si="6"/>
        <v>3</v>
      </c>
      <c r="M70" s="4">
        <f t="shared" si="7"/>
        <v>0</v>
      </c>
      <c r="N70" s="4">
        <f t="shared" si="8"/>
        <v>-6.99758</v>
      </c>
      <c r="O70" s="4" t="str">
        <f t="shared" si="9"/>
        <v/>
      </c>
      <c r="P70" s="4">
        <f t="shared" si="10"/>
        <v>14.8</v>
      </c>
    </row>
    <row r="71" ht="15.75" customHeight="1">
      <c r="A71" s="4">
        <v>1987.0</v>
      </c>
      <c r="B71" s="4">
        <v>221.0</v>
      </c>
      <c r="C71" s="4">
        <v>11.7</v>
      </c>
      <c r="D71" s="4">
        <v>14.2</v>
      </c>
      <c r="E71" s="4">
        <f t="shared" si="1"/>
        <v>0</v>
      </c>
      <c r="F71" s="4">
        <f t="shared" si="2"/>
        <v>0</v>
      </c>
      <c r="G71" s="4">
        <f t="shared" si="3"/>
        <v>15.4572</v>
      </c>
      <c r="H71" s="4">
        <f t="shared" si="4"/>
        <v>14.1584</v>
      </c>
      <c r="I71" s="4" t="str">
        <f t="shared" si="5"/>
        <v> </v>
      </c>
      <c r="K71" s="4">
        <v>12.9</v>
      </c>
      <c r="L71" s="4">
        <f t="shared" si="6"/>
        <v>3</v>
      </c>
      <c r="M71" s="4">
        <f t="shared" si="7"/>
        <v>0</v>
      </c>
      <c r="N71" s="4">
        <f t="shared" si="8"/>
        <v>-3.39732</v>
      </c>
      <c r="O71" s="4" t="str">
        <f t="shared" si="9"/>
        <v/>
      </c>
      <c r="P71" s="4">
        <f t="shared" si="10"/>
        <v>12.9</v>
      </c>
    </row>
    <row r="72" ht="15.75" customHeight="1">
      <c r="A72" s="4">
        <v>1987.0</v>
      </c>
      <c r="B72" s="4">
        <v>222.0</v>
      </c>
      <c r="C72" s="4">
        <v>8.4</v>
      </c>
      <c r="D72" s="4">
        <v>17.32</v>
      </c>
      <c r="E72" s="4">
        <f t="shared" si="1"/>
        <v>0</v>
      </c>
      <c r="F72" s="4">
        <f t="shared" si="2"/>
        <v>0</v>
      </c>
      <c r="G72" s="4">
        <f t="shared" si="3"/>
        <v>18.424</v>
      </c>
      <c r="H72" s="4">
        <f t="shared" si="4"/>
        <v>16.8596</v>
      </c>
      <c r="I72" s="4" t="str">
        <f t="shared" si="5"/>
        <v> </v>
      </c>
      <c r="K72" s="4">
        <v>13.6</v>
      </c>
      <c r="L72" s="4">
        <f t="shared" si="6"/>
        <v>3</v>
      </c>
      <c r="M72" s="4">
        <f t="shared" si="7"/>
        <v>1</v>
      </c>
      <c r="N72" s="4">
        <f t="shared" si="8"/>
        <v>9.30548</v>
      </c>
      <c r="O72" s="4" t="str">
        <f t="shared" si="9"/>
        <v/>
      </c>
      <c r="P72" s="4">
        <f t="shared" si="10"/>
        <v>13.6</v>
      </c>
    </row>
    <row r="73" ht="15.75" customHeight="1">
      <c r="A73" s="4">
        <v>1987.0</v>
      </c>
      <c r="B73" s="4">
        <v>223.0</v>
      </c>
      <c r="C73" s="4">
        <v>5.8</v>
      </c>
      <c r="D73" s="4">
        <v>19.2</v>
      </c>
      <c r="E73" s="4">
        <f t="shared" si="1"/>
        <v>1</v>
      </c>
      <c r="F73" s="4">
        <f t="shared" si="2"/>
        <v>1</v>
      </c>
      <c r="G73" s="4">
        <f t="shared" si="3"/>
        <v>20.556</v>
      </c>
      <c r="H73" s="4">
        <f t="shared" si="4"/>
        <v>20.6915</v>
      </c>
      <c r="I73" s="4">
        <f t="shared" si="5"/>
        <v>0.1355</v>
      </c>
      <c r="J73" s="4">
        <v>0.6</v>
      </c>
      <c r="K73" s="4">
        <v>13.3</v>
      </c>
      <c r="L73" s="4">
        <f t="shared" si="6"/>
        <v>8</v>
      </c>
      <c r="M73" s="4">
        <f t="shared" si="7"/>
        <v>1</v>
      </c>
      <c r="N73" s="4">
        <f t="shared" si="8"/>
        <v>6.3789</v>
      </c>
      <c r="O73" s="4">
        <f t="shared" si="9"/>
        <v>0.6</v>
      </c>
      <c r="P73" s="4">
        <f t="shared" si="10"/>
        <v>13.3</v>
      </c>
    </row>
    <row r="74" ht="15.75" customHeight="1">
      <c r="A74" s="4">
        <v>1987.0</v>
      </c>
      <c r="B74" s="4">
        <v>224.0</v>
      </c>
      <c r="C74" s="4">
        <v>11.4</v>
      </c>
      <c r="D74" s="4">
        <v>14.8</v>
      </c>
      <c r="E74" s="4">
        <f t="shared" si="1"/>
        <v>1</v>
      </c>
      <c r="F74" s="4">
        <f t="shared" si="2"/>
        <v>1</v>
      </c>
      <c r="G74" s="4">
        <f t="shared" si="3"/>
        <v>20.58</v>
      </c>
      <c r="H74" s="4">
        <f t="shared" si="4"/>
        <v>20.7125</v>
      </c>
      <c r="I74" s="4">
        <f t="shared" si="5"/>
        <v>0.1325</v>
      </c>
      <c r="J74" s="4">
        <v>2.4</v>
      </c>
      <c r="K74" s="4">
        <v>12.4</v>
      </c>
      <c r="L74" s="4">
        <f t="shared" si="6"/>
        <v>8</v>
      </c>
      <c r="M74" s="4">
        <f t="shared" si="7"/>
        <v>0</v>
      </c>
      <c r="N74" s="4">
        <f t="shared" si="8"/>
        <v>-4.5919</v>
      </c>
      <c r="O74" s="4">
        <f t="shared" si="9"/>
        <v>2.4</v>
      </c>
      <c r="P74" s="4">
        <f t="shared" si="10"/>
        <v>12.4</v>
      </c>
    </row>
    <row r="75" ht="15.75" customHeight="1">
      <c r="A75" s="4">
        <v>1987.0</v>
      </c>
      <c r="B75" s="4">
        <v>225.0</v>
      </c>
      <c r="C75" s="4">
        <v>9.4</v>
      </c>
      <c r="D75" s="4">
        <v>15.9</v>
      </c>
      <c r="E75" s="4">
        <f t="shared" si="1"/>
        <v>0</v>
      </c>
      <c r="F75" s="4">
        <f t="shared" si="2"/>
        <v>0</v>
      </c>
      <c r="G75" s="4">
        <f t="shared" si="3"/>
        <v>20.263</v>
      </c>
      <c r="H75" s="4">
        <f t="shared" si="4"/>
        <v>19.574</v>
      </c>
      <c r="I75" s="4" t="str">
        <f t="shared" si="5"/>
        <v> </v>
      </c>
      <c r="K75" s="4">
        <v>12.1</v>
      </c>
      <c r="L75" s="4">
        <f t="shared" si="6"/>
        <v>3</v>
      </c>
      <c r="M75" s="4">
        <f t="shared" si="7"/>
        <v>0</v>
      </c>
      <c r="N75" s="4">
        <f t="shared" si="8"/>
        <v>-6.7088</v>
      </c>
      <c r="O75" s="4" t="str">
        <f t="shared" si="9"/>
        <v/>
      </c>
      <c r="P75" s="4">
        <f t="shared" si="10"/>
        <v>12.1</v>
      </c>
    </row>
    <row r="76" ht="15.75" customHeight="1">
      <c r="A76" s="4">
        <v>1987.0</v>
      </c>
      <c r="B76" s="4">
        <v>226.0</v>
      </c>
      <c r="C76" s="4">
        <v>5.7</v>
      </c>
      <c r="D76" s="4">
        <v>20.0</v>
      </c>
      <c r="E76" s="4">
        <f t="shared" si="1"/>
        <v>0</v>
      </c>
      <c r="F76" s="4">
        <f t="shared" si="2"/>
        <v>0</v>
      </c>
      <c r="G76" s="4">
        <f t="shared" si="3"/>
        <v>19.873</v>
      </c>
      <c r="H76" s="4">
        <f t="shared" si="4"/>
        <v>17.786</v>
      </c>
      <c r="I76" s="4" t="str">
        <f t="shared" si="5"/>
        <v> </v>
      </c>
      <c r="K76" s="4">
        <v>13.4</v>
      </c>
      <c r="L76" s="4">
        <f t="shared" si="6"/>
        <v>3</v>
      </c>
      <c r="M76" s="4">
        <f t="shared" si="7"/>
        <v>0</v>
      </c>
      <c r="N76" s="4">
        <f t="shared" si="8"/>
        <v>-3.637</v>
      </c>
      <c r="O76" s="4" t="str">
        <f t="shared" si="9"/>
        <v/>
      </c>
      <c r="P76" s="4">
        <f t="shared" si="10"/>
        <v>13.4</v>
      </c>
    </row>
    <row r="77" ht="15.75" customHeight="1">
      <c r="A77" s="4">
        <v>1987.0</v>
      </c>
      <c r="B77" s="4">
        <v>227.0</v>
      </c>
      <c r="C77" s="4">
        <v>8.9</v>
      </c>
      <c r="D77" s="4">
        <v>21.5</v>
      </c>
      <c r="E77" s="4">
        <f t="shared" si="1"/>
        <v>0</v>
      </c>
      <c r="F77" s="4">
        <f t="shared" si="2"/>
        <v>0</v>
      </c>
      <c r="G77" s="4">
        <f t="shared" si="3"/>
        <v>17.697</v>
      </c>
      <c r="H77" s="4">
        <f t="shared" si="4"/>
        <v>17.025</v>
      </c>
      <c r="I77" s="4" t="str">
        <f t="shared" si="5"/>
        <v> </v>
      </c>
      <c r="K77" s="4">
        <v>15.1</v>
      </c>
      <c r="L77" s="4">
        <f t="shared" si="6"/>
        <v>3</v>
      </c>
      <c r="M77" s="4">
        <f t="shared" si="7"/>
        <v>1</v>
      </c>
      <c r="N77" s="4">
        <f t="shared" si="8"/>
        <v>7.3445</v>
      </c>
      <c r="O77" s="4" t="str">
        <f t="shared" si="9"/>
        <v/>
      </c>
      <c r="P77" s="4">
        <f t="shared" si="10"/>
        <v>15.1</v>
      </c>
    </row>
    <row r="78" ht="15.75" customHeight="1">
      <c r="A78" s="4">
        <v>1987.0</v>
      </c>
      <c r="B78" s="4">
        <v>228.0</v>
      </c>
      <c r="C78" s="4">
        <v>9.2</v>
      </c>
      <c r="D78" s="4">
        <v>21.0</v>
      </c>
      <c r="E78" s="4">
        <f t="shared" si="1"/>
        <v>1</v>
      </c>
      <c r="F78" s="4">
        <f t="shared" si="2"/>
        <v>1</v>
      </c>
      <c r="G78" s="4">
        <f t="shared" si="3"/>
        <v>16.129</v>
      </c>
      <c r="H78" s="4">
        <f t="shared" si="4"/>
        <v>18.791</v>
      </c>
      <c r="I78" s="4">
        <f t="shared" si="5"/>
        <v>2.662</v>
      </c>
      <c r="J78" s="4">
        <v>1.3</v>
      </c>
      <c r="K78" s="4">
        <v>15.1</v>
      </c>
      <c r="L78" s="4">
        <f t="shared" si="6"/>
        <v>8</v>
      </c>
      <c r="M78" s="4">
        <f t="shared" si="7"/>
        <v>1</v>
      </c>
      <c r="N78" s="4">
        <f t="shared" si="8"/>
        <v>4.0142</v>
      </c>
      <c r="O78" s="4">
        <f t="shared" si="9"/>
        <v>1.3</v>
      </c>
      <c r="P78" s="4">
        <f t="shared" si="10"/>
        <v>15.1</v>
      </c>
    </row>
    <row r="79" ht="15.75" customHeight="1">
      <c r="A79" s="4">
        <v>1987.0</v>
      </c>
      <c r="B79" s="4">
        <v>229.0</v>
      </c>
      <c r="C79" s="4">
        <v>12.0</v>
      </c>
      <c r="D79" s="4">
        <v>19.1</v>
      </c>
      <c r="E79" s="4">
        <f t="shared" si="1"/>
        <v>1</v>
      </c>
      <c r="F79" s="4">
        <f t="shared" si="2"/>
        <v>0</v>
      </c>
      <c r="G79" s="4">
        <f t="shared" si="3"/>
        <v>18.6</v>
      </c>
      <c r="H79" s="4">
        <f t="shared" si="4"/>
        <v>16.7665</v>
      </c>
      <c r="I79" s="4" t="str">
        <f t="shared" si="5"/>
        <v> </v>
      </c>
      <c r="J79" s="4">
        <v>3.7</v>
      </c>
      <c r="K79" s="4">
        <v>14.7</v>
      </c>
      <c r="L79" s="4">
        <f t="shared" si="6"/>
        <v>8</v>
      </c>
      <c r="M79" s="4">
        <f t="shared" si="7"/>
        <v>0</v>
      </c>
      <c r="N79" s="4">
        <f t="shared" si="8"/>
        <v>-4.1547</v>
      </c>
      <c r="O79" s="4">
        <f t="shared" si="9"/>
        <v>3.7</v>
      </c>
      <c r="P79" s="4">
        <f t="shared" si="10"/>
        <v>14.7</v>
      </c>
    </row>
    <row r="80" ht="15.75" customHeight="1">
      <c r="A80" s="4">
        <v>1987.0</v>
      </c>
      <c r="B80" s="4">
        <v>230.0</v>
      </c>
      <c r="C80" s="4">
        <v>7.4</v>
      </c>
      <c r="D80" s="4">
        <v>14.3</v>
      </c>
      <c r="E80" s="4">
        <f t="shared" si="1"/>
        <v>0</v>
      </c>
      <c r="F80" s="4">
        <f t="shared" si="2"/>
        <v>0</v>
      </c>
      <c r="G80" s="4">
        <f t="shared" si="3"/>
        <v>11.91</v>
      </c>
      <c r="H80" s="4">
        <f t="shared" si="4"/>
        <v>9.0685</v>
      </c>
      <c r="I80" s="4" t="str">
        <f t="shared" si="5"/>
        <v> </v>
      </c>
      <c r="K80" s="4">
        <v>11.4</v>
      </c>
      <c r="L80" s="4">
        <f t="shared" si="6"/>
        <v>3</v>
      </c>
      <c r="M80" s="4">
        <f t="shared" si="7"/>
        <v>1</v>
      </c>
      <c r="N80" s="4">
        <f t="shared" si="8"/>
        <v>1.8911</v>
      </c>
      <c r="O80" s="4" t="str">
        <f t="shared" si="9"/>
        <v/>
      </c>
      <c r="P80" s="4">
        <f t="shared" si="10"/>
        <v>11.4</v>
      </c>
    </row>
    <row r="81" ht="15.75" customHeight="1">
      <c r="A81" s="4">
        <v>1987.0</v>
      </c>
      <c r="B81" s="4">
        <v>231.0</v>
      </c>
      <c r="C81" s="4">
        <v>5.4</v>
      </c>
      <c r="D81" s="4">
        <v>12.4</v>
      </c>
      <c r="E81" s="4">
        <f t="shared" si="1"/>
        <v>0</v>
      </c>
      <c r="F81" s="4">
        <f t="shared" si="2"/>
        <v>0</v>
      </c>
      <c r="G81" s="4">
        <f t="shared" si="3"/>
        <v>14.403</v>
      </c>
      <c r="H81" s="4">
        <f t="shared" si="4"/>
        <v>13.23</v>
      </c>
      <c r="I81" s="4" t="str">
        <f t="shared" si="5"/>
        <v> </v>
      </c>
      <c r="K81" s="4">
        <v>9.45</v>
      </c>
      <c r="L81" s="4">
        <f t="shared" si="6"/>
        <v>3</v>
      </c>
      <c r="M81" s="4">
        <f t="shared" si="7"/>
        <v>1</v>
      </c>
      <c r="N81" s="4">
        <f t="shared" si="8"/>
        <v>4.3024</v>
      </c>
      <c r="O81" s="4">
        <f t="shared" si="9"/>
        <v>0</v>
      </c>
      <c r="P81" s="4">
        <f t="shared" si="10"/>
        <v>0</v>
      </c>
    </row>
    <row r="82" ht="15.75" customHeight="1">
      <c r="A82" s="4">
        <v>1987.0</v>
      </c>
      <c r="B82" s="4">
        <v>232.0</v>
      </c>
      <c r="C82" s="4">
        <v>10.7</v>
      </c>
      <c r="D82" s="4">
        <v>12.5</v>
      </c>
      <c r="E82" s="4">
        <f t="shared" si="1"/>
        <v>1</v>
      </c>
      <c r="F82" s="4">
        <f t="shared" si="2"/>
        <v>0</v>
      </c>
      <c r="G82" s="4">
        <f t="shared" si="3"/>
        <v>22.71</v>
      </c>
      <c r="H82" s="4">
        <f t="shared" si="4"/>
        <v>21.77</v>
      </c>
      <c r="I82" s="4" t="str">
        <f t="shared" si="5"/>
        <v> </v>
      </c>
      <c r="J82" s="4">
        <v>0.5</v>
      </c>
      <c r="K82" s="4">
        <v>11.4</v>
      </c>
      <c r="L82" s="4">
        <f t="shared" si="6"/>
        <v>8</v>
      </c>
      <c r="M82" s="4">
        <f t="shared" si="7"/>
        <v>0</v>
      </c>
      <c r="N82" s="4">
        <f t="shared" si="8"/>
        <v>-4.7588</v>
      </c>
      <c r="O82" s="4">
        <f t="shared" si="9"/>
        <v>0.5</v>
      </c>
      <c r="P82" s="4">
        <f t="shared" si="10"/>
        <v>11.4</v>
      </c>
    </row>
    <row r="83" ht="15.75" customHeight="1">
      <c r="A83" s="4">
        <v>1987.0</v>
      </c>
      <c r="B83" s="4">
        <v>233.0</v>
      </c>
      <c r="C83" s="4">
        <v>9.3</v>
      </c>
      <c r="D83" s="4">
        <v>20.0</v>
      </c>
      <c r="E83" s="4">
        <f t="shared" si="1"/>
        <v>0</v>
      </c>
      <c r="F83" s="4">
        <f t="shared" si="2"/>
        <v>0</v>
      </c>
      <c r="G83" s="4">
        <f t="shared" si="3"/>
        <v>20.563</v>
      </c>
      <c r="H83" s="4">
        <f t="shared" si="4"/>
        <v>16.6295</v>
      </c>
      <c r="I83" s="4" t="str">
        <f t="shared" si="5"/>
        <v> </v>
      </c>
      <c r="K83" s="4">
        <v>13.8</v>
      </c>
      <c r="L83" s="4">
        <f t="shared" si="6"/>
        <v>3</v>
      </c>
      <c r="M83" s="4">
        <f t="shared" si="7"/>
        <v>0</v>
      </c>
      <c r="N83" s="4">
        <f t="shared" si="8"/>
        <v>-9.5045</v>
      </c>
      <c r="O83" s="4" t="str">
        <f t="shared" si="9"/>
        <v/>
      </c>
      <c r="P83" s="4">
        <f t="shared" si="10"/>
        <v>13.8</v>
      </c>
    </row>
    <row r="84" ht="15.75" customHeight="1">
      <c r="A84" s="4">
        <v>1987.0</v>
      </c>
      <c r="B84" s="4">
        <v>234.0</v>
      </c>
      <c r="C84" s="4">
        <v>6.0</v>
      </c>
      <c r="D84" s="4">
        <v>20.7</v>
      </c>
      <c r="E84" s="4">
        <f t="shared" si="1"/>
        <v>0</v>
      </c>
      <c r="F84" s="4">
        <f t="shared" si="2"/>
        <v>0</v>
      </c>
      <c r="G84" s="4">
        <f t="shared" si="3"/>
        <v>19.195</v>
      </c>
      <c r="H84" s="4">
        <f t="shared" si="4"/>
        <v>15.3835</v>
      </c>
      <c r="I84" s="4" t="str">
        <f t="shared" si="5"/>
        <v> </v>
      </c>
      <c r="K84" s="4">
        <v>13.9</v>
      </c>
      <c r="L84" s="4">
        <f t="shared" si="6"/>
        <v>3</v>
      </c>
      <c r="M84" s="4">
        <f t="shared" si="7"/>
        <v>0</v>
      </c>
      <c r="N84" s="4">
        <f t="shared" si="8"/>
        <v>-6.9885</v>
      </c>
      <c r="O84" s="4" t="str">
        <f t="shared" si="9"/>
        <v/>
      </c>
      <c r="P84" s="4">
        <f t="shared" si="10"/>
        <v>13.9</v>
      </c>
    </row>
    <row r="85" ht="15.75" customHeight="1">
      <c r="A85" s="4">
        <v>1987.0</v>
      </c>
      <c r="B85" s="4">
        <v>235.0</v>
      </c>
      <c r="C85" s="4">
        <v>6.4</v>
      </c>
      <c r="D85" s="4">
        <v>22.8</v>
      </c>
      <c r="E85" s="4">
        <f t="shared" si="1"/>
        <v>0</v>
      </c>
      <c r="F85" s="4">
        <f t="shared" si="2"/>
        <v>0</v>
      </c>
      <c r="G85" s="4">
        <f t="shared" si="3"/>
        <v>25.52</v>
      </c>
      <c r="H85" s="4">
        <f t="shared" si="4"/>
        <v>22.171</v>
      </c>
      <c r="I85" s="4" t="str">
        <f t="shared" si="5"/>
        <v> </v>
      </c>
      <c r="K85" s="4">
        <v>15.5</v>
      </c>
      <c r="L85" s="4">
        <f t="shared" si="6"/>
        <v>3</v>
      </c>
      <c r="M85" s="4">
        <f t="shared" si="7"/>
        <v>0</v>
      </c>
      <c r="N85" s="4">
        <f t="shared" si="8"/>
        <v>-7.4605</v>
      </c>
      <c r="O85" s="4" t="str">
        <f t="shared" si="9"/>
        <v/>
      </c>
      <c r="P85" s="4">
        <f t="shared" si="10"/>
        <v>15.5</v>
      </c>
    </row>
    <row r="86" ht="15.75" customHeight="1">
      <c r="A86" s="4">
        <v>1987.0</v>
      </c>
      <c r="B86" s="4">
        <v>236.0</v>
      </c>
      <c r="C86" s="4">
        <v>11.7</v>
      </c>
      <c r="D86" s="4">
        <v>24.3</v>
      </c>
      <c r="E86" s="4">
        <f t="shared" si="1"/>
        <v>0</v>
      </c>
      <c r="F86" s="4">
        <f t="shared" si="2"/>
        <v>0</v>
      </c>
      <c r="G86" s="4">
        <f t="shared" si="3"/>
        <v>25.948</v>
      </c>
      <c r="H86" s="4">
        <f t="shared" si="4"/>
        <v>23.703</v>
      </c>
      <c r="I86" s="4" t="str">
        <f t="shared" si="5"/>
        <v> </v>
      </c>
      <c r="K86" s="4">
        <v>18.0</v>
      </c>
      <c r="L86" s="4">
        <f t="shared" si="6"/>
        <v>3</v>
      </c>
      <c r="M86" s="4">
        <f t="shared" si="7"/>
        <v>0</v>
      </c>
      <c r="N86" s="4">
        <f t="shared" si="8"/>
        <v>-7.9551</v>
      </c>
      <c r="O86" s="4" t="str">
        <f t="shared" si="9"/>
        <v/>
      </c>
      <c r="P86" s="4">
        <f t="shared" si="10"/>
        <v>18</v>
      </c>
    </row>
    <row r="87" ht="15.75" customHeight="1">
      <c r="A87" s="4">
        <v>1987.0</v>
      </c>
      <c r="B87" s="4">
        <v>237.0</v>
      </c>
      <c r="C87" s="4">
        <v>11.9</v>
      </c>
      <c r="D87" s="4">
        <v>15.5</v>
      </c>
      <c r="E87" s="4">
        <f t="shared" si="1"/>
        <v>0</v>
      </c>
      <c r="F87" s="4">
        <f t="shared" si="2"/>
        <v>1</v>
      </c>
      <c r="G87" s="4">
        <f t="shared" si="3"/>
        <v>22.36</v>
      </c>
      <c r="H87" s="4">
        <f t="shared" si="4"/>
        <v>22.618</v>
      </c>
      <c r="I87" s="4">
        <f t="shared" si="5"/>
        <v>0.258</v>
      </c>
      <c r="K87" s="4">
        <v>13.5</v>
      </c>
      <c r="L87" s="4">
        <f t="shared" si="6"/>
        <v>3</v>
      </c>
      <c r="M87" s="4">
        <f t="shared" si="7"/>
        <v>0</v>
      </c>
      <c r="N87" s="4">
        <f t="shared" si="8"/>
        <v>-1.9387</v>
      </c>
      <c r="O87" s="4" t="str">
        <f t="shared" si="9"/>
        <v/>
      </c>
      <c r="P87" s="4">
        <f t="shared" si="10"/>
        <v>13.5</v>
      </c>
    </row>
    <row r="88" ht="15.75" customHeight="1">
      <c r="A88" s="4">
        <v>1987.0</v>
      </c>
      <c r="B88" s="4">
        <v>238.0</v>
      </c>
      <c r="C88" s="4">
        <v>9.2</v>
      </c>
      <c r="D88" s="4">
        <v>16.7</v>
      </c>
      <c r="E88" s="4">
        <f t="shared" si="1"/>
        <v>0</v>
      </c>
      <c r="K88" s="4">
        <v>13.0</v>
      </c>
      <c r="L88" s="4">
        <f t="shared" si="6"/>
        <v>3</v>
      </c>
      <c r="O88" s="4" t="str">
        <f t="shared" si="9"/>
        <v/>
      </c>
      <c r="P88" s="4">
        <f t="shared" si="10"/>
        <v>13</v>
      </c>
    </row>
    <row r="89" ht="15.75" customHeight="1">
      <c r="A89" s="4">
        <v>1987.0</v>
      </c>
      <c r="B89" s="4">
        <v>239.0</v>
      </c>
      <c r="C89" s="4">
        <v>10.0</v>
      </c>
      <c r="D89" s="4">
        <v>26.6</v>
      </c>
      <c r="E89" s="4">
        <f t="shared" si="1"/>
        <v>1</v>
      </c>
      <c r="J89" s="4">
        <v>2.3</v>
      </c>
      <c r="K89" s="4">
        <v>18.3</v>
      </c>
      <c r="L89" s="4">
        <f t="shared" si="6"/>
        <v>8</v>
      </c>
      <c r="O89" s="4">
        <f t="shared" si="9"/>
        <v>2.3</v>
      </c>
      <c r="P89" s="4">
        <f t="shared" si="10"/>
        <v>18.3</v>
      </c>
    </row>
    <row r="90" ht="15.75" customHeight="1">
      <c r="A90" s="4">
        <v>1987.0</v>
      </c>
      <c r="B90" s="4">
        <v>240.0</v>
      </c>
      <c r="C90" s="4">
        <v>14.4</v>
      </c>
      <c r="D90" s="4">
        <v>21.0</v>
      </c>
      <c r="E90" s="4">
        <f t="shared" si="1"/>
        <v>1</v>
      </c>
      <c r="J90" s="4">
        <v>5.0</v>
      </c>
      <c r="K90" s="4">
        <v>17.3</v>
      </c>
      <c r="L90" s="4">
        <f t="shared" si="6"/>
        <v>8</v>
      </c>
      <c r="O90" s="4">
        <f t="shared" si="9"/>
        <v>5</v>
      </c>
      <c r="P90" s="4">
        <f t="shared" si="10"/>
        <v>17.3</v>
      </c>
    </row>
    <row r="91" ht="15.75" customHeight="1">
      <c r="A91" s="4">
        <v>1987.0</v>
      </c>
      <c r="B91" s="4">
        <v>241.0</v>
      </c>
      <c r="C91" s="4">
        <v>12.0</v>
      </c>
      <c r="D91" s="4">
        <v>17.8</v>
      </c>
      <c r="E91" s="4">
        <f t="shared" si="1"/>
        <v>1</v>
      </c>
      <c r="J91" s="4">
        <v>13.5</v>
      </c>
      <c r="K91" s="4">
        <v>14.7</v>
      </c>
      <c r="L91" s="4">
        <f t="shared" si="6"/>
        <v>8</v>
      </c>
      <c r="O91" s="4">
        <f t="shared" si="9"/>
        <v>13.5</v>
      </c>
      <c r="P91" s="4">
        <f t="shared" si="10"/>
        <v>14.7</v>
      </c>
    </row>
    <row r="92" ht="15.75" customHeight="1">
      <c r="A92" s="4">
        <v>1987.0</v>
      </c>
      <c r="B92" s="4">
        <v>242.0</v>
      </c>
      <c r="C92" s="4">
        <v>9.4</v>
      </c>
      <c r="D92" s="4">
        <v>13.0</v>
      </c>
      <c r="E92" s="4">
        <f t="shared" si="1"/>
        <v>1</v>
      </c>
      <c r="J92" s="4">
        <v>2.5</v>
      </c>
      <c r="K92" s="4">
        <v>10.9</v>
      </c>
      <c r="L92" s="4">
        <f t="shared" si="6"/>
        <v>8</v>
      </c>
      <c r="O92" s="4">
        <f t="shared" si="9"/>
        <v>2.5</v>
      </c>
      <c r="P92" s="4">
        <f t="shared" si="10"/>
        <v>10.9</v>
      </c>
    </row>
    <row r="93" ht="15.75" customHeight="1">
      <c r="A93" s="4">
        <v>1987.0</v>
      </c>
      <c r="B93" s="4">
        <v>243.0</v>
      </c>
      <c r="C93" s="4">
        <v>6.4</v>
      </c>
      <c r="D93" s="4">
        <v>13.5</v>
      </c>
      <c r="E93" s="4">
        <f t="shared" si="1"/>
        <v>1</v>
      </c>
      <c r="J93" s="4">
        <v>0.9</v>
      </c>
      <c r="K93" s="4">
        <v>9.7</v>
      </c>
      <c r="L93" s="4">
        <f t="shared" si="6"/>
        <v>8</v>
      </c>
      <c r="O93" s="4">
        <f t="shared" si="9"/>
        <v>0</v>
      </c>
      <c r="P93" s="4">
        <f t="shared" si="10"/>
        <v>0</v>
      </c>
    </row>
    <row r="94" ht="15.75" customHeight="1"/>
    <row r="95" ht="15.75" customHeight="1"/>
    <row r="96" ht="15.75" customHeight="1">
      <c r="O96" s="4">
        <f>SUM(O2:O93)</f>
        <v>237.9</v>
      </c>
      <c r="P96" s="4">
        <f>SUMIF(P2:P93,"&gt;0")/10</f>
        <v>144.09</v>
      </c>
    </row>
    <row r="97" ht="15.75" customHeight="1"/>
    <row r="98" ht="15.75" customHeight="1">
      <c r="I98" s="4">
        <f>SUM(I2:I87)</f>
        <v>37.512</v>
      </c>
      <c r="O98" s="4" t="s">
        <v>15</v>
      </c>
      <c r="P98" s="4">
        <f>O96/P96</f>
        <v>1.651051426</v>
      </c>
    </row>
    <row r="99" ht="15.75" customHeight="1">
      <c r="I99" s="4">
        <f>SUM(I2:I31)</f>
        <v>18.459</v>
      </c>
      <c r="O99" s="4" t="s">
        <v>16</v>
      </c>
      <c r="P99" s="4">
        <f>SUM(O2:O31)/(SUM(P2:P31)/10)</f>
        <v>2.620164127</v>
      </c>
    </row>
    <row r="100" ht="15.75" customHeight="1">
      <c r="I100" s="4">
        <f>SUM(I32:I62)</f>
        <v>15.865</v>
      </c>
      <c r="O100" s="4" t="s">
        <v>17</v>
      </c>
      <c r="P100" s="4">
        <f>SUM(O33:O62)/(SUM(P33:P62)/10)</f>
        <v>1.141609482</v>
      </c>
    </row>
    <row r="101" ht="15.75" customHeight="1">
      <c r="I101" s="4">
        <f>SUM(I63:I93)</f>
        <v>3.188</v>
      </c>
      <c r="O101" s="4" t="s">
        <v>18</v>
      </c>
      <c r="P101" s="4">
        <f>SUM(O63:O93)/(SUM(P63:P93)/10)</f>
        <v>1.13037448</v>
      </c>
    </row>
    <row r="102" ht="15.75" customHeight="1">
      <c r="I102" s="4">
        <f>SUMIF(I2:I87,"&gt;0")</f>
        <v>37.512</v>
      </c>
    </row>
    <row r="103" ht="15.75" customHeight="1">
      <c r="I103" s="4">
        <f>SUMIF(I2:I31,"&gt;0")</f>
        <v>18.459</v>
      </c>
    </row>
    <row r="104" ht="15.75" customHeight="1">
      <c r="I104" s="4">
        <f>SUMIF(I32:I62,"&gt;0")</f>
        <v>15.865</v>
      </c>
      <c r="P104" s="4">
        <f>SUM(O16:O35)/(SUM(P16:P35)/10)</f>
        <v>3.801220575</v>
      </c>
    </row>
    <row r="105" ht="15.75" customHeight="1">
      <c r="I105" s="4">
        <f>SUMIF(I63:I87,"&gt;0")</f>
        <v>3.188</v>
      </c>
      <c r="P105" s="4">
        <f>SUM(O36:O55)/(SUM(P36:P55)/10)</f>
        <v>1.360831439</v>
      </c>
    </row>
    <row r="106" ht="15.75" customHeight="1">
      <c r="P106" s="4">
        <f>SUM(O56:O77)/(SUM(P56:P77)/10)</f>
        <v>0.941410694</v>
      </c>
    </row>
    <row r="107" ht="15.75" customHeight="1">
      <c r="P107" s="4">
        <f>SUM(O16:O77)/(SUM(P16:P77)/10)</f>
        <v>2.050617776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1" t="s">
        <v>8</v>
      </c>
      <c r="K1" s="1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1991.0</v>
      </c>
      <c r="B2" s="4">
        <v>152.0</v>
      </c>
      <c r="C2" s="5">
        <v>8.6</v>
      </c>
      <c r="D2" s="5">
        <v>15.1</v>
      </c>
      <c r="E2" s="4">
        <f t="shared" ref="E2:E93" si="1">IF(J2&gt;0,1,0)</f>
        <v>1</v>
      </c>
      <c r="F2" s="4">
        <f t="shared" ref="F2:F87" si="2">IF(H2&gt;G2,1,0)</f>
        <v>1</v>
      </c>
      <c r="G2" s="4">
        <f t="shared" ref="G2:G87" si="3"> 0.75 * D2 + 0.41 * D3 + 0.41 * D4 + 0.27 * D5 + 0.74 *D6 + 0.3 *C2 - 0.07 * C3 - 0.16 * C4 + 0.06 * C5 + 0.01 * C6 + 2.88 * E2 + 1.98 * E3 + 1.98 * E4 + 1.79 * E5 + 0.53 * E6-32.47</f>
        <v>22.122</v>
      </c>
      <c r="H2" s="4">
        <f t="shared" ref="H2:H87" si="4">0.63 * D2 + 0.37 * D3 + 0.49 * D4 + 0.22 * D5 + 0.65 * D6 + 0.24 *C2 - 0.06 * C3- 0.15 * C4 - 0.135 * C5 + 0.15 * C6 + 4.88 * E2 + 3.55 * E3 + 3.34 *E4 + 2.5 * E5 + 2.29 *E6-31.34</f>
        <v>24.1785</v>
      </c>
      <c r="I2" s="4">
        <f t="shared" ref="I2:I87" si="5">IF((H2-G2)&gt;0,H2-G2," ")</f>
        <v>2.0565</v>
      </c>
      <c r="J2" s="5">
        <v>19.5</v>
      </c>
      <c r="K2" s="5">
        <v>12.1</v>
      </c>
      <c r="L2" s="4">
        <f t="shared" ref="L2:L93" si="6">IF(E2&gt;0,8,3)</f>
        <v>8</v>
      </c>
      <c r="M2" s="4">
        <f t="shared" ref="M2:M87" si="7">IF(N2&gt;=0,1,0)</f>
        <v>0</v>
      </c>
      <c r="N2" s="4">
        <f t="shared" ref="N2:N87" si="8">-0.216*D2-0.191*D3-0.119*D4+0.004*C2-0.171*C3+0.628*C4-0.479*L2+0.513*L3+0.046*L4+5.947*E2+6.699*E3+4.328*E4-1.788</f>
        <v>-2.3025</v>
      </c>
      <c r="O2" s="4">
        <f t="shared" ref="O2:O93" si="9">IF(K2&gt;10,J2,0)</f>
        <v>19.5</v>
      </c>
      <c r="P2" s="4">
        <f t="shared" ref="P2:P93" si="10">IF(K2&gt;10,K2,0)</f>
        <v>12.1</v>
      </c>
    </row>
    <row r="3">
      <c r="A3" s="4">
        <v>1991.0</v>
      </c>
      <c r="B3" s="4">
        <v>153.0</v>
      </c>
      <c r="C3" s="5">
        <v>11.2</v>
      </c>
      <c r="D3" s="5">
        <v>20.3</v>
      </c>
      <c r="E3" s="4">
        <f t="shared" si="1"/>
        <v>0</v>
      </c>
      <c r="F3" s="4">
        <f t="shared" si="2"/>
        <v>0</v>
      </c>
      <c r="G3" s="4">
        <f t="shared" si="3"/>
        <v>26.506</v>
      </c>
      <c r="H3" s="4">
        <f t="shared" si="4"/>
        <v>26.2115</v>
      </c>
      <c r="I3" s="4" t="str">
        <f t="shared" si="5"/>
        <v> </v>
      </c>
      <c r="J3" s="5"/>
      <c r="K3" s="5">
        <v>15.5</v>
      </c>
      <c r="L3" s="4">
        <f t="shared" si="6"/>
        <v>3</v>
      </c>
      <c r="M3" s="4">
        <f t="shared" si="7"/>
        <v>0</v>
      </c>
      <c r="N3" s="4">
        <f t="shared" si="8"/>
        <v>-0.198</v>
      </c>
      <c r="O3" s="4" t="str">
        <f t="shared" si="9"/>
        <v/>
      </c>
      <c r="P3" s="4">
        <f t="shared" si="10"/>
        <v>15.5</v>
      </c>
    </row>
    <row r="4">
      <c r="A4" s="4">
        <v>1991.0</v>
      </c>
      <c r="B4" s="4">
        <v>154.0</v>
      </c>
      <c r="C4" s="5">
        <v>2.9</v>
      </c>
      <c r="D4" s="5">
        <v>14.0</v>
      </c>
      <c r="E4" s="4">
        <f t="shared" si="1"/>
        <v>1</v>
      </c>
      <c r="F4" s="4">
        <f t="shared" si="2"/>
        <v>1</v>
      </c>
      <c r="G4" s="4">
        <f t="shared" si="3"/>
        <v>18.91</v>
      </c>
      <c r="H4" s="4">
        <f t="shared" si="4"/>
        <v>19.7725</v>
      </c>
      <c r="I4" s="4">
        <f t="shared" si="5"/>
        <v>0.8625</v>
      </c>
      <c r="J4" s="5">
        <v>0.2</v>
      </c>
      <c r="K4" s="5">
        <v>10.0</v>
      </c>
      <c r="L4" s="4">
        <f t="shared" si="6"/>
        <v>8</v>
      </c>
      <c r="M4" s="4">
        <f t="shared" si="7"/>
        <v>1</v>
      </c>
      <c r="N4" s="4">
        <f t="shared" si="8"/>
        <v>2.436</v>
      </c>
      <c r="O4" s="4">
        <f t="shared" si="9"/>
        <v>0</v>
      </c>
      <c r="P4" s="4">
        <f t="shared" si="10"/>
        <v>0</v>
      </c>
    </row>
    <row r="5">
      <c r="A5" s="4">
        <v>1991.0</v>
      </c>
      <c r="B5" s="4">
        <v>155.0</v>
      </c>
      <c r="C5" s="5">
        <v>2.9</v>
      </c>
      <c r="D5" s="5">
        <v>18.7</v>
      </c>
      <c r="E5" s="4">
        <f t="shared" si="1"/>
        <v>0</v>
      </c>
      <c r="F5" s="4">
        <f t="shared" si="2"/>
        <v>0</v>
      </c>
      <c r="G5" s="4">
        <f t="shared" si="3"/>
        <v>20.234</v>
      </c>
      <c r="H5" s="4">
        <f t="shared" si="4"/>
        <v>19.95</v>
      </c>
      <c r="I5" s="4" t="str">
        <f t="shared" si="5"/>
        <v> </v>
      </c>
      <c r="J5" s="5"/>
      <c r="K5" s="5">
        <v>13.5</v>
      </c>
      <c r="L5" s="4">
        <f t="shared" si="6"/>
        <v>3</v>
      </c>
      <c r="M5" s="4">
        <f t="shared" si="7"/>
        <v>1</v>
      </c>
      <c r="N5" s="4">
        <f t="shared" si="8"/>
        <v>6.7137</v>
      </c>
      <c r="O5" s="4" t="str">
        <f t="shared" si="9"/>
        <v/>
      </c>
      <c r="P5" s="4">
        <f t="shared" si="10"/>
        <v>13.5</v>
      </c>
    </row>
    <row r="6">
      <c r="A6" s="4">
        <v>1991.0</v>
      </c>
      <c r="B6" s="4">
        <v>156.0</v>
      </c>
      <c r="C6" s="5">
        <v>9.1</v>
      </c>
      <c r="D6" s="5">
        <v>23.2</v>
      </c>
      <c r="E6" s="4">
        <f t="shared" si="1"/>
        <v>1</v>
      </c>
      <c r="F6" s="4">
        <f t="shared" si="2"/>
        <v>0</v>
      </c>
      <c r="G6" s="4">
        <f t="shared" si="3"/>
        <v>26.813</v>
      </c>
      <c r="H6" s="4">
        <f t="shared" si="4"/>
        <v>25.622</v>
      </c>
      <c r="I6" s="4" t="str">
        <f t="shared" si="5"/>
        <v> </v>
      </c>
      <c r="J6" s="5">
        <v>32.4</v>
      </c>
      <c r="K6" s="5">
        <v>16.8</v>
      </c>
      <c r="L6" s="4">
        <f t="shared" si="6"/>
        <v>8</v>
      </c>
      <c r="M6" s="4">
        <f t="shared" si="7"/>
        <v>1</v>
      </c>
      <c r="N6" s="4">
        <f t="shared" si="8"/>
        <v>2.6061</v>
      </c>
      <c r="O6" s="4">
        <f t="shared" si="9"/>
        <v>32.4</v>
      </c>
      <c r="P6" s="4">
        <f t="shared" si="10"/>
        <v>16.8</v>
      </c>
    </row>
    <row r="7">
      <c r="A7" s="4">
        <v>1991.0</v>
      </c>
      <c r="B7" s="4">
        <v>157.0</v>
      </c>
      <c r="C7" s="5">
        <v>11.3</v>
      </c>
      <c r="D7" s="5">
        <v>22.2</v>
      </c>
      <c r="E7" s="4">
        <f t="shared" si="1"/>
        <v>1</v>
      </c>
      <c r="F7" s="4">
        <f t="shared" si="2"/>
        <v>0</v>
      </c>
      <c r="G7" s="4">
        <f t="shared" si="3"/>
        <v>26.793</v>
      </c>
      <c r="H7" s="4">
        <f t="shared" si="4"/>
        <v>26.676</v>
      </c>
      <c r="I7" s="4" t="str">
        <f t="shared" si="5"/>
        <v> </v>
      </c>
      <c r="J7" s="5">
        <v>8.5</v>
      </c>
      <c r="K7" s="5">
        <v>16.0</v>
      </c>
      <c r="L7" s="4">
        <f t="shared" si="6"/>
        <v>8</v>
      </c>
      <c r="M7" s="4">
        <f t="shared" si="7"/>
        <v>0</v>
      </c>
      <c r="N7" s="4">
        <f t="shared" si="8"/>
        <v>-5.752</v>
      </c>
      <c r="O7" s="4">
        <f t="shared" si="9"/>
        <v>8.5</v>
      </c>
      <c r="P7" s="4">
        <f t="shared" si="10"/>
        <v>16</v>
      </c>
    </row>
    <row r="8">
      <c r="A8" s="4">
        <v>1991.0</v>
      </c>
      <c r="B8" s="4">
        <v>158.0</v>
      </c>
      <c r="C8" s="5">
        <v>6.8</v>
      </c>
      <c r="D8" s="5">
        <v>15.0</v>
      </c>
      <c r="E8" s="4">
        <f t="shared" si="1"/>
        <v>0</v>
      </c>
      <c r="F8" s="4">
        <f t="shared" si="2"/>
        <v>0</v>
      </c>
      <c r="G8" s="4">
        <f t="shared" si="3"/>
        <v>21.225</v>
      </c>
      <c r="H8" s="4">
        <f t="shared" si="4"/>
        <v>18.408</v>
      </c>
      <c r="I8" s="4" t="str">
        <f t="shared" si="5"/>
        <v> </v>
      </c>
      <c r="J8" s="5"/>
      <c r="K8" s="5">
        <v>11.8</v>
      </c>
      <c r="L8" s="4">
        <f t="shared" si="6"/>
        <v>3</v>
      </c>
      <c r="M8" s="4">
        <f t="shared" si="7"/>
        <v>0</v>
      </c>
      <c r="N8" s="4">
        <f t="shared" si="8"/>
        <v>-8.2847</v>
      </c>
      <c r="O8" s="4" t="str">
        <f t="shared" si="9"/>
        <v/>
      </c>
      <c r="P8" s="4">
        <f t="shared" si="10"/>
        <v>11.8</v>
      </c>
    </row>
    <row r="9">
      <c r="A9" s="4">
        <v>1991.0</v>
      </c>
      <c r="B9" s="4">
        <v>159.0</v>
      </c>
      <c r="C9" s="5">
        <v>5.0</v>
      </c>
      <c r="D9" s="5">
        <v>17.8</v>
      </c>
      <c r="E9" s="4">
        <f t="shared" si="1"/>
        <v>0</v>
      </c>
      <c r="F9" s="4">
        <f t="shared" si="2"/>
        <v>0</v>
      </c>
      <c r="G9" s="4">
        <f t="shared" si="3"/>
        <v>23.088</v>
      </c>
      <c r="H9" s="4">
        <f t="shared" si="4"/>
        <v>20.331</v>
      </c>
      <c r="I9" s="4" t="str">
        <f t="shared" si="5"/>
        <v> </v>
      </c>
      <c r="J9" s="5"/>
      <c r="K9" s="5">
        <v>12.8</v>
      </c>
      <c r="L9" s="4">
        <f t="shared" si="6"/>
        <v>3</v>
      </c>
      <c r="M9" s="4">
        <f t="shared" si="7"/>
        <v>0</v>
      </c>
      <c r="N9" s="4">
        <f t="shared" si="8"/>
        <v>-1.4215</v>
      </c>
      <c r="O9" s="4" t="str">
        <f t="shared" si="9"/>
        <v/>
      </c>
      <c r="P9" s="4">
        <f t="shared" si="10"/>
        <v>12.8</v>
      </c>
    </row>
    <row r="10">
      <c r="A10" s="4">
        <v>1991.0</v>
      </c>
      <c r="B10" s="4">
        <v>160.0</v>
      </c>
      <c r="C10" s="5">
        <v>5.2</v>
      </c>
      <c r="D10" s="5">
        <v>21.3</v>
      </c>
      <c r="E10" s="4">
        <f t="shared" si="1"/>
        <v>0</v>
      </c>
      <c r="F10" s="4">
        <f t="shared" si="2"/>
        <v>0</v>
      </c>
      <c r="G10" s="4">
        <f t="shared" si="3"/>
        <v>21.962</v>
      </c>
      <c r="H10" s="4">
        <f t="shared" si="4"/>
        <v>21.5935</v>
      </c>
      <c r="I10" s="4" t="str">
        <f t="shared" si="5"/>
        <v> </v>
      </c>
      <c r="J10" s="5"/>
      <c r="K10" s="5">
        <v>15.1</v>
      </c>
      <c r="L10" s="4">
        <f t="shared" si="6"/>
        <v>3</v>
      </c>
      <c r="M10" s="4">
        <f t="shared" si="7"/>
        <v>1</v>
      </c>
      <c r="N10" s="4">
        <f t="shared" si="8"/>
        <v>2.4286</v>
      </c>
      <c r="O10" s="4" t="str">
        <f t="shared" si="9"/>
        <v/>
      </c>
      <c r="P10" s="4">
        <f t="shared" si="10"/>
        <v>15.1</v>
      </c>
    </row>
    <row r="11">
      <c r="A11" s="4">
        <v>1991.0</v>
      </c>
      <c r="B11" s="4">
        <v>161.0</v>
      </c>
      <c r="C11" s="5">
        <v>11.4</v>
      </c>
      <c r="D11" s="5">
        <v>23.6</v>
      </c>
      <c r="E11" s="4">
        <f t="shared" si="1"/>
        <v>1</v>
      </c>
      <c r="F11" s="4">
        <f t="shared" si="2"/>
        <v>0</v>
      </c>
      <c r="G11" s="4">
        <f t="shared" si="3"/>
        <v>29.835</v>
      </c>
      <c r="H11" s="4">
        <f t="shared" si="4"/>
        <v>29.3635</v>
      </c>
      <c r="I11" s="4" t="str">
        <f t="shared" si="5"/>
        <v> </v>
      </c>
      <c r="J11" s="5">
        <v>10.8</v>
      </c>
      <c r="K11" s="5">
        <v>18.8</v>
      </c>
      <c r="L11" s="4">
        <f t="shared" si="6"/>
        <v>8</v>
      </c>
      <c r="M11" s="4">
        <f t="shared" si="7"/>
        <v>0</v>
      </c>
      <c r="N11" s="4">
        <f t="shared" si="8"/>
        <v>-4.8948</v>
      </c>
      <c r="O11" s="4">
        <f t="shared" si="9"/>
        <v>10.8</v>
      </c>
      <c r="P11" s="4">
        <f t="shared" si="10"/>
        <v>18.8</v>
      </c>
    </row>
    <row r="12">
      <c r="A12" s="4">
        <v>1991.0</v>
      </c>
      <c r="B12" s="4">
        <v>162.0</v>
      </c>
      <c r="C12" s="5">
        <v>13.4</v>
      </c>
      <c r="D12" s="5">
        <v>22.4</v>
      </c>
      <c r="E12" s="4">
        <f t="shared" si="1"/>
        <v>0</v>
      </c>
      <c r="F12" s="4">
        <f t="shared" si="2"/>
        <v>0</v>
      </c>
      <c r="G12" s="4">
        <f t="shared" si="3"/>
        <v>24.235</v>
      </c>
      <c r="H12" s="4">
        <f t="shared" si="4"/>
        <v>23.1275</v>
      </c>
      <c r="I12" s="4" t="str">
        <f t="shared" si="5"/>
        <v> </v>
      </c>
      <c r="J12" s="5"/>
      <c r="K12" s="5">
        <v>18.3</v>
      </c>
      <c r="L12" s="4">
        <f t="shared" si="6"/>
        <v>3</v>
      </c>
      <c r="M12" s="4">
        <f t="shared" si="7"/>
        <v>0</v>
      </c>
      <c r="N12" s="4">
        <f t="shared" si="8"/>
        <v>-2.0813</v>
      </c>
      <c r="O12" s="4" t="str">
        <f t="shared" si="9"/>
        <v/>
      </c>
      <c r="P12" s="4">
        <f t="shared" si="10"/>
        <v>18.3</v>
      </c>
    </row>
    <row r="13">
      <c r="A13" s="4">
        <v>1991.0</v>
      </c>
      <c r="B13" s="4">
        <v>163.0</v>
      </c>
      <c r="C13" s="5">
        <v>11.5</v>
      </c>
      <c r="D13" s="5">
        <v>21.0</v>
      </c>
      <c r="E13" s="4">
        <f t="shared" si="1"/>
        <v>0</v>
      </c>
      <c r="F13" s="4">
        <f t="shared" si="2"/>
        <v>1</v>
      </c>
      <c r="G13" s="4">
        <f t="shared" si="3"/>
        <v>25.84</v>
      </c>
      <c r="H13" s="4">
        <f t="shared" si="4"/>
        <v>27.1215</v>
      </c>
      <c r="I13" s="4">
        <f t="shared" si="5"/>
        <v>1.2815</v>
      </c>
      <c r="J13" s="5"/>
      <c r="K13" s="5">
        <v>16.7</v>
      </c>
      <c r="L13" s="4">
        <f t="shared" si="6"/>
        <v>3</v>
      </c>
      <c r="M13" s="4">
        <f t="shared" si="7"/>
        <v>1</v>
      </c>
      <c r="N13" s="4">
        <f t="shared" si="8"/>
        <v>6.8056</v>
      </c>
      <c r="O13" s="4" t="str">
        <f t="shared" si="9"/>
        <v/>
      </c>
      <c r="P13" s="4">
        <f t="shared" si="10"/>
        <v>16.7</v>
      </c>
    </row>
    <row r="14">
      <c r="A14" s="4">
        <v>1991.0</v>
      </c>
      <c r="B14" s="4">
        <v>164.0</v>
      </c>
      <c r="C14" s="5">
        <v>12.1</v>
      </c>
      <c r="D14" s="5">
        <v>16.2</v>
      </c>
      <c r="E14" s="4">
        <f t="shared" si="1"/>
        <v>1</v>
      </c>
      <c r="F14" s="4">
        <f t="shared" si="2"/>
        <v>1</v>
      </c>
      <c r="G14" s="4">
        <f t="shared" si="3"/>
        <v>31.869</v>
      </c>
      <c r="H14" s="4">
        <f t="shared" si="4"/>
        <v>35.41</v>
      </c>
      <c r="I14" s="4">
        <f t="shared" si="5"/>
        <v>3.541</v>
      </c>
      <c r="J14" s="5">
        <v>3.1</v>
      </c>
      <c r="K14" s="5">
        <v>13.7</v>
      </c>
      <c r="L14" s="4">
        <f t="shared" si="6"/>
        <v>8</v>
      </c>
      <c r="M14" s="4">
        <f t="shared" si="7"/>
        <v>1</v>
      </c>
      <c r="N14" s="4">
        <f t="shared" si="8"/>
        <v>10.797</v>
      </c>
      <c r="O14" s="4">
        <f t="shared" si="9"/>
        <v>3.1</v>
      </c>
      <c r="P14" s="4">
        <f t="shared" si="10"/>
        <v>13.7</v>
      </c>
    </row>
    <row r="15">
      <c r="A15" s="4">
        <v>1991.0</v>
      </c>
      <c r="B15" s="4">
        <v>165.0</v>
      </c>
      <c r="C15" s="5">
        <v>10.7</v>
      </c>
      <c r="D15" s="5">
        <v>21.3</v>
      </c>
      <c r="E15" s="4">
        <f t="shared" si="1"/>
        <v>1</v>
      </c>
      <c r="F15" s="4">
        <f t="shared" si="2"/>
        <v>1</v>
      </c>
      <c r="G15" s="4">
        <f t="shared" si="3"/>
        <v>34.609</v>
      </c>
      <c r="H15" s="4">
        <f t="shared" si="4"/>
        <v>35.236</v>
      </c>
      <c r="I15" s="4">
        <f t="shared" si="5"/>
        <v>0.627</v>
      </c>
      <c r="J15" s="5">
        <v>7.1</v>
      </c>
      <c r="K15" s="5">
        <v>16.2</v>
      </c>
      <c r="L15" s="4">
        <f t="shared" si="6"/>
        <v>8</v>
      </c>
      <c r="M15" s="4">
        <f t="shared" si="7"/>
        <v>1</v>
      </c>
      <c r="N15" s="4">
        <f t="shared" si="8"/>
        <v>9.7034</v>
      </c>
      <c r="O15" s="4">
        <f t="shared" si="9"/>
        <v>7.1</v>
      </c>
      <c r="P15" s="4">
        <f t="shared" si="10"/>
        <v>16.2</v>
      </c>
    </row>
    <row r="16">
      <c r="A16" s="4">
        <v>1991.0</v>
      </c>
      <c r="B16" s="4">
        <v>166.0</v>
      </c>
      <c r="C16" s="5">
        <v>10.1</v>
      </c>
      <c r="D16" s="5">
        <v>17.0</v>
      </c>
      <c r="E16" s="4">
        <f t="shared" si="1"/>
        <v>1</v>
      </c>
      <c r="F16" s="4">
        <f t="shared" si="2"/>
        <v>0</v>
      </c>
      <c r="G16" s="4">
        <f t="shared" si="3"/>
        <v>36.059</v>
      </c>
      <c r="H16" s="4">
        <f t="shared" si="4"/>
        <v>35.839</v>
      </c>
      <c r="I16" s="4" t="str">
        <f t="shared" si="5"/>
        <v> </v>
      </c>
      <c r="J16" s="5">
        <v>1.3</v>
      </c>
      <c r="K16" s="5">
        <v>14.4</v>
      </c>
      <c r="L16" s="4">
        <f t="shared" si="6"/>
        <v>8</v>
      </c>
      <c r="M16" s="4">
        <f t="shared" si="7"/>
        <v>1</v>
      </c>
      <c r="N16" s="4">
        <f t="shared" si="8"/>
        <v>13.4041</v>
      </c>
      <c r="O16" s="4">
        <f t="shared" si="9"/>
        <v>1.3</v>
      </c>
      <c r="P16" s="4">
        <f t="shared" si="10"/>
        <v>14.4</v>
      </c>
    </row>
    <row r="17">
      <c r="A17" s="4">
        <v>1991.0</v>
      </c>
      <c r="B17" s="4">
        <v>167.0</v>
      </c>
      <c r="C17" s="5">
        <v>9.2</v>
      </c>
      <c r="D17" s="5">
        <v>19.9</v>
      </c>
      <c r="E17" s="4">
        <f t="shared" si="1"/>
        <v>1</v>
      </c>
      <c r="F17" s="4">
        <f t="shared" si="2"/>
        <v>0</v>
      </c>
      <c r="G17" s="4">
        <f t="shared" si="3"/>
        <v>38.741</v>
      </c>
      <c r="H17" s="4">
        <f t="shared" si="4"/>
        <v>38.639</v>
      </c>
      <c r="I17" s="4" t="str">
        <f t="shared" si="5"/>
        <v> </v>
      </c>
      <c r="J17" s="5">
        <v>6.8</v>
      </c>
      <c r="K17" s="5">
        <v>14.8</v>
      </c>
      <c r="L17" s="4">
        <f t="shared" si="6"/>
        <v>8</v>
      </c>
      <c r="M17" s="4">
        <f t="shared" si="7"/>
        <v>1</v>
      </c>
      <c r="N17" s="4">
        <f t="shared" si="8"/>
        <v>7.606</v>
      </c>
      <c r="O17" s="4">
        <f t="shared" si="9"/>
        <v>6.8</v>
      </c>
      <c r="P17" s="4">
        <f t="shared" si="10"/>
        <v>14.8</v>
      </c>
    </row>
    <row r="18">
      <c r="A18" s="4">
        <v>1991.0</v>
      </c>
      <c r="B18" s="4">
        <v>168.0</v>
      </c>
      <c r="C18" s="5">
        <v>15.6</v>
      </c>
      <c r="D18" s="5">
        <v>27.0</v>
      </c>
      <c r="E18" s="4">
        <f t="shared" si="1"/>
        <v>1</v>
      </c>
      <c r="F18" s="4">
        <f t="shared" si="2"/>
        <v>0</v>
      </c>
      <c r="G18" s="4">
        <f t="shared" si="3"/>
        <v>40.415</v>
      </c>
      <c r="H18" s="4">
        <f t="shared" si="4"/>
        <v>37.316</v>
      </c>
      <c r="I18" s="4" t="str">
        <f t="shared" si="5"/>
        <v> </v>
      </c>
      <c r="J18" s="5">
        <v>7.9</v>
      </c>
      <c r="K18" s="5">
        <v>20.6</v>
      </c>
      <c r="L18" s="4">
        <f t="shared" si="6"/>
        <v>8</v>
      </c>
      <c r="M18" s="4">
        <f t="shared" si="7"/>
        <v>0</v>
      </c>
      <c r="N18" s="4">
        <f t="shared" si="8"/>
        <v>-5.3408</v>
      </c>
      <c r="O18" s="4">
        <f t="shared" si="9"/>
        <v>7.9</v>
      </c>
      <c r="P18" s="4">
        <f t="shared" si="10"/>
        <v>20.6</v>
      </c>
    </row>
    <row r="19">
      <c r="A19" s="4">
        <v>1991.0</v>
      </c>
      <c r="B19" s="4">
        <v>169.0</v>
      </c>
      <c r="C19" s="5">
        <v>18.0</v>
      </c>
      <c r="D19" s="5">
        <v>24.2</v>
      </c>
      <c r="E19" s="4">
        <f t="shared" si="1"/>
        <v>0</v>
      </c>
      <c r="F19" s="4">
        <f t="shared" si="2"/>
        <v>0</v>
      </c>
      <c r="G19" s="4">
        <f t="shared" si="3"/>
        <v>35.572</v>
      </c>
      <c r="H19" s="4">
        <f t="shared" si="4"/>
        <v>31.631</v>
      </c>
      <c r="I19" s="4" t="str">
        <f t="shared" si="5"/>
        <v> </v>
      </c>
      <c r="J19" s="5"/>
      <c r="K19" s="5">
        <v>20.4</v>
      </c>
      <c r="L19" s="4">
        <f t="shared" si="6"/>
        <v>3</v>
      </c>
      <c r="M19" s="4">
        <f t="shared" si="7"/>
        <v>0</v>
      </c>
      <c r="N19" s="4">
        <f t="shared" si="8"/>
        <v>-3.4543</v>
      </c>
      <c r="O19" s="4" t="str">
        <f t="shared" si="9"/>
        <v/>
      </c>
      <c r="P19" s="4">
        <f t="shared" si="10"/>
        <v>20.4</v>
      </c>
    </row>
    <row r="20">
      <c r="A20" s="4">
        <v>1991.0</v>
      </c>
      <c r="B20" s="4">
        <v>170.0</v>
      </c>
      <c r="C20" s="5">
        <v>15.4</v>
      </c>
      <c r="D20" s="5">
        <v>29.8</v>
      </c>
      <c r="E20" s="4">
        <f t="shared" si="1"/>
        <v>0</v>
      </c>
      <c r="F20" s="4">
        <f t="shared" si="2"/>
        <v>0</v>
      </c>
      <c r="G20" s="4">
        <f t="shared" si="3"/>
        <v>36.972</v>
      </c>
      <c r="H20" s="4">
        <f t="shared" si="4"/>
        <v>31.9505</v>
      </c>
      <c r="I20" s="4" t="str">
        <f t="shared" si="5"/>
        <v> </v>
      </c>
      <c r="J20" s="5"/>
      <c r="K20" s="5">
        <v>23.2</v>
      </c>
      <c r="L20" s="4">
        <f t="shared" si="6"/>
        <v>3</v>
      </c>
      <c r="M20" s="4">
        <f t="shared" si="7"/>
        <v>0</v>
      </c>
      <c r="N20" s="4">
        <f t="shared" si="8"/>
        <v>-0.0563</v>
      </c>
      <c r="O20" s="4" t="str">
        <f t="shared" si="9"/>
        <v/>
      </c>
      <c r="P20" s="4">
        <f t="shared" si="10"/>
        <v>23.2</v>
      </c>
    </row>
    <row r="21" ht="15.75" customHeight="1">
      <c r="A21" s="4">
        <v>1991.0</v>
      </c>
      <c r="B21" s="4">
        <v>171.0</v>
      </c>
      <c r="C21" s="5">
        <v>16.8</v>
      </c>
      <c r="D21" s="5">
        <v>29.7</v>
      </c>
      <c r="E21" s="4">
        <f t="shared" si="1"/>
        <v>1</v>
      </c>
      <c r="F21" s="4">
        <f t="shared" si="2"/>
        <v>0</v>
      </c>
      <c r="G21" s="4">
        <f t="shared" si="3"/>
        <v>40.849</v>
      </c>
      <c r="H21" s="4">
        <f t="shared" si="4"/>
        <v>36.4025</v>
      </c>
      <c r="I21" s="4" t="str">
        <f t="shared" si="5"/>
        <v> </v>
      </c>
      <c r="J21" s="5">
        <v>6.2</v>
      </c>
      <c r="K21" s="5">
        <v>21.3</v>
      </c>
      <c r="L21" s="4">
        <f t="shared" si="6"/>
        <v>8</v>
      </c>
      <c r="M21" s="4">
        <f t="shared" si="7"/>
        <v>0</v>
      </c>
      <c r="N21" s="4">
        <f t="shared" si="8"/>
        <v>-4.725</v>
      </c>
      <c r="O21" s="4">
        <f t="shared" si="9"/>
        <v>6.2</v>
      </c>
      <c r="P21" s="4">
        <f t="shared" si="10"/>
        <v>21.3</v>
      </c>
    </row>
    <row r="22" ht="15.75" customHeight="1">
      <c r="A22" s="4">
        <v>1991.0</v>
      </c>
      <c r="B22" s="4">
        <v>172.0</v>
      </c>
      <c r="C22" s="5">
        <v>15.4</v>
      </c>
      <c r="D22" s="5">
        <v>21.2</v>
      </c>
      <c r="E22" s="4">
        <f t="shared" si="1"/>
        <v>0</v>
      </c>
      <c r="F22" s="4">
        <f t="shared" si="2"/>
        <v>0</v>
      </c>
      <c r="G22" s="4">
        <f t="shared" si="3"/>
        <v>34.785</v>
      </c>
      <c r="H22" s="4">
        <f t="shared" si="4"/>
        <v>30.9105</v>
      </c>
      <c r="I22" s="4" t="str">
        <f t="shared" si="5"/>
        <v> </v>
      </c>
      <c r="J22" s="5"/>
      <c r="K22" s="5">
        <v>18.9</v>
      </c>
      <c r="L22" s="4">
        <f t="shared" si="6"/>
        <v>3</v>
      </c>
      <c r="M22" s="4">
        <f t="shared" si="7"/>
        <v>0</v>
      </c>
      <c r="N22" s="4">
        <f t="shared" si="8"/>
        <v>-7.3158</v>
      </c>
      <c r="O22" s="4" t="str">
        <f t="shared" si="9"/>
        <v/>
      </c>
      <c r="P22" s="4">
        <f t="shared" si="10"/>
        <v>18.9</v>
      </c>
    </row>
    <row r="23" ht="15.75" customHeight="1">
      <c r="A23" s="4">
        <v>1991.0</v>
      </c>
      <c r="B23" s="4">
        <v>173.0</v>
      </c>
      <c r="C23" s="5">
        <v>13.9</v>
      </c>
      <c r="D23" s="5">
        <v>20.4</v>
      </c>
      <c r="E23" s="4">
        <f t="shared" si="1"/>
        <v>0</v>
      </c>
      <c r="F23" s="4">
        <f t="shared" si="2"/>
        <v>0</v>
      </c>
      <c r="G23" s="4">
        <f t="shared" si="3"/>
        <v>35.567</v>
      </c>
      <c r="H23" s="4">
        <f t="shared" si="4"/>
        <v>30.6835</v>
      </c>
      <c r="I23" s="4" t="str">
        <f t="shared" si="5"/>
        <v> </v>
      </c>
      <c r="J23" s="5"/>
      <c r="K23" s="5">
        <v>16.4</v>
      </c>
      <c r="L23" s="4">
        <f t="shared" si="6"/>
        <v>3</v>
      </c>
      <c r="M23" s="4">
        <f t="shared" si="7"/>
        <v>0</v>
      </c>
      <c r="N23" s="4">
        <f t="shared" si="8"/>
        <v>-6.1976</v>
      </c>
      <c r="O23" s="4" t="str">
        <f t="shared" si="9"/>
        <v/>
      </c>
      <c r="P23" s="4">
        <f t="shared" si="10"/>
        <v>16.4</v>
      </c>
    </row>
    <row r="24" ht="15.75" customHeight="1">
      <c r="A24" s="4">
        <v>1991.0</v>
      </c>
      <c r="B24" s="4">
        <v>174.0</v>
      </c>
      <c r="C24" s="5">
        <v>12.3</v>
      </c>
      <c r="D24" s="5">
        <v>22.7</v>
      </c>
      <c r="E24" s="4">
        <f t="shared" si="1"/>
        <v>0</v>
      </c>
      <c r="F24" s="4">
        <f t="shared" si="2"/>
        <v>0</v>
      </c>
      <c r="G24" s="4">
        <f t="shared" si="3"/>
        <v>38</v>
      </c>
      <c r="H24" s="4">
        <f t="shared" si="4"/>
        <v>33.6785</v>
      </c>
      <c r="I24" s="4" t="str">
        <f t="shared" si="5"/>
        <v> </v>
      </c>
      <c r="J24" s="5"/>
      <c r="K24" s="5">
        <v>18.1</v>
      </c>
      <c r="L24" s="4">
        <f t="shared" si="6"/>
        <v>3</v>
      </c>
      <c r="M24" s="4">
        <f t="shared" si="7"/>
        <v>0</v>
      </c>
      <c r="N24" s="4">
        <f t="shared" si="8"/>
        <v>-1.8379</v>
      </c>
      <c r="O24" s="4" t="str">
        <f t="shared" si="9"/>
        <v/>
      </c>
      <c r="P24" s="4">
        <f t="shared" si="10"/>
        <v>18.1</v>
      </c>
    </row>
    <row r="25" ht="15.75" customHeight="1">
      <c r="A25" s="4">
        <v>1991.0</v>
      </c>
      <c r="B25" s="4">
        <v>175.0</v>
      </c>
      <c r="C25" s="5">
        <v>15.5</v>
      </c>
      <c r="D25" s="5">
        <v>30.2</v>
      </c>
      <c r="E25" s="4">
        <f t="shared" si="1"/>
        <v>0</v>
      </c>
      <c r="F25" s="4">
        <f t="shared" si="2"/>
        <v>0</v>
      </c>
      <c r="G25" s="4">
        <f t="shared" si="3"/>
        <v>46.233</v>
      </c>
      <c r="H25" s="4">
        <f t="shared" si="4"/>
        <v>41.1645</v>
      </c>
      <c r="I25" s="4" t="str">
        <f t="shared" si="5"/>
        <v> </v>
      </c>
      <c r="J25" s="5"/>
      <c r="K25" s="5">
        <v>23.2</v>
      </c>
      <c r="L25" s="4">
        <f t="shared" si="6"/>
        <v>3</v>
      </c>
      <c r="M25" s="4">
        <f t="shared" si="7"/>
        <v>0</v>
      </c>
      <c r="N25" s="4">
        <f t="shared" si="8"/>
        <v>-0.4376</v>
      </c>
      <c r="O25" s="4" t="str">
        <f t="shared" si="9"/>
        <v/>
      </c>
      <c r="P25" s="4">
        <f t="shared" si="10"/>
        <v>23.2</v>
      </c>
    </row>
    <row r="26" ht="15.75" customHeight="1">
      <c r="A26" s="4">
        <v>1991.0</v>
      </c>
      <c r="B26" s="4">
        <v>176.0</v>
      </c>
      <c r="C26" s="5">
        <v>19.1</v>
      </c>
      <c r="D26" s="5">
        <v>30.0</v>
      </c>
      <c r="E26" s="4">
        <f t="shared" si="1"/>
        <v>1</v>
      </c>
      <c r="F26" s="4">
        <f t="shared" si="2"/>
        <v>0</v>
      </c>
      <c r="G26" s="4">
        <f t="shared" si="3"/>
        <v>48.555</v>
      </c>
      <c r="H26" s="4">
        <f t="shared" si="4"/>
        <v>43.408</v>
      </c>
      <c r="I26" s="4" t="str">
        <f t="shared" si="5"/>
        <v> </v>
      </c>
      <c r="J26" s="5">
        <v>3.1</v>
      </c>
      <c r="K26" s="5">
        <v>24.5</v>
      </c>
      <c r="L26" s="4">
        <f t="shared" si="6"/>
        <v>8</v>
      </c>
      <c r="M26" s="4">
        <f t="shared" si="7"/>
        <v>0</v>
      </c>
      <c r="N26" s="4">
        <f t="shared" si="8"/>
        <v>-6.4827</v>
      </c>
      <c r="O26" s="4">
        <f t="shared" si="9"/>
        <v>3.1</v>
      </c>
      <c r="P26" s="4">
        <f t="shared" si="10"/>
        <v>24.5</v>
      </c>
    </row>
    <row r="27" ht="15.75" customHeight="1">
      <c r="A27" s="4">
        <v>1991.0</v>
      </c>
      <c r="B27" s="4">
        <v>177.0</v>
      </c>
      <c r="C27" s="5">
        <v>16.5</v>
      </c>
      <c r="D27" s="5">
        <v>25.7</v>
      </c>
      <c r="E27" s="4">
        <f t="shared" si="1"/>
        <v>0</v>
      </c>
      <c r="F27" s="4">
        <f t="shared" si="2"/>
        <v>0</v>
      </c>
      <c r="G27" s="4">
        <f t="shared" si="3"/>
        <v>41.065</v>
      </c>
      <c r="H27" s="4">
        <f t="shared" si="4"/>
        <v>34.8125</v>
      </c>
      <c r="I27" s="4" t="str">
        <f t="shared" si="5"/>
        <v> </v>
      </c>
      <c r="J27" s="5"/>
      <c r="K27" s="5">
        <v>20.6</v>
      </c>
      <c r="L27" s="4">
        <f t="shared" si="6"/>
        <v>3</v>
      </c>
      <c r="M27" s="4">
        <f t="shared" si="7"/>
        <v>0</v>
      </c>
      <c r="N27" s="4">
        <f t="shared" si="8"/>
        <v>-7.5617</v>
      </c>
      <c r="O27" s="4" t="str">
        <f t="shared" si="9"/>
        <v/>
      </c>
      <c r="P27" s="4">
        <f t="shared" si="10"/>
        <v>20.6</v>
      </c>
    </row>
    <row r="28" ht="15.75" customHeight="1">
      <c r="A28" s="4">
        <v>1991.0</v>
      </c>
      <c r="B28" s="4">
        <v>178.0</v>
      </c>
      <c r="C28" s="5">
        <v>13.9</v>
      </c>
      <c r="D28" s="5">
        <v>25.9</v>
      </c>
      <c r="E28" s="4">
        <f t="shared" si="1"/>
        <v>0</v>
      </c>
      <c r="F28" s="4">
        <f t="shared" si="2"/>
        <v>0</v>
      </c>
      <c r="G28" s="4">
        <f t="shared" si="3"/>
        <v>41.446</v>
      </c>
      <c r="H28" s="4">
        <f t="shared" si="4"/>
        <v>35.211</v>
      </c>
      <c r="I28" s="4" t="str">
        <f t="shared" si="5"/>
        <v> </v>
      </c>
      <c r="J28" s="5"/>
      <c r="K28" s="5">
        <v>19.8</v>
      </c>
      <c r="L28" s="4">
        <f t="shared" si="6"/>
        <v>3</v>
      </c>
      <c r="M28" s="4">
        <f t="shared" si="7"/>
        <v>0</v>
      </c>
      <c r="N28" s="4">
        <f t="shared" si="8"/>
        <v>-7.535</v>
      </c>
      <c r="O28" s="4" t="str">
        <f t="shared" si="9"/>
        <v/>
      </c>
      <c r="P28" s="4">
        <f t="shared" si="10"/>
        <v>19.8</v>
      </c>
    </row>
    <row r="29" ht="15.75" customHeight="1">
      <c r="A29" s="4">
        <v>1991.0</v>
      </c>
      <c r="B29" s="4">
        <v>179.0</v>
      </c>
      <c r="C29" s="5">
        <v>16.6</v>
      </c>
      <c r="D29" s="5">
        <v>30.5</v>
      </c>
      <c r="E29" s="4">
        <f t="shared" si="1"/>
        <v>0</v>
      </c>
      <c r="F29" s="4">
        <f t="shared" si="2"/>
        <v>0</v>
      </c>
      <c r="G29" s="4">
        <f t="shared" si="3"/>
        <v>44.303</v>
      </c>
      <c r="H29" s="4">
        <f t="shared" si="4"/>
        <v>38.942</v>
      </c>
      <c r="I29" s="4" t="str">
        <f t="shared" si="5"/>
        <v> </v>
      </c>
      <c r="J29" s="5"/>
      <c r="K29" s="5">
        <v>24.1</v>
      </c>
      <c r="L29" s="4">
        <f t="shared" si="6"/>
        <v>3</v>
      </c>
      <c r="M29" s="4">
        <f t="shared" si="7"/>
        <v>0</v>
      </c>
      <c r="N29" s="4">
        <f t="shared" si="8"/>
        <v>-8.4819</v>
      </c>
      <c r="O29" s="4" t="str">
        <f t="shared" si="9"/>
        <v/>
      </c>
      <c r="P29" s="4">
        <f t="shared" si="10"/>
        <v>24.1</v>
      </c>
    </row>
    <row r="30" ht="15.75" customHeight="1">
      <c r="A30" s="4">
        <v>1991.0</v>
      </c>
      <c r="B30" s="4">
        <v>180.0</v>
      </c>
      <c r="C30" s="5">
        <v>18.9</v>
      </c>
      <c r="D30" s="5">
        <v>30.7</v>
      </c>
      <c r="E30" s="4">
        <f t="shared" si="1"/>
        <v>0</v>
      </c>
      <c r="F30" s="4">
        <f t="shared" si="2"/>
        <v>0</v>
      </c>
      <c r="G30" s="4">
        <f t="shared" si="3"/>
        <v>44.008</v>
      </c>
      <c r="H30" s="4">
        <f t="shared" si="4"/>
        <v>37.6005</v>
      </c>
      <c r="I30" s="4" t="str">
        <f t="shared" si="5"/>
        <v> </v>
      </c>
      <c r="J30" s="5"/>
      <c r="K30" s="5">
        <v>24.8</v>
      </c>
      <c r="L30" s="4">
        <f t="shared" si="6"/>
        <v>3</v>
      </c>
      <c r="M30" s="4">
        <f t="shared" si="7"/>
        <v>0</v>
      </c>
      <c r="N30" s="4">
        <f t="shared" si="8"/>
        <v>-8.3437</v>
      </c>
      <c r="O30" s="4" t="str">
        <f t="shared" si="9"/>
        <v/>
      </c>
      <c r="P30" s="4">
        <f t="shared" si="10"/>
        <v>24.8</v>
      </c>
    </row>
    <row r="31" ht="15.75" customHeight="1">
      <c r="A31" s="4">
        <v>1991.0</v>
      </c>
      <c r="B31" s="4">
        <v>181.0</v>
      </c>
      <c r="C31" s="5">
        <v>19.0</v>
      </c>
      <c r="D31" s="5">
        <v>27.3</v>
      </c>
      <c r="E31" s="4">
        <f t="shared" si="1"/>
        <v>0</v>
      </c>
      <c r="F31" s="4">
        <f t="shared" si="2"/>
        <v>0</v>
      </c>
      <c r="G31" s="4">
        <f t="shared" si="3"/>
        <v>40.541</v>
      </c>
      <c r="H31" s="4">
        <f t="shared" si="4"/>
        <v>35.354</v>
      </c>
      <c r="I31" s="4" t="str">
        <f t="shared" si="5"/>
        <v> </v>
      </c>
      <c r="J31" s="5"/>
      <c r="K31" s="5">
        <v>23.2</v>
      </c>
      <c r="L31" s="4">
        <f t="shared" si="6"/>
        <v>3</v>
      </c>
      <c r="M31" s="4">
        <f t="shared" si="7"/>
        <v>0</v>
      </c>
      <c r="N31" s="4">
        <f t="shared" si="8"/>
        <v>-3.3008</v>
      </c>
      <c r="O31" s="4" t="str">
        <f t="shared" si="9"/>
        <v/>
      </c>
      <c r="P31" s="4">
        <f t="shared" si="10"/>
        <v>23.2</v>
      </c>
    </row>
    <row r="32" ht="15.75" customHeight="1">
      <c r="A32" s="4">
        <v>1991.0</v>
      </c>
      <c r="B32" s="4">
        <v>182.0</v>
      </c>
      <c r="C32" s="5">
        <v>18.4</v>
      </c>
      <c r="D32" s="5">
        <v>28.0</v>
      </c>
      <c r="E32" s="4">
        <f t="shared" si="1"/>
        <v>0</v>
      </c>
      <c r="F32" s="4">
        <f t="shared" si="2"/>
        <v>0</v>
      </c>
      <c r="G32" s="4">
        <f t="shared" si="3"/>
        <v>39.576</v>
      </c>
      <c r="H32" s="4">
        <f t="shared" si="4"/>
        <v>34.9505</v>
      </c>
      <c r="I32" s="4" t="str">
        <f t="shared" si="5"/>
        <v> </v>
      </c>
      <c r="J32" s="5"/>
      <c r="K32" s="5">
        <v>22.8</v>
      </c>
      <c r="L32" s="4">
        <f t="shared" si="6"/>
        <v>3</v>
      </c>
      <c r="M32" s="4">
        <f t="shared" si="7"/>
        <v>1</v>
      </c>
      <c r="N32" s="4">
        <f t="shared" si="8"/>
        <v>0.3496</v>
      </c>
      <c r="O32" s="4" t="str">
        <f t="shared" si="9"/>
        <v/>
      </c>
      <c r="P32" s="4">
        <f t="shared" si="10"/>
        <v>22.8</v>
      </c>
    </row>
    <row r="33" ht="15.75" customHeight="1">
      <c r="A33" s="4">
        <v>1991.0</v>
      </c>
      <c r="B33" s="4">
        <v>183.0</v>
      </c>
      <c r="C33" s="5">
        <v>17.9</v>
      </c>
      <c r="D33" s="5">
        <v>27.2</v>
      </c>
      <c r="E33" s="4">
        <f t="shared" si="1"/>
        <v>1</v>
      </c>
      <c r="F33" s="4">
        <f t="shared" si="2"/>
        <v>0</v>
      </c>
      <c r="G33" s="4">
        <f t="shared" si="3"/>
        <v>38.664</v>
      </c>
      <c r="H33" s="4">
        <f t="shared" si="4"/>
        <v>36.423</v>
      </c>
      <c r="I33" s="4" t="str">
        <f t="shared" si="5"/>
        <v> </v>
      </c>
      <c r="J33" s="5">
        <v>1.4</v>
      </c>
      <c r="K33" s="5">
        <v>22.0</v>
      </c>
      <c r="L33" s="4">
        <f t="shared" si="6"/>
        <v>8</v>
      </c>
      <c r="M33" s="4">
        <f t="shared" si="7"/>
        <v>0</v>
      </c>
      <c r="N33" s="4">
        <f t="shared" si="8"/>
        <v>-5.7577</v>
      </c>
      <c r="O33" s="4">
        <f t="shared" si="9"/>
        <v>1.4</v>
      </c>
      <c r="P33" s="4">
        <f t="shared" si="10"/>
        <v>22</v>
      </c>
    </row>
    <row r="34" ht="15.75" customHeight="1">
      <c r="A34" s="4">
        <v>1991.0</v>
      </c>
      <c r="B34" s="4">
        <v>184.0</v>
      </c>
      <c r="C34" s="5">
        <v>15.8</v>
      </c>
      <c r="D34" s="5">
        <v>25.7</v>
      </c>
      <c r="E34" s="4">
        <f t="shared" si="1"/>
        <v>0</v>
      </c>
      <c r="F34" s="4">
        <f t="shared" si="2"/>
        <v>0</v>
      </c>
      <c r="G34" s="4">
        <f t="shared" si="3"/>
        <v>36.402</v>
      </c>
      <c r="H34" s="4">
        <f t="shared" si="4"/>
        <v>30.986</v>
      </c>
      <c r="I34" s="4" t="str">
        <f t="shared" si="5"/>
        <v> </v>
      </c>
      <c r="J34" s="5"/>
      <c r="K34" s="5">
        <v>20.0</v>
      </c>
      <c r="L34" s="4">
        <f t="shared" si="6"/>
        <v>3</v>
      </c>
      <c r="M34" s="4">
        <f t="shared" si="7"/>
        <v>0</v>
      </c>
      <c r="N34" s="4">
        <f t="shared" si="8"/>
        <v>-8.3408</v>
      </c>
      <c r="O34" s="4" t="str">
        <f t="shared" si="9"/>
        <v/>
      </c>
      <c r="P34" s="4">
        <f t="shared" si="10"/>
        <v>20</v>
      </c>
    </row>
    <row r="35" ht="15.75" customHeight="1">
      <c r="A35" s="4">
        <v>1991.0</v>
      </c>
      <c r="B35" s="4">
        <v>185.0</v>
      </c>
      <c r="C35" s="5">
        <v>13.7</v>
      </c>
      <c r="D35" s="5">
        <v>24.8</v>
      </c>
      <c r="E35" s="4">
        <f t="shared" si="1"/>
        <v>0</v>
      </c>
      <c r="F35" s="4">
        <f t="shared" si="2"/>
        <v>0</v>
      </c>
      <c r="G35" s="4">
        <f t="shared" si="3"/>
        <v>35.393</v>
      </c>
      <c r="H35" s="4">
        <f t="shared" si="4"/>
        <v>33.0135</v>
      </c>
      <c r="I35" s="4" t="str">
        <f t="shared" si="5"/>
        <v> </v>
      </c>
      <c r="J35" s="5"/>
      <c r="K35" s="5">
        <v>19.4</v>
      </c>
      <c r="L35" s="4">
        <f t="shared" si="6"/>
        <v>3</v>
      </c>
      <c r="M35" s="4">
        <f t="shared" si="7"/>
        <v>0</v>
      </c>
      <c r="N35" s="4">
        <f t="shared" si="8"/>
        <v>-3.3637</v>
      </c>
      <c r="O35" s="4" t="str">
        <f t="shared" si="9"/>
        <v/>
      </c>
      <c r="P35" s="4">
        <f t="shared" si="10"/>
        <v>19.4</v>
      </c>
    </row>
    <row r="36" ht="15.75" customHeight="1">
      <c r="A36" s="4">
        <v>1991.0</v>
      </c>
      <c r="B36" s="4">
        <v>186.0</v>
      </c>
      <c r="C36" s="5">
        <v>13.8</v>
      </c>
      <c r="D36" s="5">
        <v>24.3</v>
      </c>
      <c r="E36" s="4">
        <f t="shared" si="1"/>
        <v>0</v>
      </c>
      <c r="F36" s="4">
        <f t="shared" si="2"/>
        <v>0</v>
      </c>
      <c r="G36" s="4">
        <f t="shared" si="3"/>
        <v>34.27</v>
      </c>
      <c r="H36" s="4">
        <f t="shared" si="4"/>
        <v>32.683</v>
      </c>
      <c r="I36" s="4" t="str">
        <f t="shared" si="5"/>
        <v> </v>
      </c>
      <c r="J36" s="5"/>
      <c r="K36" s="5">
        <v>19.4</v>
      </c>
      <c r="L36" s="4">
        <f t="shared" si="6"/>
        <v>3</v>
      </c>
      <c r="M36" s="4">
        <f t="shared" si="7"/>
        <v>1</v>
      </c>
      <c r="N36" s="4">
        <f t="shared" si="8"/>
        <v>0.322</v>
      </c>
      <c r="O36" s="4" t="str">
        <f t="shared" si="9"/>
        <v/>
      </c>
      <c r="P36" s="4">
        <f t="shared" si="10"/>
        <v>19.4</v>
      </c>
    </row>
    <row r="37" ht="15.75" customHeight="1">
      <c r="A37" s="4">
        <v>1991.0</v>
      </c>
      <c r="B37" s="4">
        <v>187.0</v>
      </c>
      <c r="C37" s="5">
        <v>13.8</v>
      </c>
      <c r="D37" s="5">
        <v>23.0</v>
      </c>
      <c r="E37" s="4">
        <f t="shared" si="1"/>
        <v>1</v>
      </c>
      <c r="F37" s="4">
        <f t="shared" si="2"/>
        <v>0</v>
      </c>
      <c r="G37" s="4">
        <f t="shared" si="3"/>
        <v>37.004</v>
      </c>
      <c r="H37" s="4">
        <f t="shared" si="4"/>
        <v>35.8115</v>
      </c>
      <c r="I37" s="4" t="str">
        <f t="shared" si="5"/>
        <v> </v>
      </c>
      <c r="J37" s="5">
        <v>0.2</v>
      </c>
      <c r="K37" s="5">
        <v>28.1</v>
      </c>
      <c r="L37" s="4">
        <f t="shared" si="6"/>
        <v>8</v>
      </c>
      <c r="M37" s="4">
        <f t="shared" si="7"/>
        <v>1</v>
      </c>
      <c r="N37" s="4">
        <f t="shared" si="8"/>
        <v>0.3581</v>
      </c>
      <c r="O37" s="4">
        <f t="shared" si="9"/>
        <v>0.2</v>
      </c>
      <c r="P37" s="4">
        <f t="shared" si="10"/>
        <v>28.1</v>
      </c>
    </row>
    <row r="38" ht="15.75" customHeight="1">
      <c r="A38" s="4">
        <v>1991.0</v>
      </c>
      <c r="B38" s="4">
        <v>188.0</v>
      </c>
      <c r="C38" s="5">
        <v>12.1</v>
      </c>
      <c r="D38" s="5">
        <v>25.6</v>
      </c>
      <c r="E38" s="4">
        <f t="shared" si="1"/>
        <v>0</v>
      </c>
      <c r="F38" s="4">
        <f t="shared" si="2"/>
        <v>1</v>
      </c>
      <c r="G38" s="4">
        <f t="shared" si="3"/>
        <v>35.043</v>
      </c>
      <c r="H38" s="4">
        <f t="shared" si="4"/>
        <v>35.115</v>
      </c>
      <c r="I38" s="4">
        <f t="shared" si="5"/>
        <v>0.072</v>
      </c>
      <c r="J38" s="5"/>
      <c r="K38" s="5">
        <v>19.4</v>
      </c>
      <c r="L38" s="4">
        <f t="shared" si="6"/>
        <v>3</v>
      </c>
      <c r="M38" s="4">
        <f t="shared" si="7"/>
        <v>1</v>
      </c>
      <c r="N38" s="4">
        <f t="shared" si="8"/>
        <v>3.4993</v>
      </c>
      <c r="O38" s="4" t="str">
        <f t="shared" si="9"/>
        <v/>
      </c>
      <c r="P38" s="4">
        <f t="shared" si="10"/>
        <v>19.4</v>
      </c>
    </row>
    <row r="39" ht="15.75" customHeight="1">
      <c r="A39" s="4">
        <v>1991.0</v>
      </c>
      <c r="B39" s="4">
        <v>189.0</v>
      </c>
      <c r="C39" s="5">
        <v>13.8</v>
      </c>
      <c r="D39" s="5">
        <v>25.2</v>
      </c>
      <c r="E39" s="4">
        <f t="shared" si="1"/>
        <v>1</v>
      </c>
      <c r="F39" s="4">
        <f t="shared" si="2"/>
        <v>1</v>
      </c>
      <c r="G39" s="4">
        <f t="shared" si="3"/>
        <v>38.481</v>
      </c>
      <c r="H39" s="4">
        <f t="shared" si="4"/>
        <v>38.8385</v>
      </c>
      <c r="I39" s="4">
        <f t="shared" si="5"/>
        <v>0.3575</v>
      </c>
      <c r="J39" s="5">
        <v>6.9</v>
      </c>
      <c r="K39" s="5">
        <v>18.4</v>
      </c>
      <c r="L39" s="4">
        <f t="shared" si="6"/>
        <v>8</v>
      </c>
      <c r="M39" s="4">
        <f t="shared" si="7"/>
        <v>1</v>
      </c>
      <c r="N39" s="4">
        <f t="shared" si="8"/>
        <v>2.1755</v>
      </c>
      <c r="O39" s="4">
        <f t="shared" si="9"/>
        <v>6.9</v>
      </c>
      <c r="P39" s="4">
        <f t="shared" si="10"/>
        <v>18.4</v>
      </c>
    </row>
    <row r="40" ht="15.75" customHeight="1">
      <c r="A40" s="4">
        <v>1991.0</v>
      </c>
      <c r="B40" s="4">
        <v>190.0</v>
      </c>
      <c r="C40" s="5">
        <v>10.1</v>
      </c>
      <c r="D40" s="5">
        <v>20.7</v>
      </c>
      <c r="E40" s="4">
        <f t="shared" si="1"/>
        <v>1</v>
      </c>
      <c r="F40" s="4">
        <f t="shared" si="2"/>
        <v>0</v>
      </c>
      <c r="G40" s="4">
        <f t="shared" si="3"/>
        <v>29.485</v>
      </c>
      <c r="H40" s="4">
        <f t="shared" si="4"/>
        <v>29.342</v>
      </c>
      <c r="I40" s="4" t="str">
        <f t="shared" si="5"/>
        <v> </v>
      </c>
      <c r="J40" s="5">
        <v>2.4</v>
      </c>
      <c r="K40" s="5">
        <v>16.5</v>
      </c>
      <c r="L40" s="4">
        <f t="shared" si="6"/>
        <v>8</v>
      </c>
      <c r="M40" s="4">
        <f t="shared" si="7"/>
        <v>1</v>
      </c>
      <c r="N40" s="4">
        <f t="shared" si="8"/>
        <v>2.0841</v>
      </c>
      <c r="O40" s="4">
        <f t="shared" si="9"/>
        <v>2.4</v>
      </c>
      <c r="P40" s="4">
        <f t="shared" si="10"/>
        <v>16.5</v>
      </c>
    </row>
    <row r="41" ht="15.75" customHeight="1">
      <c r="A41" s="4">
        <v>1991.0</v>
      </c>
      <c r="B41" s="4">
        <v>191.0</v>
      </c>
      <c r="C41" s="5">
        <v>7.6</v>
      </c>
      <c r="D41" s="5">
        <v>23.5</v>
      </c>
      <c r="E41" s="4">
        <f t="shared" si="1"/>
        <v>0</v>
      </c>
      <c r="F41" s="4">
        <f t="shared" si="2"/>
        <v>0</v>
      </c>
      <c r="G41" s="4">
        <f t="shared" si="3"/>
        <v>29.318</v>
      </c>
      <c r="H41" s="4">
        <f t="shared" si="4"/>
        <v>27.702</v>
      </c>
      <c r="I41" s="4" t="str">
        <f t="shared" si="5"/>
        <v> </v>
      </c>
      <c r="J41" s="5"/>
      <c r="K41" s="5">
        <v>16.4</v>
      </c>
      <c r="L41" s="4">
        <f t="shared" si="6"/>
        <v>3</v>
      </c>
      <c r="M41" s="4">
        <f t="shared" si="7"/>
        <v>1</v>
      </c>
      <c r="N41" s="4">
        <f t="shared" si="8"/>
        <v>5.392</v>
      </c>
      <c r="O41" s="4" t="str">
        <f t="shared" si="9"/>
        <v/>
      </c>
      <c r="P41" s="4">
        <f t="shared" si="10"/>
        <v>16.4</v>
      </c>
    </row>
    <row r="42" ht="15.75" customHeight="1">
      <c r="A42" s="4">
        <v>1991.0</v>
      </c>
      <c r="B42" s="4">
        <v>192.0</v>
      </c>
      <c r="C42" s="5">
        <v>13.5</v>
      </c>
      <c r="D42" s="5">
        <v>23.0</v>
      </c>
      <c r="E42" s="4">
        <f t="shared" si="1"/>
        <v>1</v>
      </c>
      <c r="F42" s="4">
        <f t="shared" si="2"/>
        <v>0</v>
      </c>
      <c r="G42" s="4">
        <f t="shared" si="3"/>
        <v>32.431</v>
      </c>
      <c r="H42" s="4">
        <f t="shared" si="4"/>
        <v>32.1135</v>
      </c>
      <c r="I42" s="4" t="str">
        <f t="shared" si="5"/>
        <v> </v>
      </c>
      <c r="J42" s="5">
        <v>3.3</v>
      </c>
      <c r="K42" s="5">
        <v>18.3</v>
      </c>
      <c r="L42" s="4">
        <f t="shared" si="6"/>
        <v>8</v>
      </c>
      <c r="M42" s="4">
        <f t="shared" si="7"/>
        <v>1</v>
      </c>
      <c r="N42" s="4">
        <f t="shared" si="8"/>
        <v>5.6995</v>
      </c>
      <c r="O42" s="4">
        <f t="shared" si="9"/>
        <v>3.3</v>
      </c>
      <c r="P42" s="4">
        <f t="shared" si="10"/>
        <v>18.3</v>
      </c>
    </row>
    <row r="43" ht="15.75" customHeight="1">
      <c r="A43" s="4">
        <v>1991.0</v>
      </c>
      <c r="B43" s="4">
        <v>193.0</v>
      </c>
      <c r="C43" s="5">
        <v>12.2</v>
      </c>
      <c r="D43" s="5">
        <v>23.5</v>
      </c>
      <c r="E43" s="4">
        <f t="shared" si="1"/>
        <v>1</v>
      </c>
      <c r="F43" s="4">
        <f t="shared" si="2"/>
        <v>1</v>
      </c>
      <c r="G43" s="4">
        <f t="shared" si="3"/>
        <v>28.434</v>
      </c>
      <c r="H43" s="4">
        <f t="shared" si="4"/>
        <v>28.8695</v>
      </c>
      <c r="I43" s="4">
        <f t="shared" si="5"/>
        <v>0.4355</v>
      </c>
      <c r="J43" s="5">
        <v>3.8</v>
      </c>
      <c r="K43" s="5">
        <v>17.5</v>
      </c>
      <c r="L43" s="4">
        <f t="shared" si="6"/>
        <v>8</v>
      </c>
      <c r="M43" s="4">
        <f t="shared" si="7"/>
        <v>0</v>
      </c>
      <c r="N43" s="4">
        <f t="shared" si="8"/>
        <v>-3.4697</v>
      </c>
      <c r="O43" s="4">
        <f t="shared" si="9"/>
        <v>3.8</v>
      </c>
      <c r="P43" s="4">
        <f t="shared" si="10"/>
        <v>17.5</v>
      </c>
    </row>
    <row r="44" ht="15.75" customHeight="1">
      <c r="A44" s="4">
        <v>1991.0</v>
      </c>
      <c r="B44" s="4">
        <v>194.0</v>
      </c>
      <c r="C44" s="5">
        <v>12.8</v>
      </c>
      <c r="D44" s="5">
        <v>17.8</v>
      </c>
      <c r="E44" s="4">
        <f t="shared" si="1"/>
        <v>0</v>
      </c>
      <c r="F44" s="4">
        <f t="shared" si="2"/>
        <v>0</v>
      </c>
      <c r="G44" s="4">
        <f t="shared" si="3"/>
        <v>26.38</v>
      </c>
      <c r="H44" s="4">
        <f t="shared" si="4"/>
        <v>23.816</v>
      </c>
      <c r="I44" s="4" t="str">
        <f t="shared" si="5"/>
        <v> </v>
      </c>
      <c r="J44" s="5"/>
      <c r="K44" s="5">
        <v>15.2</v>
      </c>
      <c r="L44" s="4">
        <f t="shared" si="6"/>
        <v>3</v>
      </c>
      <c r="M44" s="4">
        <f t="shared" si="7"/>
        <v>0</v>
      </c>
      <c r="N44" s="4">
        <f t="shared" si="8"/>
        <v>-2.3668</v>
      </c>
      <c r="O44" s="4" t="str">
        <f t="shared" si="9"/>
        <v/>
      </c>
      <c r="P44" s="4">
        <f t="shared" si="10"/>
        <v>15.2</v>
      </c>
    </row>
    <row r="45" ht="15.75" customHeight="1">
      <c r="A45" s="4">
        <v>1991.0</v>
      </c>
      <c r="B45" s="4">
        <v>195.0</v>
      </c>
      <c r="C45" s="5">
        <v>12.3</v>
      </c>
      <c r="D45" s="5">
        <v>21.7</v>
      </c>
      <c r="E45" s="4">
        <f t="shared" si="1"/>
        <v>0</v>
      </c>
      <c r="F45" s="4">
        <f t="shared" si="2"/>
        <v>0</v>
      </c>
      <c r="G45" s="4">
        <f t="shared" si="3"/>
        <v>28.388</v>
      </c>
      <c r="H45" s="4">
        <f t="shared" si="4"/>
        <v>25.9675</v>
      </c>
      <c r="I45" s="4" t="str">
        <f t="shared" si="5"/>
        <v> </v>
      </c>
      <c r="J45" s="5"/>
      <c r="K45" s="5">
        <v>17.0</v>
      </c>
      <c r="L45" s="4">
        <f t="shared" si="6"/>
        <v>3</v>
      </c>
      <c r="M45" s="4">
        <f t="shared" si="7"/>
        <v>1</v>
      </c>
      <c r="N45" s="4">
        <f t="shared" si="8"/>
        <v>9.1674</v>
      </c>
      <c r="O45" s="4" t="str">
        <f t="shared" si="9"/>
        <v/>
      </c>
      <c r="P45" s="4">
        <f t="shared" si="10"/>
        <v>17</v>
      </c>
    </row>
    <row r="46" ht="15.75" customHeight="1">
      <c r="A46" s="4">
        <v>1991.0</v>
      </c>
      <c r="B46" s="4">
        <v>196.0</v>
      </c>
      <c r="C46" s="5">
        <v>11.9</v>
      </c>
      <c r="D46" s="5">
        <v>23.6</v>
      </c>
      <c r="E46" s="4">
        <f t="shared" si="1"/>
        <v>1</v>
      </c>
      <c r="F46" s="4">
        <f t="shared" si="2"/>
        <v>1</v>
      </c>
      <c r="G46" s="4">
        <f t="shared" si="3"/>
        <v>28.923</v>
      </c>
      <c r="H46" s="4">
        <f t="shared" si="4"/>
        <v>29.326</v>
      </c>
      <c r="I46" s="4">
        <f t="shared" si="5"/>
        <v>0.403</v>
      </c>
      <c r="J46" s="5">
        <v>0.9</v>
      </c>
      <c r="K46" s="5">
        <v>18.5</v>
      </c>
      <c r="L46" s="4">
        <f t="shared" si="6"/>
        <v>8</v>
      </c>
      <c r="M46" s="4">
        <f t="shared" si="7"/>
        <v>1</v>
      </c>
      <c r="N46" s="4">
        <f t="shared" si="8"/>
        <v>6.0126</v>
      </c>
      <c r="O46" s="4">
        <f t="shared" si="9"/>
        <v>0.9</v>
      </c>
      <c r="P46" s="4">
        <f t="shared" si="10"/>
        <v>18.5</v>
      </c>
    </row>
    <row r="47" ht="15.75" customHeight="1">
      <c r="A47" s="4">
        <v>1991.0</v>
      </c>
      <c r="B47" s="4">
        <v>197.0</v>
      </c>
      <c r="C47" s="5">
        <v>16.4</v>
      </c>
      <c r="D47" s="5">
        <v>18.7</v>
      </c>
      <c r="E47" s="4">
        <f t="shared" si="1"/>
        <v>1</v>
      </c>
      <c r="F47" s="4">
        <f t="shared" si="2"/>
        <v>0</v>
      </c>
      <c r="G47" s="4">
        <f t="shared" si="3"/>
        <v>29.331</v>
      </c>
      <c r="H47" s="4">
        <f t="shared" si="4"/>
        <v>29.0305</v>
      </c>
      <c r="I47" s="4" t="str">
        <f t="shared" si="5"/>
        <v> </v>
      </c>
      <c r="J47" s="5">
        <v>18.1</v>
      </c>
      <c r="K47" s="5">
        <v>17.4</v>
      </c>
      <c r="L47" s="4">
        <f t="shared" si="6"/>
        <v>8</v>
      </c>
      <c r="M47" s="4">
        <f t="shared" si="7"/>
        <v>0</v>
      </c>
      <c r="N47" s="4">
        <f t="shared" si="8"/>
        <v>-3.0326</v>
      </c>
      <c r="O47" s="4">
        <f t="shared" si="9"/>
        <v>18.1</v>
      </c>
      <c r="P47" s="4">
        <f t="shared" si="10"/>
        <v>17.4</v>
      </c>
    </row>
    <row r="48" ht="15.75" customHeight="1">
      <c r="A48" s="4">
        <v>1991.0</v>
      </c>
      <c r="B48" s="4">
        <v>198.0</v>
      </c>
      <c r="C48" s="5">
        <v>13.9</v>
      </c>
      <c r="D48" s="5">
        <v>21.5</v>
      </c>
      <c r="E48" s="4">
        <f t="shared" si="1"/>
        <v>0</v>
      </c>
      <c r="F48" s="4">
        <f t="shared" si="2"/>
        <v>0</v>
      </c>
      <c r="G48" s="4">
        <f t="shared" si="3"/>
        <v>30.145</v>
      </c>
      <c r="H48" s="4">
        <f t="shared" si="4"/>
        <v>29.256</v>
      </c>
      <c r="I48" s="4" t="str">
        <f t="shared" si="5"/>
        <v> </v>
      </c>
      <c r="J48" s="5"/>
      <c r="K48" s="5">
        <v>17.4</v>
      </c>
      <c r="L48" s="4">
        <f t="shared" si="6"/>
        <v>3</v>
      </c>
      <c r="M48" s="4">
        <f t="shared" si="7"/>
        <v>0</v>
      </c>
      <c r="N48" s="4">
        <f t="shared" si="8"/>
        <v>-3.1272</v>
      </c>
      <c r="O48" s="4" t="str">
        <f t="shared" si="9"/>
        <v/>
      </c>
      <c r="P48" s="4">
        <f t="shared" si="10"/>
        <v>17.4</v>
      </c>
    </row>
    <row r="49" ht="15.75" customHeight="1">
      <c r="A49" s="4">
        <v>1991.0</v>
      </c>
      <c r="B49" s="4">
        <v>199.0</v>
      </c>
      <c r="C49" s="5">
        <v>12.8</v>
      </c>
      <c r="D49" s="5">
        <v>22.0</v>
      </c>
      <c r="E49" s="4">
        <f t="shared" si="1"/>
        <v>0</v>
      </c>
      <c r="F49" s="4">
        <f t="shared" si="2"/>
        <v>1</v>
      </c>
      <c r="G49" s="4">
        <f t="shared" si="3"/>
        <v>33.351</v>
      </c>
      <c r="H49" s="4">
        <f t="shared" si="4"/>
        <v>33.6915</v>
      </c>
      <c r="I49" s="4">
        <f t="shared" si="5"/>
        <v>0.3405</v>
      </c>
      <c r="J49" s="5"/>
      <c r="K49" s="5">
        <v>17.1</v>
      </c>
      <c r="L49" s="4">
        <f t="shared" si="6"/>
        <v>3</v>
      </c>
      <c r="M49" s="4">
        <f t="shared" si="7"/>
        <v>1</v>
      </c>
      <c r="N49" s="4">
        <f t="shared" si="8"/>
        <v>5.5148</v>
      </c>
      <c r="O49" s="4" t="str">
        <f t="shared" si="9"/>
        <v/>
      </c>
      <c r="P49" s="4">
        <f t="shared" si="10"/>
        <v>17.1</v>
      </c>
    </row>
    <row r="50" ht="15.75" customHeight="1">
      <c r="A50" s="4">
        <v>1991.0</v>
      </c>
      <c r="B50" s="4">
        <v>200.0</v>
      </c>
      <c r="C50" s="5">
        <v>11.5</v>
      </c>
      <c r="D50" s="5">
        <v>20.0</v>
      </c>
      <c r="E50" s="4">
        <f t="shared" si="1"/>
        <v>1</v>
      </c>
      <c r="F50" s="4">
        <f t="shared" si="2"/>
        <v>1</v>
      </c>
      <c r="G50" s="4">
        <f t="shared" si="3"/>
        <v>33.867</v>
      </c>
      <c r="H50" s="4">
        <f t="shared" si="4"/>
        <v>36.5565</v>
      </c>
      <c r="I50" s="4">
        <f t="shared" si="5"/>
        <v>2.6895</v>
      </c>
      <c r="J50" s="5">
        <v>0.6</v>
      </c>
      <c r="K50" s="5">
        <v>16.0</v>
      </c>
      <c r="L50" s="4">
        <f t="shared" si="6"/>
        <v>8</v>
      </c>
      <c r="M50" s="4">
        <f t="shared" si="7"/>
        <v>1</v>
      </c>
      <c r="N50" s="4">
        <f t="shared" si="8"/>
        <v>10.6709</v>
      </c>
      <c r="O50" s="4">
        <f t="shared" si="9"/>
        <v>0.6</v>
      </c>
      <c r="P50" s="4">
        <f t="shared" si="10"/>
        <v>16</v>
      </c>
    </row>
    <row r="51" ht="15.75" customHeight="1">
      <c r="A51" s="4">
        <v>1991.0</v>
      </c>
      <c r="B51" s="4">
        <v>201.0</v>
      </c>
      <c r="C51" s="5">
        <v>10.2</v>
      </c>
      <c r="D51" s="5">
        <v>22.5</v>
      </c>
      <c r="E51" s="4">
        <f t="shared" si="1"/>
        <v>1</v>
      </c>
      <c r="F51" s="4">
        <f t="shared" si="2"/>
        <v>1</v>
      </c>
      <c r="G51" s="4">
        <f t="shared" si="3"/>
        <v>31.288</v>
      </c>
      <c r="H51" s="4">
        <f t="shared" si="4"/>
        <v>34.8535</v>
      </c>
      <c r="I51" s="4">
        <f t="shared" si="5"/>
        <v>3.5655</v>
      </c>
      <c r="J51" s="5">
        <v>0.3</v>
      </c>
      <c r="K51" s="5">
        <v>17.1</v>
      </c>
      <c r="L51" s="4">
        <f t="shared" si="6"/>
        <v>8</v>
      </c>
      <c r="M51" s="4">
        <f t="shared" si="7"/>
        <v>1</v>
      </c>
      <c r="N51" s="4">
        <f t="shared" si="8"/>
        <v>9.2532</v>
      </c>
      <c r="O51" s="4">
        <f t="shared" si="9"/>
        <v>0.3</v>
      </c>
      <c r="P51" s="4">
        <f t="shared" si="10"/>
        <v>17.1</v>
      </c>
    </row>
    <row r="52" ht="15.75" customHeight="1">
      <c r="A52" s="4">
        <v>1991.0</v>
      </c>
      <c r="B52" s="4">
        <v>202.0</v>
      </c>
      <c r="C52" s="5">
        <v>12.5</v>
      </c>
      <c r="D52" s="5">
        <v>22.6</v>
      </c>
      <c r="E52" s="4">
        <f t="shared" si="1"/>
        <v>1</v>
      </c>
      <c r="F52" s="4">
        <f t="shared" si="2"/>
        <v>1</v>
      </c>
      <c r="G52" s="4">
        <f t="shared" si="3"/>
        <v>32.06</v>
      </c>
      <c r="H52" s="4">
        <f t="shared" si="4"/>
        <v>34.9555</v>
      </c>
      <c r="I52" s="4">
        <f t="shared" si="5"/>
        <v>2.8955</v>
      </c>
      <c r="J52" s="5">
        <v>1.8</v>
      </c>
      <c r="K52" s="5">
        <v>16.9</v>
      </c>
      <c r="L52" s="4">
        <f t="shared" si="6"/>
        <v>8</v>
      </c>
      <c r="M52" s="4">
        <f t="shared" si="7"/>
        <v>1</v>
      </c>
      <c r="N52" s="4">
        <f t="shared" si="8"/>
        <v>8.8078</v>
      </c>
      <c r="O52" s="4">
        <f t="shared" si="9"/>
        <v>1.8</v>
      </c>
      <c r="P52" s="4">
        <f t="shared" si="10"/>
        <v>16.9</v>
      </c>
    </row>
    <row r="53" ht="15.75" customHeight="1">
      <c r="A53" s="4">
        <v>1991.0</v>
      </c>
      <c r="B53" s="4">
        <v>203.0</v>
      </c>
      <c r="C53" s="5">
        <v>11.9</v>
      </c>
      <c r="D53" s="5">
        <v>23.3</v>
      </c>
      <c r="E53" s="4">
        <f t="shared" si="1"/>
        <v>1</v>
      </c>
      <c r="F53" s="4">
        <f t="shared" si="2"/>
        <v>1</v>
      </c>
      <c r="G53" s="4">
        <f t="shared" si="3"/>
        <v>30.785</v>
      </c>
      <c r="H53" s="4">
        <f t="shared" si="4"/>
        <v>31.0275</v>
      </c>
      <c r="I53" s="4">
        <f t="shared" si="5"/>
        <v>0.2425</v>
      </c>
      <c r="J53" s="5">
        <v>0.1</v>
      </c>
      <c r="K53" s="5">
        <v>17.3</v>
      </c>
      <c r="L53" s="4">
        <f t="shared" si="6"/>
        <v>8</v>
      </c>
      <c r="M53" s="4">
        <f t="shared" si="7"/>
        <v>1</v>
      </c>
      <c r="N53" s="4">
        <f t="shared" si="8"/>
        <v>11.051</v>
      </c>
      <c r="O53" s="4">
        <f t="shared" si="9"/>
        <v>0.1</v>
      </c>
      <c r="P53" s="4">
        <f t="shared" si="10"/>
        <v>17.3</v>
      </c>
    </row>
    <row r="54" ht="15.75" customHeight="1">
      <c r="A54" s="4">
        <v>1991.0</v>
      </c>
      <c r="B54" s="4">
        <v>204.0</v>
      </c>
      <c r="C54" s="5">
        <v>10.9</v>
      </c>
      <c r="D54" s="5">
        <v>21.4</v>
      </c>
      <c r="E54" s="4">
        <f t="shared" si="1"/>
        <v>1</v>
      </c>
      <c r="F54" s="4">
        <f t="shared" si="2"/>
        <v>1</v>
      </c>
      <c r="G54" s="4">
        <f t="shared" si="3"/>
        <v>27.289</v>
      </c>
      <c r="H54" s="4">
        <f t="shared" si="4"/>
        <v>27.462</v>
      </c>
      <c r="I54" s="4">
        <f t="shared" si="5"/>
        <v>0.173</v>
      </c>
      <c r="J54" s="5">
        <v>9.0</v>
      </c>
      <c r="K54" s="5">
        <v>17.3</v>
      </c>
      <c r="L54" s="4">
        <f t="shared" si="6"/>
        <v>8</v>
      </c>
      <c r="M54" s="4">
        <f t="shared" si="7"/>
        <v>1</v>
      </c>
      <c r="N54" s="4">
        <f t="shared" si="8"/>
        <v>11.8396</v>
      </c>
      <c r="O54" s="4">
        <f t="shared" si="9"/>
        <v>9</v>
      </c>
      <c r="P54" s="4">
        <f t="shared" si="10"/>
        <v>17.3</v>
      </c>
    </row>
    <row r="55" ht="15.75" customHeight="1">
      <c r="A55" s="4">
        <v>1991.0</v>
      </c>
      <c r="B55" s="4">
        <v>205.0</v>
      </c>
      <c r="C55" s="5">
        <v>12.9</v>
      </c>
      <c r="D55" s="5">
        <v>16.3</v>
      </c>
      <c r="E55" s="4">
        <f t="shared" si="1"/>
        <v>1</v>
      </c>
      <c r="F55" s="4">
        <f t="shared" si="2"/>
        <v>0</v>
      </c>
      <c r="G55" s="4">
        <f t="shared" si="3"/>
        <v>23.64</v>
      </c>
      <c r="H55" s="4">
        <f t="shared" si="4"/>
        <v>23.0105</v>
      </c>
      <c r="I55" s="4" t="str">
        <f t="shared" si="5"/>
        <v> </v>
      </c>
      <c r="J55" s="5">
        <v>25.4</v>
      </c>
      <c r="K55" s="5">
        <v>13.8</v>
      </c>
      <c r="L55" s="4">
        <f t="shared" si="6"/>
        <v>8</v>
      </c>
      <c r="M55" s="4">
        <f t="shared" si="7"/>
        <v>1</v>
      </c>
      <c r="N55" s="4">
        <f t="shared" si="8"/>
        <v>6.6845</v>
      </c>
      <c r="O55" s="4">
        <f t="shared" si="9"/>
        <v>25.4</v>
      </c>
      <c r="P55" s="4">
        <f t="shared" si="10"/>
        <v>13.8</v>
      </c>
    </row>
    <row r="56" ht="15.75" customHeight="1">
      <c r="A56" s="4">
        <v>1991.0</v>
      </c>
      <c r="B56" s="4">
        <v>206.0</v>
      </c>
      <c r="C56" s="5">
        <v>12.9</v>
      </c>
      <c r="D56" s="5">
        <v>18.4</v>
      </c>
      <c r="E56" s="4">
        <f t="shared" si="1"/>
        <v>1</v>
      </c>
      <c r="F56" s="4">
        <f t="shared" si="2"/>
        <v>0</v>
      </c>
      <c r="G56" s="4">
        <f t="shared" si="3"/>
        <v>25.205</v>
      </c>
      <c r="H56" s="4">
        <f t="shared" si="4"/>
        <v>22.9555</v>
      </c>
      <c r="I56" s="4" t="str">
        <f t="shared" si="5"/>
        <v> </v>
      </c>
      <c r="J56" s="5">
        <v>6.2</v>
      </c>
      <c r="K56" s="5">
        <v>15.2</v>
      </c>
      <c r="L56" s="4">
        <f t="shared" si="6"/>
        <v>8</v>
      </c>
      <c r="M56" s="4">
        <f t="shared" si="7"/>
        <v>0</v>
      </c>
      <c r="N56" s="4">
        <f t="shared" si="8"/>
        <v>-3.9699</v>
      </c>
      <c r="O56" s="4">
        <f t="shared" si="9"/>
        <v>6.2</v>
      </c>
      <c r="P56" s="4">
        <f t="shared" si="10"/>
        <v>15.2</v>
      </c>
    </row>
    <row r="57" ht="15.75" customHeight="1">
      <c r="A57" s="4">
        <v>1991.0</v>
      </c>
      <c r="B57" s="4">
        <v>207.0</v>
      </c>
      <c r="C57" s="5">
        <v>11.2</v>
      </c>
      <c r="D57" s="5">
        <v>20.4</v>
      </c>
      <c r="E57" s="4">
        <f t="shared" si="1"/>
        <v>0</v>
      </c>
      <c r="F57" s="4">
        <f t="shared" si="2"/>
        <v>0</v>
      </c>
      <c r="G57" s="4">
        <f t="shared" si="3"/>
        <v>25.737</v>
      </c>
      <c r="H57" s="4">
        <f t="shared" si="4"/>
        <v>21.184</v>
      </c>
      <c r="I57" s="4" t="str">
        <f t="shared" si="5"/>
        <v> </v>
      </c>
      <c r="J57" s="5"/>
      <c r="K57" s="5">
        <v>15.7</v>
      </c>
      <c r="L57" s="4">
        <f t="shared" si="6"/>
        <v>3</v>
      </c>
      <c r="M57" s="4">
        <f t="shared" si="7"/>
        <v>0</v>
      </c>
      <c r="N57" s="4">
        <f t="shared" si="8"/>
        <v>-8.9186</v>
      </c>
      <c r="O57" s="4" t="str">
        <f t="shared" si="9"/>
        <v/>
      </c>
      <c r="P57" s="4">
        <f t="shared" si="10"/>
        <v>15.7</v>
      </c>
    </row>
    <row r="58" ht="15.75" customHeight="1">
      <c r="A58" s="4">
        <v>1991.0</v>
      </c>
      <c r="B58" s="4">
        <v>208.0</v>
      </c>
      <c r="C58" s="5">
        <v>10.1</v>
      </c>
      <c r="D58" s="5">
        <v>21.7</v>
      </c>
      <c r="E58" s="4">
        <f t="shared" si="1"/>
        <v>0</v>
      </c>
      <c r="F58" s="4">
        <f t="shared" si="2"/>
        <v>0</v>
      </c>
      <c r="G58" s="4">
        <f t="shared" si="3"/>
        <v>29.258</v>
      </c>
      <c r="H58" s="4">
        <f t="shared" si="4"/>
        <v>24.219</v>
      </c>
      <c r="I58" s="4" t="str">
        <f t="shared" si="5"/>
        <v> </v>
      </c>
      <c r="J58" s="5"/>
      <c r="K58" s="5">
        <v>15.2</v>
      </c>
      <c r="L58" s="4">
        <f t="shared" si="6"/>
        <v>3</v>
      </c>
      <c r="M58" s="4">
        <f t="shared" si="7"/>
        <v>0</v>
      </c>
      <c r="N58" s="4">
        <f t="shared" si="8"/>
        <v>-9.1794</v>
      </c>
      <c r="O58" s="4" t="str">
        <f t="shared" si="9"/>
        <v/>
      </c>
      <c r="P58" s="4">
        <f t="shared" si="10"/>
        <v>15.2</v>
      </c>
    </row>
    <row r="59" ht="15.75" customHeight="1">
      <c r="A59" s="4">
        <v>1991.0</v>
      </c>
      <c r="B59" s="4">
        <v>209.0</v>
      </c>
      <c r="C59" s="5">
        <v>8.5</v>
      </c>
      <c r="D59" s="5">
        <v>20.8</v>
      </c>
      <c r="E59" s="4">
        <f t="shared" si="1"/>
        <v>0</v>
      </c>
      <c r="F59" s="4">
        <f t="shared" si="2"/>
        <v>0</v>
      </c>
      <c r="G59" s="4">
        <f t="shared" si="3"/>
        <v>28.525</v>
      </c>
      <c r="H59" s="4">
        <f t="shared" si="4"/>
        <v>24.2195</v>
      </c>
      <c r="I59" s="4" t="str">
        <f t="shared" si="5"/>
        <v> </v>
      </c>
      <c r="J59" s="5"/>
      <c r="K59" s="5">
        <v>14.9</v>
      </c>
      <c r="L59" s="4">
        <f t="shared" si="6"/>
        <v>3</v>
      </c>
      <c r="M59" s="4">
        <f t="shared" si="7"/>
        <v>0</v>
      </c>
      <c r="N59" s="4">
        <f t="shared" si="8"/>
        <v>-8.7235</v>
      </c>
      <c r="O59" s="4" t="str">
        <f t="shared" si="9"/>
        <v/>
      </c>
      <c r="P59" s="4">
        <f t="shared" si="10"/>
        <v>14.9</v>
      </c>
    </row>
    <row r="60" ht="15.75" customHeight="1">
      <c r="A60" s="4">
        <v>1991.0</v>
      </c>
      <c r="B60" s="4">
        <v>210.0</v>
      </c>
      <c r="C60" s="5">
        <v>8.0</v>
      </c>
      <c r="D60" s="5">
        <v>21.7</v>
      </c>
      <c r="E60" s="4">
        <f t="shared" si="1"/>
        <v>0</v>
      </c>
      <c r="F60" s="4">
        <f t="shared" si="2"/>
        <v>0</v>
      </c>
      <c r="G60" s="4">
        <f t="shared" si="3"/>
        <v>29.134</v>
      </c>
      <c r="H60" s="4">
        <f t="shared" si="4"/>
        <v>24.2585</v>
      </c>
      <c r="I60" s="4" t="str">
        <f t="shared" si="5"/>
        <v> </v>
      </c>
      <c r="J60" s="5"/>
      <c r="K60" s="5">
        <v>15.5</v>
      </c>
      <c r="L60" s="4">
        <f t="shared" si="6"/>
        <v>3</v>
      </c>
      <c r="M60" s="4">
        <f t="shared" si="7"/>
        <v>0</v>
      </c>
      <c r="N60" s="4">
        <f t="shared" si="8"/>
        <v>-9.5375</v>
      </c>
      <c r="O60" s="4" t="str">
        <f t="shared" si="9"/>
        <v/>
      </c>
      <c r="P60" s="4">
        <f t="shared" si="10"/>
        <v>15.5</v>
      </c>
    </row>
    <row r="61" ht="15.75" customHeight="1">
      <c r="A61" s="4">
        <v>1991.0</v>
      </c>
      <c r="B61" s="4">
        <v>211.0</v>
      </c>
      <c r="C61" s="5">
        <v>9.0</v>
      </c>
      <c r="D61" s="5">
        <v>24.0</v>
      </c>
      <c r="E61" s="4">
        <f t="shared" si="1"/>
        <v>0</v>
      </c>
      <c r="F61" s="4">
        <f t="shared" si="2"/>
        <v>0</v>
      </c>
      <c r="G61" s="4">
        <f t="shared" si="3"/>
        <v>31.118</v>
      </c>
      <c r="H61" s="4">
        <f t="shared" si="4"/>
        <v>25.975</v>
      </c>
      <c r="I61" s="4" t="str">
        <f t="shared" si="5"/>
        <v> </v>
      </c>
      <c r="J61" s="5"/>
      <c r="K61" s="5">
        <v>17.2</v>
      </c>
      <c r="L61" s="4">
        <f t="shared" si="6"/>
        <v>3</v>
      </c>
      <c r="M61" s="4">
        <f t="shared" si="7"/>
        <v>0</v>
      </c>
      <c r="N61" s="4">
        <f t="shared" si="8"/>
        <v>-8.4976</v>
      </c>
      <c r="O61" s="4" t="str">
        <f t="shared" si="9"/>
        <v/>
      </c>
      <c r="P61" s="4">
        <f t="shared" si="10"/>
        <v>17.2</v>
      </c>
    </row>
    <row r="62" ht="15.75" customHeight="1">
      <c r="A62" s="4">
        <v>1991.0</v>
      </c>
      <c r="B62" s="4">
        <v>212.0</v>
      </c>
      <c r="C62" s="5">
        <v>9.5</v>
      </c>
      <c r="D62" s="5">
        <v>26.7</v>
      </c>
      <c r="E62" s="4">
        <f t="shared" si="1"/>
        <v>0</v>
      </c>
      <c r="F62" s="4">
        <f t="shared" si="2"/>
        <v>0</v>
      </c>
      <c r="G62" s="4">
        <f t="shared" si="3"/>
        <v>32.532</v>
      </c>
      <c r="H62" s="4">
        <f t="shared" si="4"/>
        <v>27.1335</v>
      </c>
      <c r="I62" s="4" t="str">
        <f t="shared" si="5"/>
        <v> </v>
      </c>
      <c r="J62" s="5"/>
      <c r="K62" s="5">
        <v>18.6</v>
      </c>
      <c r="L62" s="4">
        <f t="shared" si="6"/>
        <v>3</v>
      </c>
      <c r="M62" s="4">
        <f t="shared" si="7"/>
        <v>0</v>
      </c>
      <c r="N62" s="4">
        <f t="shared" si="8"/>
        <v>-10.409</v>
      </c>
      <c r="O62" s="4" t="str">
        <f t="shared" si="9"/>
        <v/>
      </c>
      <c r="P62" s="4">
        <f t="shared" si="10"/>
        <v>18.6</v>
      </c>
    </row>
    <row r="63" ht="15.75" customHeight="1">
      <c r="A63" s="4">
        <v>1991.0</v>
      </c>
      <c r="B63" s="4">
        <v>213.0</v>
      </c>
      <c r="C63" s="5">
        <v>12.5</v>
      </c>
      <c r="D63" s="5">
        <v>24.6</v>
      </c>
      <c r="E63" s="4">
        <f t="shared" si="1"/>
        <v>0</v>
      </c>
      <c r="F63" s="4">
        <f t="shared" si="2"/>
        <v>0</v>
      </c>
      <c r="G63" s="4">
        <f t="shared" si="3"/>
        <v>30.989</v>
      </c>
      <c r="H63" s="4">
        <f t="shared" si="4"/>
        <v>26.051</v>
      </c>
      <c r="I63" s="4" t="str">
        <f t="shared" si="5"/>
        <v> </v>
      </c>
      <c r="J63" s="5"/>
      <c r="K63" s="5">
        <v>18.8</v>
      </c>
      <c r="L63" s="4">
        <f t="shared" si="6"/>
        <v>3</v>
      </c>
      <c r="M63" s="4">
        <f t="shared" si="7"/>
        <v>0</v>
      </c>
      <c r="N63" s="4">
        <f t="shared" si="8"/>
        <v>-9.8952</v>
      </c>
      <c r="O63" s="4" t="str">
        <f t="shared" si="9"/>
        <v/>
      </c>
      <c r="P63" s="4">
        <f t="shared" si="10"/>
        <v>18.8</v>
      </c>
    </row>
    <row r="64" ht="15.75" customHeight="1">
      <c r="A64" s="4">
        <v>1991.0</v>
      </c>
      <c r="B64" s="4">
        <v>214.0</v>
      </c>
      <c r="C64" s="5">
        <v>10.2</v>
      </c>
      <c r="D64" s="5">
        <v>22.7</v>
      </c>
      <c r="E64" s="4">
        <f t="shared" si="1"/>
        <v>0</v>
      </c>
      <c r="F64" s="4">
        <f t="shared" si="2"/>
        <v>0</v>
      </c>
      <c r="G64" s="4">
        <f t="shared" si="3"/>
        <v>31.118</v>
      </c>
      <c r="H64" s="4">
        <f t="shared" si="4"/>
        <v>27.519</v>
      </c>
      <c r="I64" s="4" t="str">
        <f t="shared" si="5"/>
        <v> </v>
      </c>
      <c r="J64" s="5"/>
      <c r="K64" s="5">
        <v>17.0</v>
      </c>
      <c r="L64" s="4">
        <f t="shared" si="6"/>
        <v>3</v>
      </c>
      <c r="M64" s="4">
        <f t="shared" si="7"/>
        <v>0</v>
      </c>
      <c r="N64" s="4">
        <f t="shared" si="8"/>
        <v>-9.2011</v>
      </c>
      <c r="O64" s="4" t="str">
        <f t="shared" si="9"/>
        <v/>
      </c>
      <c r="P64" s="4">
        <f t="shared" si="10"/>
        <v>17</v>
      </c>
    </row>
    <row r="65" ht="15.75" customHeight="1">
      <c r="A65" s="4">
        <v>1991.0</v>
      </c>
      <c r="B65" s="4">
        <v>215.0</v>
      </c>
      <c r="C65" s="5">
        <v>9.3</v>
      </c>
      <c r="D65" s="5">
        <v>23.9</v>
      </c>
      <c r="E65" s="4">
        <f t="shared" si="1"/>
        <v>0</v>
      </c>
      <c r="F65" s="4">
        <f t="shared" si="2"/>
        <v>0</v>
      </c>
      <c r="G65" s="4">
        <f t="shared" si="3"/>
        <v>35.271</v>
      </c>
      <c r="H65" s="4">
        <f t="shared" si="4"/>
        <v>32.892</v>
      </c>
      <c r="I65" s="4" t="str">
        <f t="shared" si="5"/>
        <v> </v>
      </c>
      <c r="J65" s="5"/>
      <c r="K65" s="5">
        <v>17.2</v>
      </c>
      <c r="L65" s="4">
        <f t="shared" si="6"/>
        <v>3</v>
      </c>
      <c r="M65" s="4">
        <f t="shared" si="7"/>
        <v>0</v>
      </c>
      <c r="N65" s="4">
        <f t="shared" si="8"/>
        <v>-8.2637</v>
      </c>
      <c r="O65" s="4" t="str">
        <f t="shared" si="9"/>
        <v/>
      </c>
      <c r="P65" s="4">
        <f t="shared" si="10"/>
        <v>17.2</v>
      </c>
    </row>
    <row r="66" ht="15.75" customHeight="1">
      <c r="A66" s="4">
        <v>1991.0</v>
      </c>
      <c r="B66" s="4">
        <v>216.0</v>
      </c>
      <c r="C66" s="5">
        <v>10.0</v>
      </c>
      <c r="D66" s="5">
        <v>24.5</v>
      </c>
      <c r="E66" s="4">
        <f t="shared" si="1"/>
        <v>0</v>
      </c>
      <c r="F66" s="4">
        <f t="shared" si="2"/>
        <v>0</v>
      </c>
      <c r="G66" s="4">
        <f t="shared" si="3"/>
        <v>35.892</v>
      </c>
      <c r="H66" s="4">
        <f t="shared" si="4"/>
        <v>34.6935</v>
      </c>
      <c r="I66" s="4" t="str">
        <f t="shared" si="5"/>
        <v> </v>
      </c>
      <c r="J66" s="5"/>
      <c r="K66" s="5">
        <v>17.9</v>
      </c>
      <c r="L66" s="4">
        <f t="shared" si="6"/>
        <v>3</v>
      </c>
      <c r="M66" s="4">
        <f t="shared" si="7"/>
        <v>0</v>
      </c>
      <c r="N66" s="4">
        <f t="shared" si="8"/>
        <v>-5.4838</v>
      </c>
      <c r="O66" s="4" t="str">
        <f t="shared" si="9"/>
        <v/>
      </c>
      <c r="P66" s="4">
        <f t="shared" si="10"/>
        <v>17.9</v>
      </c>
    </row>
    <row r="67" ht="15.75" customHeight="1">
      <c r="A67" s="4">
        <v>1991.0</v>
      </c>
      <c r="B67" s="4">
        <v>217.0</v>
      </c>
      <c r="C67" s="5">
        <v>12.0</v>
      </c>
      <c r="D67" s="5">
        <v>23.0</v>
      </c>
      <c r="E67" s="4">
        <f t="shared" si="1"/>
        <v>0</v>
      </c>
      <c r="F67" s="4">
        <f t="shared" si="2"/>
        <v>0</v>
      </c>
      <c r="G67" s="4">
        <f t="shared" si="3"/>
        <v>39.551</v>
      </c>
      <c r="H67" s="4">
        <f t="shared" si="4"/>
        <v>39.4525</v>
      </c>
      <c r="I67" s="4" t="str">
        <f t="shared" si="5"/>
        <v> </v>
      </c>
      <c r="J67" s="5"/>
      <c r="K67" s="5">
        <v>17.7</v>
      </c>
      <c r="L67" s="4">
        <f t="shared" si="6"/>
        <v>3</v>
      </c>
      <c r="M67" s="4">
        <f t="shared" si="7"/>
        <v>1</v>
      </c>
      <c r="N67" s="4">
        <f t="shared" si="8"/>
        <v>6.6374</v>
      </c>
      <c r="O67" s="4" t="str">
        <f t="shared" si="9"/>
        <v/>
      </c>
      <c r="P67" s="4">
        <f t="shared" si="10"/>
        <v>17.7</v>
      </c>
    </row>
    <row r="68" ht="15.75" customHeight="1">
      <c r="A68" s="4">
        <v>1991.0</v>
      </c>
      <c r="B68" s="4">
        <v>218.0</v>
      </c>
      <c r="C68" s="5">
        <v>9.8</v>
      </c>
      <c r="D68" s="5">
        <v>24.8</v>
      </c>
      <c r="E68" s="4">
        <f t="shared" si="1"/>
        <v>1</v>
      </c>
      <c r="F68" s="4">
        <f t="shared" si="2"/>
        <v>1</v>
      </c>
      <c r="G68" s="4">
        <f t="shared" si="3"/>
        <v>38.155</v>
      </c>
      <c r="H68" s="4">
        <f t="shared" si="4"/>
        <v>38.3355</v>
      </c>
      <c r="I68" s="4">
        <f t="shared" si="5"/>
        <v>0.1805</v>
      </c>
      <c r="J68" s="5">
        <v>0.7</v>
      </c>
      <c r="K68" s="5">
        <v>17.1</v>
      </c>
      <c r="L68" s="4">
        <f t="shared" si="6"/>
        <v>8</v>
      </c>
      <c r="M68" s="4">
        <f t="shared" si="7"/>
        <v>1</v>
      </c>
      <c r="N68" s="4">
        <f t="shared" si="8"/>
        <v>10.5421</v>
      </c>
      <c r="O68" s="4">
        <f t="shared" si="9"/>
        <v>0.7</v>
      </c>
      <c r="P68" s="4">
        <f t="shared" si="10"/>
        <v>17.1</v>
      </c>
    </row>
    <row r="69" ht="15.75" customHeight="1">
      <c r="A69" s="4">
        <v>1991.0</v>
      </c>
      <c r="B69" s="4">
        <v>219.0</v>
      </c>
      <c r="C69" s="5">
        <v>14.3</v>
      </c>
      <c r="D69" s="5">
        <v>27.6</v>
      </c>
      <c r="E69" s="4">
        <f t="shared" si="1"/>
        <v>1</v>
      </c>
      <c r="F69" s="4">
        <f t="shared" si="2"/>
        <v>1</v>
      </c>
      <c r="G69" s="4">
        <f t="shared" si="3"/>
        <v>37.607</v>
      </c>
      <c r="H69" s="4">
        <f t="shared" si="4"/>
        <v>38.7745</v>
      </c>
      <c r="I69" s="4">
        <f t="shared" si="5"/>
        <v>1.1675</v>
      </c>
      <c r="J69" s="5">
        <v>0.5</v>
      </c>
      <c r="K69" s="5">
        <v>20.6</v>
      </c>
      <c r="L69" s="4">
        <f t="shared" si="6"/>
        <v>8</v>
      </c>
      <c r="M69" s="4">
        <f t="shared" si="7"/>
        <v>1</v>
      </c>
      <c r="N69" s="4">
        <f t="shared" si="8"/>
        <v>9.0974</v>
      </c>
      <c r="O69" s="4">
        <f t="shared" si="9"/>
        <v>0.5</v>
      </c>
      <c r="P69" s="4">
        <f t="shared" si="10"/>
        <v>20.6</v>
      </c>
    </row>
    <row r="70" ht="15.75" customHeight="1">
      <c r="A70" s="4">
        <v>1991.0</v>
      </c>
      <c r="B70" s="4">
        <v>220.0</v>
      </c>
      <c r="C70" s="5">
        <v>16.7</v>
      </c>
      <c r="D70" s="5">
        <v>23.0</v>
      </c>
      <c r="E70" s="4">
        <f t="shared" si="1"/>
        <v>1</v>
      </c>
      <c r="F70" s="4">
        <f t="shared" si="2"/>
        <v>1</v>
      </c>
      <c r="G70" s="4">
        <f t="shared" si="3"/>
        <v>33.991</v>
      </c>
      <c r="H70" s="4">
        <f t="shared" si="4"/>
        <v>34.8655</v>
      </c>
      <c r="I70" s="4">
        <f t="shared" si="5"/>
        <v>0.8745</v>
      </c>
      <c r="J70" s="5">
        <v>2.4</v>
      </c>
      <c r="K70" s="5">
        <v>19.3</v>
      </c>
      <c r="L70" s="4">
        <f t="shared" si="6"/>
        <v>8</v>
      </c>
      <c r="M70" s="4">
        <f t="shared" si="7"/>
        <v>1</v>
      </c>
      <c r="N70" s="4">
        <f t="shared" si="8"/>
        <v>5.5068</v>
      </c>
      <c r="O70" s="4">
        <f t="shared" si="9"/>
        <v>2.4</v>
      </c>
      <c r="P70" s="4">
        <f t="shared" si="10"/>
        <v>19.3</v>
      </c>
    </row>
    <row r="71" ht="15.75" customHeight="1">
      <c r="A71" s="4">
        <v>1991.0</v>
      </c>
      <c r="B71" s="4">
        <v>221.0</v>
      </c>
      <c r="C71" s="5">
        <v>15.1</v>
      </c>
      <c r="D71" s="5">
        <v>25.7</v>
      </c>
      <c r="E71" s="4">
        <f t="shared" si="1"/>
        <v>1</v>
      </c>
      <c r="F71" s="4">
        <f t="shared" si="2"/>
        <v>1</v>
      </c>
      <c r="G71" s="4">
        <f t="shared" si="3"/>
        <v>31.169</v>
      </c>
      <c r="H71" s="4">
        <f t="shared" si="4"/>
        <v>31.644</v>
      </c>
      <c r="I71" s="4">
        <f t="shared" si="5"/>
        <v>0.475</v>
      </c>
      <c r="J71" s="5">
        <v>8.9</v>
      </c>
      <c r="K71" s="5">
        <v>20.3</v>
      </c>
      <c r="L71" s="4">
        <f t="shared" si="6"/>
        <v>8</v>
      </c>
      <c r="M71" s="4">
        <f t="shared" si="7"/>
        <v>0</v>
      </c>
      <c r="N71" s="4">
        <f t="shared" si="8"/>
        <v>-0.0248</v>
      </c>
      <c r="O71" s="4">
        <f t="shared" si="9"/>
        <v>8.9</v>
      </c>
      <c r="P71" s="4">
        <f t="shared" si="10"/>
        <v>20.3</v>
      </c>
    </row>
    <row r="72" ht="15.75" customHeight="1">
      <c r="A72" s="4">
        <v>1991.0</v>
      </c>
      <c r="B72" s="4">
        <v>222.0</v>
      </c>
      <c r="C72" s="5">
        <v>14.5</v>
      </c>
      <c r="D72" s="5">
        <v>20.8</v>
      </c>
      <c r="E72" s="4">
        <f t="shared" si="1"/>
        <v>0</v>
      </c>
      <c r="F72" s="4">
        <f t="shared" si="2"/>
        <v>1</v>
      </c>
      <c r="G72" s="4">
        <f t="shared" si="3"/>
        <v>26.949</v>
      </c>
      <c r="H72" s="4">
        <f t="shared" si="4"/>
        <v>28.079</v>
      </c>
      <c r="I72" s="4">
        <f t="shared" si="5"/>
        <v>1.13</v>
      </c>
      <c r="J72" s="5"/>
      <c r="K72" s="5">
        <v>16.6</v>
      </c>
      <c r="L72" s="4">
        <f t="shared" si="6"/>
        <v>3</v>
      </c>
      <c r="M72" s="4">
        <f t="shared" si="7"/>
        <v>1</v>
      </c>
      <c r="N72" s="4">
        <f t="shared" si="8"/>
        <v>7.4202</v>
      </c>
      <c r="O72" s="4" t="str">
        <f t="shared" si="9"/>
        <v/>
      </c>
      <c r="P72" s="4">
        <f t="shared" si="10"/>
        <v>16.6</v>
      </c>
    </row>
    <row r="73" ht="15.75" customHeight="1">
      <c r="A73" s="4">
        <v>1991.0</v>
      </c>
      <c r="B73" s="4">
        <v>223.0</v>
      </c>
      <c r="C73" s="5">
        <v>12.3</v>
      </c>
      <c r="D73" s="5">
        <v>19.9</v>
      </c>
      <c r="E73" s="4">
        <f t="shared" si="1"/>
        <v>1</v>
      </c>
      <c r="F73" s="4">
        <f t="shared" si="2"/>
        <v>1</v>
      </c>
      <c r="G73" s="4">
        <f t="shared" si="3"/>
        <v>27.375</v>
      </c>
      <c r="H73" s="4">
        <f t="shared" si="4"/>
        <v>28.3335</v>
      </c>
      <c r="I73" s="4">
        <f t="shared" si="5"/>
        <v>0.9585</v>
      </c>
      <c r="J73" s="5">
        <v>2.0</v>
      </c>
      <c r="K73" s="5">
        <v>15.5</v>
      </c>
      <c r="L73" s="4">
        <f t="shared" si="6"/>
        <v>8</v>
      </c>
      <c r="M73" s="4">
        <f t="shared" si="7"/>
        <v>1</v>
      </c>
      <c r="N73" s="4">
        <f t="shared" si="8"/>
        <v>10.1596</v>
      </c>
      <c r="O73" s="4">
        <f t="shared" si="9"/>
        <v>2</v>
      </c>
      <c r="P73" s="4">
        <f t="shared" si="10"/>
        <v>15.5</v>
      </c>
    </row>
    <row r="74" ht="15.75" customHeight="1">
      <c r="A74" s="4">
        <v>1991.0</v>
      </c>
      <c r="B74" s="4">
        <v>224.0</v>
      </c>
      <c r="C74" s="5">
        <v>12.6</v>
      </c>
      <c r="D74" s="5">
        <v>20.4</v>
      </c>
      <c r="E74" s="4">
        <f t="shared" si="1"/>
        <v>1</v>
      </c>
      <c r="F74" s="4">
        <f t="shared" si="2"/>
        <v>1</v>
      </c>
      <c r="G74" s="4">
        <f t="shared" si="3"/>
        <v>26.332</v>
      </c>
      <c r="H74" s="4">
        <f t="shared" si="4"/>
        <v>26.89</v>
      </c>
      <c r="I74" s="4">
        <f t="shared" si="5"/>
        <v>0.558</v>
      </c>
      <c r="J74" s="5">
        <v>2.7</v>
      </c>
      <c r="K74" s="5">
        <v>15.4</v>
      </c>
      <c r="L74" s="4">
        <f t="shared" si="6"/>
        <v>8</v>
      </c>
      <c r="M74" s="4">
        <f t="shared" si="7"/>
        <v>1</v>
      </c>
      <c r="N74" s="4">
        <f t="shared" si="8"/>
        <v>10.9708</v>
      </c>
      <c r="O74" s="4">
        <f t="shared" si="9"/>
        <v>2.7</v>
      </c>
      <c r="P74" s="4">
        <f t="shared" si="10"/>
        <v>15.4</v>
      </c>
    </row>
    <row r="75" ht="15.75" customHeight="1">
      <c r="A75" s="4">
        <v>1991.0</v>
      </c>
      <c r="B75" s="4">
        <v>225.0</v>
      </c>
      <c r="C75" s="5">
        <v>10.6</v>
      </c>
      <c r="D75" s="5">
        <v>17.0</v>
      </c>
      <c r="E75" s="4">
        <f t="shared" si="1"/>
        <v>1</v>
      </c>
      <c r="F75" s="4">
        <f t="shared" si="2"/>
        <v>1</v>
      </c>
      <c r="G75" s="4">
        <f t="shared" si="3"/>
        <v>24.729</v>
      </c>
      <c r="H75" s="4">
        <f t="shared" si="4"/>
        <v>25.795</v>
      </c>
      <c r="I75" s="4">
        <f t="shared" si="5"/>
        <v>1.066</v>
      </c>
      <c r="J75" s="5">
        <v>3.7</v>
      </c>
      <c r="K75" s="5">
        <v>12.9</v>
      </c>
      <c r="L75" s="4">
        <f t="shared" si="6"/>
        <v>8</v>
      </c>
      <c r="M75" s="4">
        <f t="shared" si="7"/>
        <v>1</v>
      </c>
      <c r="N75" s="4">
        <f t="shared" si="8"/>
        <v>5.7733</v>
      </c>
      <c r="O75" s="4">
        <f t="shared" si="9"/>
        <v>3.7</v>
      </c>
      <c r="P75" s="4">
        <f t="shared" si="10"/>
        <v>12.9</v>
      </c>
    </row>
    <row r="76" ht="15.75" customHeight="1">
      <c r="A76" s="4">
        <v>1991.0</v>
      </c>
      <c r="B76" s="4">
        <v>226.0</v>
      </c>
      <c r="C76" s="5">
        <v>10.9</v>
      </c>
      <c r="D76" s="5">
        <v>19.2</v>
      </c>
      <c r="E76" s="4">
        <f t="shared" si="1"/>
        <v>1</v>
      </c>
      <c r="F76" s="4">
        <f t="shared" si="2"/>
        <v>1</v>
      </c>
      <c r="G76" s="4">
        <f t="shared" si="3"/>
        <v>26.584</v>
      </c>
      <c r="H76" s="4">
        <f t="shared" si="4"/>
        <v>27.603</v>
      </c>
      <c r="I76" s="4">
        <f t="shared" si="5"/>
        <v>1.019</v>
      </c>
      <c r="J76" s="5">
        <v>0.1</v>
      </c>
      <c r="K76" s="5">
        <v>14.3</v>
      </c>
      <c r="L76" s="4">
        <f t="shared" si="6"/>
        <v>8</v>
      </c>
      <c r="M76" s="4">
        <f t="shared" si="7"/>
        <v>0</v>
      </c>
      <c r="N76" s="4">
        <f t="shared" si="8"/>
        <v>-4.277</v>
      </c>
      <c r="O76" s="4">
        <f t="shared" si="9"/>
        <v>0.1</v>
      </c>
      <c r="P76" s="4">
        <f t="shared" si="10"/>
        <v>14.3</v>
      </c>
    </row>
    <row r="77" ht="15.75" customHeight="1">
      <c r="A77" s="4">
        <v>1991.0</v>
      </c>
      <c r="B77" s="4">
        <v>227.0</v>
      </c>
      <c r="C77" s="5">
        <v>9.4</v>
      </c>
      <c r="D77" s="5">
        <v>18.8</v>
      </c>
      <c r="E77" s="4">
        <f t="shared" si="1"/>
        <v>0</v>
      </c>
      <c r="F77" s="4">
        <f t="shared" si="2"/>
        <v>0</v>
      </c>
      <c r="G77" s="4">
        <f t="shared" si="3"/>
        <v>25.274</v>
      </c>
      <c r="H77" s="4">
        <f t="shared" si="4"/>
        <v>25.194</v>
      </c>
      <c r="I77" s="4" t="str">
        <f t="shared" si="5"/>
        <v> </v>
      </c>
      <c r="J77" s="5"/>
      <c r="K77" s="5">
        <v>13.5</v>
      </c>
      <c r="L77" s="4">
        <f t="shared" si="6"/>
        <v>3</v>
      </c>
      <c r="M77" s="4">
        <f t="shared" si="7"/>
        <v>0</v>
      </c>
      <c r="N77" s="4">
        <f t="shared" si="8"/>
        <v>-4.3222</v>
      </c>
      <c r="O77" s="4" t="str">
        <f t="shared" si="9"/>
        <v/>
      </c>
      <c r="P77" s="4">
        <f t="shared" si="10"/>
        <v>13.5</v>
      </c>
    </row>
    <row r="78" ht="15.75" customHeight="1">
      <c r="A78" s="4">
        <v>1991.0</v>
      </c>
      <c r="B78" s="4">
        <v>228.0</v>
      </c>
      <c r="C78" s="5">
        <v>8.6</v>
      </c>
      <c r="D78" s="5">
        <v>20.0</v>
      </c>
      <c r="E78" s="4">
        <f t="shared" si="1"/>
        <v>0</v>
      </c>
      <c r="F78" s="4">
        <f t="shared" si="2"/>
        <v>1</v>
      </c>
      <c r="G78" s="4">
        <f t="shared" si="3"/>
        <v>24.842</v>
      </c>
      <c r="H78" s="4">
        <f t="shared" si="4"/>
        <v>26.197</v>
      </c>
      <c r="I78" s="4">
        <f t="shared" si="5"/>
        <v>1.355</v>
      </c>
      <c r="J78" s="5"/>
      <c r="K78" s="5">
        <v>13.2</v>
      </c>
      <c r="L78" s="4">
        <f t="shared" si="6"/>
        <v>3</v>
      </c>
      <c r="M78" s="4">
        <f t="shared" si="7"/>
        <v>1</v>
      </c>
      <c r="N78" s="4">
        <f t="shared" si="8"/>
        <v>8.0858</v>
      </c>
      <c r="O78" s="4" t="str">
        <f t="shared" si="9"/>
        <v/>
      </c>
      <c r="P78" s="4">
        <f t="shared" si="10"/>
        <v>13.2</v>
      </c>
    </row>
    <row r="79" ht="15.75" customHeight="1">
      <c r="A79" s="4">
        <v>1991.0</v>
      </c>
      <c r="B79" s="4">
        <v>229.0</v>
      </c>
      <c r="C79" s="5">
        <v>7.4</v>
      </c>
      <c r="D79" s="5">
        <v>22.4</v>
      </c>
      <c r="E79" s="4">
        <f t="shared" si="1"/>
        <v>1</v>
      </c>
      <c r="F79" s="4">
        <f t="shared" si="2"/>
        <v>1</v>
      </c>
      <c r="G79" s="4">
        <f t="shared" si="3"/>
        <v>26.594</v>
      </c>
      <c r="H79" s="4">
        <f t="shared" si="4"/>
        <v>27.9105</v>
      </c>
      <c r="I79" s="4">
        <f t="shared" si="5"/>
        <v>1.3165</v>
      </c>
      <c r="J79" s="5">
        <v>1.2</v>
      </c>
      <c r="K79" s="5">
        <v>15.0</v>
      </c>
      <c r="L79" s="4">
        <f t="shared" si="6"/>
        <v>8</v>
      </c>
      <c r="M79" s="4">
        <f t="shared" si="7"/>
        <v>1</v>
      </c>
      <c r="N79" s="4">
        <f t="shared" si="8"/>
        <v>11.2403</v>
      </c>
      <c r="O79" s="4">
        <f t="shared" si="9"/>
        <v>1.2</v>
      </c>
      <c r="P79" s="4">
        <f t="shared" si="10"/>
        <v>15</v>
      </c>
    </row>
    <row r="80" ht="15.75" customHeight="1">
      <c r="A80" s="4">
        <v>1991.0</v>
      </c>
      <c r="B80" s="4">
        <v>230.0</v>
      </c>
      <c r="C80" s="5">
        <v>13.0</v>
      </c>
      <c r="D80" s="5">
        <v>21.2</v>
      </c>
      <c r="E80" s="4">
        <f t="shared" si="1"/>
        <v>1</v>
      </c>
      <c r="F80" s="4">
        <f t="shared" si="2"/>
        <v>1</v>
      </c>
      <c r="G80" s="4">
        <f t="shared" si="3"/>
        <v>24.123</v>
      </c>
      <c r="H80" s="4">
        <f t="shared" si="4"/>
        <v>24.2085</v>
      </c>
      <c r="I80" s="4">
        <f t="shared" si="5"/>
        <v>0.0855</v>
      </c>
      <c r="J80" s="5">
        <v>2.2</v>
      </c>
      <c r="K80" s="5">
        <v>15.9</v>
      </c>
      <c r="L80" s="4">
        <f t="shared" si="6"/>
        <v>8</v>
      </c>
      <c r="M80" s="4">
        <f t="shared" si="7"/>
        <v>1</v>
      </c>
      <c r="N80" s="4">
        <f t="shared" si="8"/>
        <v>11.7687</v>
      </c>
      <c r="O80" s="4">
        <f t="shared" si="9"/>
        <v>2.2</v>
      </c>
      <c r="P80" s="4">
        <f t="shared" si="10"/>
        <v>15.9</v>
      </c>
    </row>
    <row r="81" ht="15.75" customHeight="1">
      <c r="A81" s="4">
        <v>1991.0</v>
      </c>
      <c r="B81" s="4">
        <v>231.0</v>
      </c>
      <c r="C81" s="5">
        <v>14.0</v>
      </c>
      <c r="D81" s="5">
        <v>19.3</v>
      </c>
      <c r="E81" s="4">
        <f t="shared" si="1"/>
        <v>1</v>
      </c>
      <c r="F81" s="4">
        <f t="shared" si="2"/>
        <v>0</v>
      </c>
      <c r="G81" s="4">
        <f t="shared" si="3"/>
        <v>20.607</v>
      </c>
      <c r="H81" s="4">
        <f t="shared" si="4"/>
        <v>19.9765</v>
      </c>
      <c r="I81" s="4" t="str">
        <f t="shared" si="5"/>
        <v> </v>
      </c>
      <c r="J81" s="5">
        <v>2.1</v>
      </c>
      <c r="K81" s="5">
        <v>15.9</v>
      </c>
      <c r="L81" s="4">
        <f t="shared" si="6"/>
        <v>8</v>
      </c>
      <c r="M81" s="4">
        <f t="shared" si="7"/>
        <v>1</v>
      </c>
      <c r="N81" s="4">
        <f t="shared" si="8"/>
        <v>7.3164</v>
      </c>
      <c r="O81" s="4">
        <f t="shared" si="9"/>
        <v>2.1</v>
      </c>
      <c r="P81" s="4">
        <f t="shared" si="10"/>
        <v>15.9</v>
      </c>
    </row>
    <row r="82" ht="15.75" customHeight="1">
      <c r="A82" s="4">
        <v>1991.0</v>
      </c>
      <c r="B82" s="4">
        <v>232.0</v>
      </c>
      <c r="C82" s="5">
        <v>13.5</v>
      </c>
      <c r="D82" s="5">
        <v>16.2</v>
      </c>
      <c r="E82" s="4">
        <f t="shared" si="1"/>
        <v>1</v>
      </c>
      <c r="F82" s="4">
        <f t="shared" si="2"/>
        <v>0</v>
      </c>
      <c r="G82" s="4">
        <f t="shared" si="3"/>
        <v>16.675</v>
      </c>
      <c r="H82" s="4">
        <f t="shared" si="4"/>
        <v>14.8535</v>
      </c>
      <c r="I82" s="4" t="str">
        <f t="shared" si="5"/>
        <v> </v>
      </c>
      <c r="J82" s="5">
        <v>11.0</v>
      </c>
      <c r="K82" s="5">
        <v>14.3</v>
      </c>
      <c r="L82" s="4">
        <f t="shared" si="6"/>
        <v>8</v>
      </c>
      <c r="M82" s="4">
        <f t="shared" si="7"/>
        <v>0</v>
      </c>
      <c r="N82" s="4">
        <f t="shared" si="8"/>
        <v>-2.7911</v>
      </c>
      <c r="O82" s="4">
        <f t="shared" si="9"/>
        <v>11</v>
      </c>
      <c r="P82" s="4">
        <f t="shared" si="10"/>
        <v>14.3</v>
      </c>
    </row>
    <row r="83" ht="15.75" customHeight="1">
      <c r="A83" s="4">
        <v>1991.0</v>
      </c>
      <c r="B83" s="4">
        <v>233.0</v>
      </c>
      <c r="C83" s="5">
        <v>12.1</v>
      </c>
      <c r="D83" s="5">
        <v>17.1</v>
      </c>
      <c r="E83" s="4">
        <f t="shared" si="1"/>
        <v>0</v>
      </c>
      <c r="F83" s="4">
        <f t="shared" si="2"/>
        <v>0</v>
      </c>
      <c r="G83" s="4">
        <f t="shared" si="3"/>
        <v>15.663</v>
      </c>
      <c r="H83" s="4">
        <f t="shared" si="4"/>
        <v>11.909</v>
      </c>
      <c r="I83" s="4" t="str">
        <f t="shared" si="5"/>
        <v> </v>
      </c>
      <c r="J83" s="5"/>
      <c r="K83" s="5">
        <v>13.5</v>
      </c>
      <c r="L83" s="4">
        <f t="shared" si="6"/>
        <v>3</v>
      </c>
      <c r="M83" s="4">
        <f t="shared" si="7"/>
        <v>0</v>
      </c>
      <c r="N83" s="4">
        <f t="shared" si="8"/>
        <v>-6.7854</v>
      </c>
      <c r="O83" s="4" t="str">
        <f t="shared" si="9"/>
        <v/>
      </c>
      <c r="P83" s="4">
        <f t="shared" si="10"/>
        <v>13.5</v>
      </c>
    </row>
    <row r="84" ht="15.75" customHeight="1">
      <c r="A84" s="4">
        <v>1991.0</v>
      </c>
      <c r="B84" s="4">
        <v>234.0</v>
      </c>
      <c r="C84" s="5">
        <v>9.7</v>
      </c>
      <c r="D84" s="5">
        <v>17.7</v>
      </c>
      <c r="E84" s="4">
        <f t="shared" si="1"/>
        <v>0</v>
      </c>
      <c r="F84" s="4">
        <f t="shared" si="2"/>
        <v>0</v>
      </c>
      <c r="G84" s="4">
        <f t="shared" si="3"/>
        <v>15.822</v>
      </c>
      <c r="H84" s="4">
        <f t="shared" si="4"/>
        <v>11.721</v>
      </c>
      <c r="I84" s="4" t="str">
        <f t="shared" si="5"/>
        <v> </v>
      </c>
      <c r="J84" s="5"/>
      <c r="K84" s="5">
        <v>12.9</v>
      </c>
      <c r="L84" s="4">
        <f t="shared" si="6"/>
        <v>3</v>
      </c>
      <c r="M84" s="4">
        <f t="shared" si="7"/>
        <v>0</v>
      </c>
      <c r="N84" s="4">
        <f t="shared" si="8"/>
        <v>-7.6919</v>
      </c>
      <c r="O84" s="4" t="str">
        <f t="shared" si="9"/>
        <v/>
      </c>
      <c r="P84" s="4">
        <f t="shared" si="10"/>
        <v>12.9</v>
      </c>
    </row>
    <row r="85" ht="15.75" customHeight="1">
      <c r="A85" s="4">
        <v>1991.0</v>
      </c>
      <c r="B85" s="4">
        <v>235.0</v>
      </c>
      <c r="C85" s="5">
        <v>8.9</v>
      </c>
      <c r="D85" s="5">
        <v>18.0</v>
      </c>
      <c r="E85" s="4">
        <f t="shared" si="1"/>
        <v>0</v>
      </c>
      <c r="F85" s="4">
        <f t="shared" si="2"/>
        <v>0</v>
      </c>
      <c r="G85" s="4">
        <f t="shared" si="3"/>
        <v>14.756</v>
      </c>
      <c r="H85" s="4">
        <f t="shared" si="4"/>
        <v>13.8885</v>
      </c>
      <c r="I85" s="4" t="str">
        <f t="shared" si="5"/>
        <v> </v>
      </c>
      <c r="J85" s="5"/>
      <c r="K85" s="5">
        <v>13.3</v>
      </c>
      <c r="L85" s="4">
        <f t="shared" si="6"/>
        <v>3</v>
      </c>
      <c r="M85" s="4">
        <f t="shared" si="7"/>
        <v>0</v>
      </c>
      <c r="N85" s="4">
        <f t="shared" si="8"/>
        <v>-7.8041</v>
      </c>
      <c r="O85" s="4" t="str">
        <f t="shared" si="9"/>
        <v/>
      </c>
      <c r="P85" s="4">
        <f t="shared" si="10"/>
        <v>13.3</v>
      </c>
    </row>
    <row r="86" ht="15.75" customHeight="1">
      <c r="A86" s="4">
        <v>1991.0</v>
      </c>
      <c r="B86" s="4">
        <v>236.0</v>
      </c>
      <c r="C86" s="5">
        <v>7.4</v>
      </c>
      <c r="D86" s="5">
        <v>17.2</v>
      </c>
      <c r="E86" s="4">
        <f t="shared" si="1"/>
        <v>0</v>
      </c>
      <c r="F86" s="4">
        <f t="shared" si="2"/>
        <v>0</v>
      </c>
      <c r="G86" s="4">
        <f t="shared" si="3"/>
        <v>16.271</v>
      </c>
      <c r="H86" s="4">
        <f t="shared" si="4"/>
        <v>16.0155</v>
      </c>
      <c r="I86" s="4" t="str">
        <f t="shared" si="5"/>
        <v> </v>
      </c>
      <c r="J86" s="5"/>
      <c r="K86" s="5">
        <v>12.0</v>
      </c>
      <c r="L86" s="4">
        <f t="shared" si="6"/>
        <v>3</v>
      </c>
      <c r="M86" s="4">
        <f t="shared" si="7"/>
        <v>0</v>
      </c>
      <c r="N86" s="4">
        <f t="shared" si="8"/>
        <v>-9.3261</v>
      </c>
      <c r="O86" s="4" t="str">
        <f t="shared" si="9"/>
        <v/>
      </c>
      <c r="P86" s="4">
        <f t="shared" si="10"/>
        <v>12</v>
      </c>
    </row>
    <row r="87" ht="15.75" customHeight="1">
      <c r="A87" s="4">
        <v>1991.0</v>
      </c>
      <c r="B87" s="4">
        <v>237.0</v>
      </c>
      <c r="C87" s="5">
        <v>7.0</v>
      </c>
      <c r="D87" s="5">
        <v>18.9</v>
      </c>
      <c r="E87" s="4">
        <f t="shared" si="1"/>
        <v>0</v>
      </c>
      <c r="F87" s="4">
        <f t="shared" si="2"/>
        <v>0</v>
      </c>
      <c r="G87" s="4">
        <f t="shared" si="3"/>
        <v>18.223</v>
      </c>
      <c r="H87" s="4">
        <f t="shared" si="4"/>
        <v>16.3725</v>
      </c>
      <c r="I87" s="4" t="str">
        <f t="shared" si="5"/>
        <v> </v>
      </c>
      <c r="J87" s="5"/>
      <c r="K87" s="5">
        <v>12.6</v>
      </c>
      <c r="L87" s="4">
        <f t="shared" si="6"/>
        <v>3</v>
      </c>
      <c r="M87" s="4">
        <f t="shared" si="7"/>
        <v>0</v>
      </c>
      <c r="N87" s="4">
        <f t="shared" si="8"/>
        <v>-1.64</v>
      </c>
      <c r="O87" s="4" t="str">
        <f t="shared" si="9"/>
        <v/>
      </c>
      <c r="P87" s="4">
        <f t="shared" si="10"/>
        <v>12.6</v>
      </c>
    </row>
    <row r="88" ht="15.75" customHeight="1">
      <c r="A88" s="4">
        <v>1991.0</v>
      </c>
      <c r="B88" s="4">
        <v>238.0</v>
      </c>
      <c r="C88" s="5">
        <v>4.7</v>
      </c>
      <c r="D88" s="5">
        <v>18.8</v>
      </c>
      <c r="E88" s="4">
        <f t="shared" si="1"/>
        <v>0</v>
      </c>
      <c r="J88" s="5"/>
      <c r="K88" s="5">
        <v>12.2</v>
      </c>
      <c r="L88" s="4">
        <f t="shared" si="6"/>
        <v>3</v>
      </c>
      <c r="O88" s="4" t="str">
        <f t="shared" si="9"/>
        <v/>
      </c>
      <c r="P88" s="4">
        <f t="shared" si="10"/>
        <v>12.2</v>
      </c>
    </row>
    <row r="89" ht="15.75" customHeight="1">
      <c r="A89" s="4">
        <v>1991.0</v>
      </c>
      <c r="B89" s="4">
        <v>239.0</v>
      </c>
      <c r="C89" s="5">
        <v>9.1</v>
      </c>
      <c r="D89" s="5">
        <v>16.1</v>
      </c>
      <c r="E89" s="4">
        <f t="shared" si="1"/>
        <v>1</v>
      </c>
      <c r="J89" s="5">
        <v>7.6</v>
      </c>
      <c r="K89" s="5">
        <v>13.2</v>
      </c>
      <c r="L89" s="4">
        <f t="shared" si="6"/>
        <v>8</v>
      </c>
      <c r="O89" s="4">
        <f t="shared" si="9"/>
        <v>7.6</v>
      </c>
      <c r="P89" s="4">
        <f t="shared" si="10"/>
        <v>13.2</v>
      </c>
    </row>
    <row r="90" ht="15.75" customHeight="1">
      <c r="A90" s="4">
        <v>1991.0</v>
      </c>
      <c r="B90" s="4">
        <v>240.0</v>
      </c>
      <c r="C90" s="5">
        <v>13.1</v>
      </c>
      <c r="D90" s="5">
        <v>16.3</v>
      </c>
      <c r="E90" s="4">
        <f t="shared" si="1"/>
        <v>1</v>
      </c>
      <c r="J90" s="5">
        <v>5.2</v>
      </c>
      <c r="K90" s="5">
        <v>14.2</v>
      </c>
      <c r="L90" s="4">
        <f t="shared" si="6"/>
        <v>8</v>
      </c>
      <c r="O90" s="4">
        <f t="shared" si="9"/>
        <v>5.2</v>
      </c>
      <c r="P90" s="4">
        <f t="shared" si="10"/>
        <v>14.2</v>
      </c>
    </row>
    <row r="91" ht="15.75" customHeight="1">
      <c r="A91" s="4">
        <v>1991.0</v>
      </c>
      <c r="B91" s="4">
        <v>241.0</v>
      </c>
      <c r="C91" s="5">
        <v>13.5</v>
      </c>
      <c r="D91" s="5">
        <v>17.3</v>
      </c>
      <c r="E91" s="4">
        <f t="shared" si="1"/>
        <v>0</v>
      </c>
      <c r="J91" s="5"/>
      <c r="K91" s="5">
        <v>14.9</v>
      </c>
      <c r="L91" s="4">
        <f t="shared" si="6"/>
        <v>3</v>
      </c>
      <c r="O91" s="4" t="str">
        <f t="shared" si="9"/>
        <v/>
      </c>
      <c r="P91" s="4">
        <f t="shared" si="10"/>
        <v>14.9</v>
      </c>
    </row>
    <row r="92" ht="15.75" customHeight="1">
      <c r="A92" s="4">
        <v>1991.0</v>
      </c>
      <c r="B92" s="4">
        <v>242.0</v>
      </c>
      <c r="C92" s="5">
        <v>11.2</v>
      </c>
      <c r="D92" s="5">
        <v>14.9</v>
      </c>
      <c r="E92" s="4">
        <f t="shared" si="1"/>
        <v>0</v>
      </c>
      <c r="J92" s="5"/>
      <c r="K92" s="5">
        <v>13.9</v>
      </c>
      <c r="L92" s="4">
        <f t="shared" si="6"/>
        <v>3</v>
      </c>
      <c r="O92" s="4" t="str">
        <f t="shared" si="9"/>
        <v/>
      </c>
      <c r="P92" s="4">
        <f t="shared" si="10"/>
        <v>13.9</v>
      </c>
    </row>
    <row r="93" ht="15.75" customHeight="1">
      <c r="A93" s="4">
        <v>1991.0</v>
      </c>
      <c r="B93" s="4">
        <v>243.0</v>
      </c>
      <c r="C93" s="5">
        <v>11.0</v>
      </c>
      <c r="D93" s="5">
        <v>21.2</v>
      </c>
      <c r="E93" s="4">
        <f t="shared" si="1"/>
        <v>0</v>
      </c>
      <c r="J93" s="5"/>
      <c r="K93" s="5">
        <v>15.4</v>
      </c>
      <c r="L93" s="4">
        <f t="shared" si="6"/>
        <v>3</v>
      </c>
      <c r="O93" s="4" t="str">
        <f t="shared" si="9"/>
        <v/>
      </c>
      <c r="P93" s="4">
        <f t="shared" si="10"/>
        <v>15.4</v>
      </c>
    </row>
    <row r="94" ht="15.75" customHeight="1"/>
    <row r="95" ht="15.75" customHeight="1"/>
    <row r="96" ht="15.75" customHeight="1">
      <c r="O96" s="4">
        <f>SUM(O2:O93)</f>
        <v>237.4</v>
      </c>
      <c r="P96" s="4">
        <f>SUMIF(P2:P93,"&gt;0")/10</f>
        <v>155.36</v>
      </c>
    </row>
    <row r="97" ht="15.75" customHeight="1"/>
    <row r="98" ht="15.75" customHeight="1">
      <c r="I98" s="4">
        <f>SUM(I2:I87)</f>
        <v>29.729</v>
      </c>
      <c r="O98" s="4" t="s">
        <v>15</v>
      </c>
      <c r="P98" s="4">
        <f>O96/P96</f>
        <v>1.528063852</v>
      </c>
    </row>
    <row r="99" ht="15.75" customHeight="1">
      <c r="I99" s="4">
        <f>SUM(I2:I31)</f>
        <v>8.3685</v>
      </c>
      <c r="O99" s="4" t="s">
        <v>16</v>
      </c>
      <c r="P99" s="4">
        <f>SUM(O2:O31)/(SUM(P2:P31)/10)</f>
        <v>2.030060883</v>
      </c>
    </row>
    <row r="100" ht="15.75" customHeight="1">
      <c r="I100" s="4">
        <f>SUM(I32:I62)</f>
        <v>11.1745</v>
      </c>
      <c r="O100" s="4" t="s">
        <v>17</v>
      </c>
      <c r="P100" s="4">
        <f>SUM(O33:O62)/(SUM(P33:P62)/10)</f>
        <v>1.520711178</v>
      </c>
    </row>
    <row r="101" ht="15.75" customHeight="1">
      <c r="I101" s="4">
        <f>SUM(I63:I93)</f>
        <v>10.186</v>
      </c>
      <c r="O101" s="4" t="s">
        <v>18</v>
      </c>
      <c r="P101" s="4">
        <f>SUM(O63:O93)/(SUM(P63:P93)/10)</f>
        <v>1.055613851</v>
      </c>
    </row>
    <row r="102" ht="15.75" customHeight="1">
      <c r="I102" s="4">
        <f>SUMIF(I2:I87,"&gt;0")</f>
        <v>29.729</v>
      </c>
    </row>
    <row r="103" ht="15.75" customHeight="1">
      <c r="I103" s="4">
        <f>SUMIF(I2:I31,"&gt;0")</f>
        <v>8.3685</v>
      </c>
    </row>
    <row r="104" ht="15.75" customHeight="1">
      <c r="I104" s="4">
        <f>SUMIF(I32:I62,"&gt;0")</f>
        <v>11.1745</v>
      </c>
      <c r="P104" s="4">
        <f>SUM(O16:O35)/(SUM(P16:P35)/10)</f>
        <v>0.6472727273</v>
      </c>
    </row>
    <row r="105" ht="15.75" customHeight="1">
      <c r="I105" s="4">
        <f>SUMIF(I63:I87,"&gt;0")</f>
        <v>10.186</v>
      </c>
      <c r="P105" s="4">
        <f>SUM(O36:O55)/(SUM(P36:P55)/10)</f>
        <v>2.050704225</v>
      </c>
    </row>
    <row r="106" ht="15.75" customHeight="1">
      <c r="P106" s="4">
        <f>SUM(O56:O77)/(SUM(P56:P77)/10)</f>
        <v>0.7423580786</v>
      </c>
    </row>
    <row r="107" ht="15.75" customHeight="1">
      <c r="P107" s="4">
        <f>SUM(O16:O77)/(SUM(P16:P77)/10)</f>
        <v>1.117382485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1" t="s">
        <v>8</v>
      </c>
      <c r="K1" s="1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1992.0</v>
      </c>
      <c r="B2" s="9">
        <v>153.0</v>
      </c>
      <c r="C2" s="5">
        <v>9.3</v>
      </c>
      <c r="D2" s="5">
        <v>24.9</v>
      </c>
      <c r="E2" s="4">
        <f t="shared" ref="E2:E93" si="1">IF(J2&gt;0,1,0)</f>
        <v>0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26.201</v>
      </c>
      <c r="H2" s="4">
        <f t="shared" ref="H2:H87" si="4">0.63 * D2 + 0.37 * D3 + 0.49 * D4 + 0.22 * D5 + 0.65 * D6 + 0.24 *C2 - 0.06 * C3- 0.15 * C4 - 0.135 * C5 + 0.15 * C6 + 4.88 * E2 + 3.55 * E3 + 3.34 *E4 + 2.5 * E5 + 2.29 *E6-31.34</f>
        <v>21.4945</v>
      </c>
      <c r="I2" s="4" t="str">
        <f t="shared" ref="I2:I87" si="5">IF((H2-G2)&gt;0,H2-G2," ")</f>
        <v> </v>
      </c>
      <c r="J2" s="5"/>
      <c r="K2" s="5">
        <v>18.3</v>
      </c>
      <c r="L2" s="4">
        <f t="shared" ref="L2:L93" si="6">IF(E2&gt;0,8,3)</f>
        <v>3</v>
      </c>
      <c r="M2" s="4">
        <f t="shared" ref="M2:M87" si="7">IF(N2&gt;=0,1,0)</f>
        <v>0</v>
      </c>
      <c r="N2" s="4">
        <f t="shared" ref="N2:N87" si="8">-0.216*D2-0.191*D3-0.119*D4+0.004*C2-0.171*C3+0.628*C4-0.479*L2+0.513*L3+0.046*L4+5.947*E2+6.699*E3+4.328*E4-1.788</f>
        <v>-12.2827</v>
      </c>
      <c r="O2" s="4" t="str">
        <f t="shared" ref="O2:O93" si="9">IF(K2&gt;10,J2,0)</f>
        <v/>
      </c>
      <c r="P2" s="4">
        <f t="shared" ref="P2:P93" si="10">IF(K2&gt;10,K2,0)</f>
        <v>18.3</v>
      </c>
    </row>
    <row r="3">
      <c r="A3" s="4">
        <v>1992.0</v>
      </c>
      <c r="B3" s="9">
        <v>154.0</v>
      </c>
      <c r="C3" s="5">
        <v>11.3</v>
      </c>
      <c r="D3" s="5">
        <v>26.6</v>
      </c>
      <c r="E3" s="4">
        <f t="shared" si="1"/>
        <v>0</v>
      </c>
      <c r="F3" s="4">
        <f t="shared" si="2"/>
        <v>0</v>
      </c>
      <c r="G3" s="4">
        <f t="shared" si="3"/>
        <v>28.134</v>
      </c>
      <c r="H3" s="4">
        <f t="shared" si="4"/>
        <v>22.7555</v>
      </c>
      <c r="I3" s="4" t="str">
        <f t="shared" si="5"/>
        <v> </v>
      </c>
      <c r="J3" s="5"/>
      <c r="K3" s="5">
        <v>15.0</v>
      </c>
      <c r="L3" s="4">
        <f t="shared" si="6"/>
        <v>3</v>
      </c>
      <c r="M3" s="4">
        <f t="shared" si="7"/>
        <v>0</v>
      </c>
      <c r="N3" s="4">
        <f t="shared" si="8"/>
        <v>-11.1086</v>
      </c>
      <c r="O3" s="4" t="str">
        <f t="shared" si="9"/>
        <v/>
      </c>
      <c r="P3" s="4">
        <f t="shared" si="10"/>
        <v>15</v>
      </c>
    </row>
    <row r="4">
      <c r="A4" s="4">
        <v>1992.0</v>
      </c>
      <c r="B4" s="9">
        <v>155.0</v>
      </c>
      <c r="C4" s="5">
        <v>5.8</v>
      </c>
      <c r="D4" s="5">
        <v>17.0</v>
      </c>
      <c r="E4" s="4">
        <f t="shared" si="1"/>
        <v>0</v>
      </c>
      <c r="F4" s="4">
        <f t="shared" si="2"/>
        <v>0</v>
      </c>
      <c r="G4" s="4">
        <f t="shared" si="3"/>
        <v>22.725</v>
      </c>
      <c r="H4" s="4">
        <f t="shared" si="4"/>
        <v>18.7765</v>
      </c>
      <c r="I4" s="4" t="str">
        <f t="shared" si="5"/>
        <v> </v>
      </c>
      <c r="J4" s="5"/>
      <c r="K4" s="5">
        <v>12.1</v>
      </c>
      <c r="L4" s="4">
        <f t="shared" si="6"/>
        <v>3</v>
      </c>
      <c r="M4" s="4">
        <f t="shared" si="7"/>
        <v>0</v>
      </c>
      <c r="N4" s="4">
        <f t="shared" si="8"/>
        <v>-8.0642</v>
      </c>
      <c r="O4" s="4" t="str">
        <f t="shared" si="9"/>
        <v/>
      </c>
      <c r="P4" s="4">
        <f t="shared" si="10"/>
        <v>12.1</v>
      </c>
    </row>
    <row r="5">
      <c r="A5" s="4">
        <v>1992.0</v>
      </c>
      <c r="B5" s="9">
        <v>156.0</v>
      </c>
      <c r="C5" s="5">
        <v>3.9</v>
      </c>
      <c r="D5" s="5">
        <v>17.4</v>
      </c>
      <c r="E5" s="4">
        <f t="shared" si="1"/>
        <v>0</v>
      </c>
      <c r="F5" s="4">
        <f t="shared" si="2"/>
        <v>0</v>
      </c>
      <c r="G5" s="4">
        <f t="shared" si="3"/>
        <v>26.014</v>
      </c>
      <c r="H5" s="4">
        <f t="shared" si="4"/>
        <v>24.0405</v>
      </c>
      <c r="I5" s="4" t="str">
        <f t="shared" si="5"/>
        <v> </v>
      </c>
      <c r="J5" s="5"/>
      <c r="K5" s="5">
        <v>11.5</v>
      </c>
      <c r="L5" s="4">
        <f t="shared" si="6"/>
        <v>3</v>
      </c>
      <c r="M5" s="4">
        <f t="shared" si="7"/>
        <v>0</v>
      </c>
      <c r="N5" s="4">
        <f t="shared" si="8"/>
        <v>-8.991</v>
      </c>
      <c r="O5" s="4" t="str">
        <f t="shared" si="9"/>
        <v/>
      </c>
      <c r="P5" s="4">
        <f t="shared" si="10"/>
        <v>11.5</v>
      </c>
    </row>
    <row r="6">
      <c r="A6" s="4">
        <v>1992.0</v>
      </c>
      <c r="B6" s="9">
        <v>157.0</v>
      </c>
      <c r="C6" s="5">
        <v>5.9</v>
      </c>
      <c r="D6" s="5">
        <v>21.7</v>
      </c>
      <c r="E6" s="4">
        <f t="shared" si="1"/>
        <v>0</v>
      </c>
      <c r="F6" s="4">
        <f t="shared" si="2"/>
        <v>0</v>
      </c>
      <c r="G6" s="4">
        <f t="shared" si="3"/>
        <v>22.465</v>
      </c>
      <c r="H6" s="4">
        <f t="shared" si="4"/>
        <v>21.2475</v>
      </c>
      <c r="I6" s="4" t="str">
        <f t="shared" si="5"/>
        <v> </v>
      </c>
      <c r="J6" s="5"/>
      <c r="K6" s="5">
        <v>15.3</v>
      </c>
      <c r="L6" s="4">
        <f t="shared" si="6"/>
        <v>3</v>
      </c>
      <c r="M6" s="4">
        <f t="shared" si="7"/>
        <v>0</v>
      </c>
      <c r="N6" s="4">
        <f t="shared" si="8"/>
        <v>-10.4638</v>
      </c>
      <c r="O6" s="4" t="str">
        <f t="shared" si="9"/>
        <v/>
      </c>
      <c r="P6" s="4">
        <f t="shared" si="10"/>
        <v>15.3</v>
      </c>
    </row>
    <row r="7">
      <c r="A7" s="4">
        <v>1992.0</v>
      </c>
      <c r="B7" s="9">
        <v>158.0</v>
      </c>
      <c r="C7" s="5">
        <v>6.9</v>
      </c>
      <c r="D7" s="5">
        <v>24.2</v>
      </c>
      <c r="E7" s="4">
        <f t="shared" si="1"/>
        <v>0</v>
      </c>
      <c r="F7" s="4">
        <f t="shared" si="2"/>
        <v>1</v>
      </c>
      <c r="G7" s="4">
        <f t="shared" si="3"/>
        <v>24.509</v>
      </c>
      <c r="H7" s="4">
        <f t="shared" si="4"/>
        <v>25.1525</v>
      </c>
      <c r="I7" s="4">
        <f t="shared" si="5"/>
        <v>0.6435</v>
      </c>
      <c r="J7" s="5"/>
      <c r="K7" s="5">
        <v>16.9</v>
      </c>
      <c r="L7" s="4">
        <f t="shared" si="6"/>
        <v>3</v>
      </c>
      <c r="M7" s="4">
        <f t="shared" si="7"/>
        <v>0</v>
      </c>
      <c r="N7" s="4">
        <f t="shared" si="8"/>
        <v>-5.6519</v>
      </c>
      <c r="O7" s="4" t="str">
        <f t="shared" si="9"/>
        <v/>
      </c>
      <c r="P7" s="4">
        <f t="shared" si="10"/>
        <v>16.9</v>
      </c>
    </row>
    <row r="8">
      <c r="A8" s="4">
        <v>1992.0</v>
      </c>
      <c r="B8" s="9">
        <v>159.0</v>
      </c>
      <c r="C8" s="5">
        <v>7.3</v>
      </c>
      <c r="D8" s="5">
        <v>25.5</v>
      </c>
      <c r="E8" s="4">
        <f t="shared" si="1"/>
        <v>0</v>
      </c>
      <c r="F8" s="4">
        <f t="shared" si="2"/>
        <v>0</v>
      </c>
      <c r="G8" s="4">
        <f t="shared" si="3"/>
        <v>29.968</v>
      </c>
      <c r="H8" s="4">
        <f t="shared" si="4"/>
        <v>28.258</v>
      </c>
      <c r="I8" s="4" t="str">
        <f t="shared" si="5"/>
        <v> </v>
      </c>
      <c r="J8" s="5"/>
      <c r="K8" s="5">
        <v>18.3</v>
      </c>
      <c r="L8" s="4">
        <f t="shared" si="6"/>
        <v>3</v>
      </c>
      <c r="M8" s="4">
        <f t="shared" si="7"/>
        <v>1</v>
      </c>
      <c r="N8" s="4">
        <f t="shared" si="8"/>
        <v>3.4564</v>
      </c>
      <c r="O8" s="4" t="str">
        <f t="shared" si="9"/>
        <v/>
      </c>
      <c r="P8" s="4">
        <f t="shared" si="10"/>
        <v>18.3</v>
      </c>
    </row>
    <row r="9">
      <c r="A9" s="4">
        <v>1992.0</v>
      </c>
      <c r="B9" s="9">
        <v>160.0</v>
      </c>
      <c r="C9" s="5">
        <v>9.1</v>
      </c>
      <c r="D9" s="5">
        <v>25.7</v>
      </c>
      <c r="E9" s="4">
        <f t="shared" si="1"/>
        <v>1</v>
      </c>
      <c r="F9" s="4">
        <f t="shared" si="2"/>
        <v>1</v>
      </c>
      <c r="G9" s="4">
        <f t="shared" si="3"/>
        <v>31.796</v>
      </c>
      <c r="H9" s="4">
        <f t="shared" si="4"/>
        <v>33.2325</v>
      </c>
      <c r="I9" s="4">
        <f t="shared" si="5"/>
        <v>1.4365</v>
      </c>
      <c r="J9" s="5">
        <v>1.4</v>
      </c>
      <c r="K9" s="5">
        <v>16.5</v>
      </c>
      <c r="L9" s="4">
        <f t="shared" si="6"/>
        <v>8</v>
      </c>
      <c r="M9" s="4">
        <f t="shared" si="7"/>
        <v>1</v>
      </c>
      <c r="N9" s="4">
        <f t="shared" si="8"/>
        <v>9.6337</v>
      </c>
      <c r="O9" s="4">
        <f t="shared" si="9"/>
        <v>1.4</v>
      </c>
      <c r="P9" s="4">
        <f t="shared" si="10"/>
        <v>16.5</v>
      </c>
    </row>
    <row r="10">
      <c r="A10" s="4">
        <v>1992.0</v>
      </c>
      <c r="B10" s="9">
        <v>161.0</v>
      </c>
      <c r="C10" s="5">
        <v>7.1</v>
      </c>
      <c r="D10" s="5">
        <v>11.2</v>
      </c>
      <c r="E10" s="4">
        <f t="shared" si="1"/>
        <v>1</v>
      </c>
      <c r="F10" s="4">
        <f t="shared" si="2"/>
        <v>1</v>
      </c>
      <c r="G10" s="4">
        <f t="shared" si="3"/>
        <v>25.337</v>
      </c>
      <c r="H10" s="4">
        <f t="shared" si="4"/>
        <v>26.29</v>
      </c>
      <c r="I10" s="4">
        <f t="shared" si="5"/>
        <v>0.953</v>
      </c>
      <c r="J10" s="5">
        <v>0.7</v>
      </c>
      <c r="K10" s="5">
        <v>9.1</v>
      </c>
      <c r="L10" s="4">
        <f t="shared" si="6"/>
        <v>8</v>
      </c>
      <c r="M10" s="4">
        <f t="shared" si="7"/>
        <v>1</v>
      </c>
      <c r="N10" s="4">
        <f t="shared" si="8"/>
        <v>7.4876</v>
      </c>
      <c r="O10" s="4">
        <f t="shared" si="9"/>
        <v>0</v>
      </c>
      <c r="P10" s="4">
        <f t="shared" si="10"/>
        <v>0</v>
      </c>
    </row>
    <row r="11">
      <c r="A11" s="4">
        <v>1992.0</v>
      </c>
      <c r="B11" s="9">
        <v>162.0</v>
      </c>
      <c r="C11" s="5">
        <v>6.8</v>
      </c>
      <c r="D11" s="5">
        <v>13.4</v>
      </c>
      <c r="E11" s="4">
        <f t="shared" si="1"/>
        <v>1</v>
      </c>
      <c r="F11" s="4">
        <f t="shared" si="2"/>
        <v>0</v>
      </c>
      <c r="G11" s="4">
        <f t="shared" si="3"/>
        <v>29.292</v>
      </c>
      <c r="H11" s="4">
        <f t="shared" si="4"/>
        <v>28.6695</v>
      </c>
      <c r="I11" s="4" t="str">
        <f t="shared" si="5"/>
        <v> </v>
      </c>
      <c r="J11" s="5">
        <v>2.3</v>
      </c>
      <c r="K11" s="5">
        <v>9.8</v>
      </c>
      <c r="L11" s="4">
        <f t="shared" si="6"/>
        <v>8</v>
      </c>
      <c r="M11" s="4">
        <f t="shared" si="7"/>
        <v>1</v>
      </c>
      <c r="N11" s="4">
        <f t="shared" si="8"/>
        <v>1.9697</v>
      </c>
      <c r="O11" s="4">
        <f t="shared" si="9"/>
        <v>0</v>
      </c>
      <c r="P11" s="4">
        <f t="shared" si="10"/>
        <v>0</v>
      </c>
    </row>
    <row r="12">
      <c r="A12" s="4">
        <v>1992.0</v>
      </c>
      <c r="B12" s="9">
        <v>163.0</v>
      </c>
      <c r="C12" s="5">
        <v>8.3</v>
      </c>
      <c r="D12" s="5">
        <v>24.2</v>
      </c>
      <c r="E12" s="4">
        <f t="shared" si="1"/>
        <v>0</v>
      </c>
      <c r="F12" s="4">
        <f t="shared" si="2"/>
        <v>0</v>
      </c>
      <c r="G12" s="4">
        <f t="shared" si="3"/>
        <v>34.732</v>
      </c>
      <c r="H12" s="4">
        <f t="shared" si="4"/>
        <v>30.956</v>
      </c>
      <c r="I12" s="4" t="str">
        <f t="shared" si="5"/>
        <v> </v>
      </c>
      <c r="J12" s="5"/>
      <c r="K12" s="5">
        <v>17.4</v>
      </c>
      <c r="L12" s="4">
        <f t="shared" si="6"/>
        <v>3</v>
      </c>
      <c r="M12" s="4">
        <f t="shared" si="7"/>
        <v>1</v>
      </c>
      <c r="N12" s="4">
        <f t="shared" si="8"/>
        <v>0.0549</v>
      </c>
      <c r="O12" s="4" t="str">
        <f t="shared" si="9"/>
        <v/>
      </c>
      <c r="P12" s="4">
        <f t="shared" si="10"/>
        <v>17.4</v>
      </c>
    </row>
    <row r="13">
      <c r="A13" s="4">
        <v>1992.0</v>
      </c>
      <c r="B13" s="9">
        <v>164.0</v>
      </c>
      <c r="C13" s="5">
        <v>11.8</v>
      </c>
      <c r="D13" s="5">
        <v>26.0</v>
      </c>
      <c r="E13" s="4">
        <f t="shared" si="1"/>
        <v>1</v>
      </c>
      <c r="F13" s="4">
        <f t="shared" si="2"/>
        <v>0</v>
      </c>
      <c r="G13" s="4">
        <f t="shared" si="3"/>
        <v>38.713</v>
      </c>
      <c r="H13" s="4">
        <f t="shared" si="4"/>
        <v>35.508</v>
      </c>
      <c r="I13" s="4" t="str">
        <f t="shared" si="5"/>
        <v> </v>
      </c>
      <c r="J13" s="5">
        <v>1.9</v>
      </c>
      <c r="K13" s="5">
        <v>20.1</v>
      </c>
      <c r="L13" s="4">
        <f t="shared" si="6"/>
        <v>8</v>
      </c>
      <c r="M13" s="4">
        <f t="shared" si="7"/>
        <v>0</v>
      </c>
      <c r="N13" s="4">
        <f t="shared" si="8"/>
        <v>-6.7073</v>
      </c>
      <c r="O13" s="4">
        <f t="shared" si="9"/>
        <v>1.9</v>
      </c>
      <c r="P13" s="4">
        <f t="shared" si="10"/>
        <v>20.1</v>
      </c>
    </row>
    <row r="14">
      <c r="A14" s="4">
        <v>1992.0</v>
      </c>
      <c r="B14" s="9">
        <v>165.0</v>
      </c>
      <c r="C14" s="5">
        <v>12.1</v>
      </c>
      <c r="D14" s="5">
        <v>25.9</v>
      </c>
      <c r="E14" s="4">
        <f t="shared" si="1"/>
        <v>0</v>
      </c>
      <c r="F14" s="4">
        <f t="shared" si="2"/>
        <v>0</v>
      </c>
      <c r="G14" s="4">
        <f t="shared" si="3"/>
        <v>36.371</v>
      </c>
      <c r="H14" s="4">
        <f t="shared" si="4"/>
        <v>30.6825</v>
      </c>
      <c r="I14" s="4" t="str">
        <f t="shared" si="5"/>
        <v> </v>
      </c>
      <c r="J14" s="5"/>
      <c r="K14" s="5">
        <v>19.9</v>
      </c>
      <c r="L14" s="4">
        <f t="shared" si="6"/>
        <v>3</v>
      </c>
      <c r="M14" s="4">
        <f t="shared" si="7"/>
        <v>0</v>
      </c>
      <c r="N14" s="4">
        <f t="shared" si="8"/>
        <v>-10.9054</v>
      </c>
      <c r="O14" s="4" t="str">
        <f t="shared" si="9"/>
        <v/>
      </c>
      <c r="P14" s="4">
        <f t="shared" si="10"/>
        <v>19.9</v>
      </c>
    </row>
    <row r="15">
      <c r="A15" s="4">
        <v>1992.0</v>
      </c>
      <c r="B15" s="9">
        <v>166.0</v>
      </c>
      <c r="C15" s="5">
        <v>11.0</v>
      </c>
      <c r="D15" s="5">
        <v>25.5</v>
      </c>
      <c r="E15" s="4">
        <f t="shared" si="1"/>
        <v>0</v>
      </c>
      <c r="F15" s="4">
        <f t="shared" si="2"/>
        <v>0</v>
      </c>
      <c r="G15" s="4">
        <f t="shared" si="3"/>
        <v>31.288</v>
      </c>
      <c r="H15" s="4">
        <f t="shared" si="4"/>
        <v>25.989</v>
      </c>
      <c r="I15" s="4" t="str">
        <f t="shared" si="5"/>
        <v> </v>
      </c>
      <c r="J15" s="5"/>
      <c r="K15" s="5">
        <v>18.4</v>
      </c>
      <c r="L15" s="4">
        <f t="shared" si="6"/>
        <v>3</v>
      </c>
      <c r="M15" s="4">
        <f t="shared" si="7"/>
        <v>0</v>
      </c>
      <c r="N15" s="4">
        <f t="shared" si="8"/>
        <v>-8.8943</v>
      </c>
      <c r="O15" s="4" t="str">
        <f t="shared" si="9"/>
        <v/>
      </c>
      <c r="P15" s="4">
        <f t="shared" si="10"/>
        <v>18.4</v>
      </c>
    </row>
    <row r="16">
      <c r="A16" s="4">
        <v>1992.0</v>
      </c>
      <c r="B16" s="9">
        <v>167.0</v>
      </c>
      <c r="C16" s="5">
        <v>9.4</v>
      </c>
      <c r="D16" s="5">
        <v>24.9</v>
      </c>
      <c r="E16" s="4">
        <f t="shared" si="1"/>
        <v>0</v>
      </c>
      <c r="F16" s="4">
        <f t="shared" si="2"/>
        <v>0</v>
      </c>
      <c r="G16" s="4">
        <f t="shared" si="3"/>
        <v>32.52</v>
      </c>
      <c r="H16" s="4">
        <f t="shared" si="4"/>
        <v>27.4265</v>
      </c>
      <c r="I16" s="4" t="str">
        <f t="shared" si="5"/>
        <v> </v>
      </c>
      <c r="J16" s="5"/>
      <c r="K16" s="5">
        <v>18.5</v>
      </c>
      <c r="L16" s="4">
        <f t="shared" si="6"/>
        <v>3</v>
      </c>
      <c r="M16" s="4">
        <f t="shared" si="7"/>
        <v>0</v>
      </c>
      <c r="N16" s="4">
        <f t="shared" si="8"/>
        <v>-8.6766</v>
      </c>
      <c r="O16" s="4" t="str">
        <f t="shared" si="9"/>
        <v/>
      </c>
      <c r="P16" s="4">
        <f t="shared" si="10"/>
        <v>18.5</v>
      </c>
    </row>
    <row r="17">
      <c r="A17" s="4">
        <v>1992.0</v>
      </c>
      <c r="B17" s="9">
        <v>168.0</v>
      </c>
      <c r="C17" s="5">
        <v>12.1</v>
      </c>
      <c r="D17" s="5">
        <v>26.2</v>
      </c>
      <c r="E17" s="4">
        <f t="shared" si="1"/>
        <v>0</v>
      </c>
      <c r="F17" s="4">
        <f t="shared" si="2"/>
        <v>0</v>
      </c>
      <c r="G17" s="4">
        <f t="shared" si="3"/>
        <v>34.045</v>
      </c>
      <c r="H17" s="4">
        <f t="shared" si="4"/>
        <v>28.3605</v>
      </c>
      <c r="I17" s="4" t="str">
        <f t="shared" si="5"/>
        <v> </v>
      </c>
      <c r="J17" s="5"/>
      <c r="K17" s="5">
        <v>19.4</v>
      </c>
      <c r="L17" s="4">
        <f t="shared" si="6"/>
        <v>3</v>
      </c>
      <c r="M17" s="4">
        <f t="shared" si="7"/>
        <v>0</v>
      </c>
      <c r="N17" s="4">
        <f t="shared" si="8"/>
        <v>-9.1529</v>
      </c>
      <c r="O17" s="4" t="str">
        <f t="shared" si="9"/>
        <v/>
      </c>
      <c r="P17" s="4">
        <f t="shared" si="10"/>
        <v>19.4</v>
      </c>
    </row>
    <row r="18">
      <c r="A18" s="4">
        <v>1992.0</v>
      </c>
      <c r="B18" s="9">
        <v>169.0</v>
      </c>
      <c r="C18" s="5">
        <v>13.4</v>
      </c>
      <c r="D18" s="5">
        <v>26.3</v>
      </c>
      <c r="E18" s="4">
        <f t="shared" si="1"/>
        <v>0</v>
      </c>
      <c r="F18" s="4">
        <f t="shared" si="2"/>
        <v>0</v>
      </c>
      <c r="G18" s="4">
        <f t="shared" si="3"/>
        <v>36.388</v>
      </c>
      <c r="H18" s="4">
        <f t="shared" si="4"/>
        <v>32.285</v>
      </c>
      <c r="I18" s="4" t="str">
        <f t="shared" si="5"/>
        <v> </v>
      </c>
      <c r="J18" s="5"/>
      <c r="K18" s="5">
        <v>19.1</v>
      </c>
      <c r="L18" s="4">
        <f t="shared" si="6"/>
        <v>3</v>
      </c>
      <c r="M18" s="4">
        <f t="shared" si="7"/>
        <v>0</v>
      </c>
      <c r="N18" s="4">
        <f t="shared" si="8"/>
        <v>-8.5367</v>
      </c>
      <c r="O18" s="4" t="str">
        <f t="shared" si="9"/>
        <v/>
      </c>
      <c r="P18" s="4">
        <f t="shared" si="10"/>
        <v>19.1</v>
      </c>
    </row>
    <row r="19">
      <c r="A19" s="4">
        <v>1992.0</v>
      </c>
      <c r="B19" s="9">
        <v>170.0</v>
      </c>
      <c r="C19" s="5">
        <v>12.3</v>
      </c>
      <c r="D19" s="5">
        <v>20.2</v>
      </c>
      <c r="E19" s="4">
        <f t="shared" si="1"/>
        <v>0</v>
      </c>
      <c r="F19" s="4">
        <f t="shared" si="2"/>
        <v>0</v>
      </c>
      <c r="G19" s="4">
        <f t="shared" si="3"/>
        <v>29.512</v>
      </c>
      <c r="H19" s="4">
        <f t="shared" si="4"/>
        <v>24.288</v>
      </c>
      <c r="I19" s="4" t="str">
        <f t="shared" si="5"/>
        <v> </v>
      </c>
      <c r="J19" s="5"/>
      <c r="K19" s="5">
        <v>16.0</v>
      </c>
      <c r="L19" s="4">
        <f t="shared" si="6"/>
        <v>3</v>
      </c>
      <c r="M19" s="4">
        <f t="shared" si="7"/>
        <v>0</v>
      </c>
      <c r="N19" s="4">
        <f t="shared" si="8"/>
        <v>-5.9397</v>
      </c>
      <c r="O19" s="4" t="str">
        <f t="shared" si="9"/>
        <v/>
      </c>
      <c r="P19" s="4">
        <f t="shared" si="10"/>
        <v>16</v>
      </c>
    </row>
    <row r="20">
      <c r="A20" s="4">
        <v>1992.0</v>
      </c>
      <c r="B20" s="9">
        <v>171.0</v>
      </c>
      <c r="C20" s="5">
        <v>12.1</v>
      </c>
      <c r="D20" s="5">
        <v>25.2</v>
      </c>
      <c r="E20" s="4">
        <f t="shared" si="1"/>
        <v>0</v>
      </c>
      <c r="F20" s="4">
        <f t="shared" si="2"/>
        <v>0</v>
      </c>
      <c r="G20" s="4">
        <f t="shared" si="3"/>
        <v>29.763</v>
      </c>
      <c r="H20" s="4">
        <f t="shared" si="4"/>
        <v>28.3635</v>
      </c>
      <c r="I20" s="4" t="str">
        <f t="shared" si="5"/>
        <v> </v>
      </c>
      <c r="J20" s="5"/>
      <c r="K20" s="5">
        <v>19.2</v>
      </c>
      <c r="L20" s="4">
        <f t="shared" si="6"/>
        <v>3</v>
      </c>
      <c r="M20" s="4">
        <f t="shared" si="7"/>
        <v>0</v>
      </c>
      <c r="N20" s="4">
        <f t="shared" si="8"/>
        <v>-2.5974</v>
      </c>
      <c r="O20" s="4" t="str">
        <f t="shared" si="9"/>
        <v/>
      </c>
      <c r="P20" s="4">
        <f t="shared" si="10"/>
        <v>19.2</v>
      </c>
    </row>
    <row r="21" ht="15.75" customHeight="1">
      <c r="A21" s="4">
        <v>1992.0</v>
      </c>
      <c r="B21" s="9">
        <v>172.0</v>
      </c>
      <c r="C21" s="5">
        <v>15.8</v>
      </c>
      <c r="D21" s="5">
        <v>26.2</v>
      </c>
      <c r="E21" s="4">
        <f t="shared" si="1"/>
        <v>0</v>
      </c>
      <c r="F21" s="4">
        <f t="shared" si="2"/>
        <v>0</v>
      </c>
      <c r="G21" s="4">
        <f t="shared" si="3"/>
        <v>32.305</v>
      </c>
      <c r="H21" s="4">
        <f t="shared" si="4"/>
        <v>29.325</v>
      </c>
      <c r="I21" s="4" t="str">
        <f t="shared" si="5"/>
        <v> </v>
      </c>
      <c r="J21" s="5"/>
      <c r="K21" s="5">
        <v>21.4</v>
      </c>
      <c r="L21" s="4">
        <f t="shared" si="6"/>
        <v>3</v>
      </c>
      <c r="M21" s="4">
        <f t="shared" si="7"/>
        <v>0</v>
      </c>
      <c r="N21" s="4">
        <f t="shared" si="8"/>
        <v>-2.7063</v>
      </c>
      <c r="O21" s="4" t="str">
        <f t="shared" si="9"/>
        <v/>
      </c>
      <c r="P21" s="4">
        <f t="shared" si="10"/>
        <v>21.4</v>
      </c>
    </row>
    <row r="22" ht="15.75" customHeight="1">
      <c r="A22" s="4">
        <v>1992.0</v>
      </c>
      <c r="B22" s="9">
        <v>173.0</v>
      </c>
      <c r="C22" s="5">
        <v>17.2</v>
      </c>
      <c r="D22" s="5">
        <v>27.8</v>
      </c>
      <c r="E22" s="4">
        <f t="shared" si="1"/>
        <v>1</v>
      </c>
      <c r="F22" s="4">
        <f t="shared" si="2"/>
        <v>0</v>
      </c>
      <c r="G22" s="4">
        <f t="shared" si="3"/>
        <v>30.556</v>
      </c>
      <c r="H22" s="4">
        <f t="shared" si="4"/>
        <v>28.3695</v>
      </c>
      <c r="I22" s="4" t="str">
        <f t="shared" si="5"/>
        <v> </v>
      </c>
      <c r="J22" s="5">
        <v>1.4</v>
      </c>
      <c r="K22" s="5">
        <v>21.4</v>
      </c>
      <c r="L22" s="4">
        <f t="shared" si="6"/>
        <v>8</v>
      </c>
      <c r="M22" s="4">
        <f t="shared" si="7"/>
        <v>0</v>
      </c>
      <c r="N22" s="4">
        <f t="shared" si="8"/>
        <v>-2.5043</v>
      </c>
      <c r="O22" s="4">
        <f t="shared" si="9"/>
        <v>1.4</v>
      </c>
      <c r="P22" s="4">
        <f t="shared" si="10"/>
        <v>21.4</v>
      </c>
    </row>
    <row r="23" ht="15.75" customHeight="1">
      <c r="A23" s="4">
        <v>1992.0</v>
      </c>
      <c r="B23" s="9">
        <v>174.0</v>
      </c>
      <c r="C23" s="5">
        <v>9.3</v>
      </c>
      <c r="D23" s="5">
        <v>20.3</v>
      </c>
      <c r="E23" s="4">
        <f t="shared" si="1"/>
        <v>0</v>
      </c>
      <c r="F23" s="4">
        <f t="shared" si="2"/>
        <v>0</v>
      </c>
      <c r="G23" s="4">
        <f t="shared" si="3"/>
        <v>18.76</v>
      </c>
      <c r="H23" s="4">
        <f t="shared" si="4"/>
        <v>17.449</v>
      </c>
      <c r="I23" s="4" t="str">
        <f t="shared" si="5"/>
        <v> </v>
      </c>
      <c r="J23" s="5"/>
      <c r="K23" s="5">
        <v>16.4</v>
      </c>
      <c r="L23" s="4">
        <f t="shared" si="6"/>
        <v>3</v>
      </c>
      <c r="M23" s="4">
        <f t="shared" si="7"/>
        <v>1</v>
      </c>
      <c r="N23" s="4">
        <f t="shared" si="8"/>
        <v>0.6286</v>
      </c>
      <c r="O23" s="4" t="str">
        <f t="shared" si="9"/>
        <v/>
      </c>
      <c r="P23" s="4">
        <f t="shared" si="10"/>
        <v>16.4</v>
      </c>
    </row>
    <row r="24" ht="15.75" customHeight="1">
      <c r="A24" s="4">
        <v>1992.0</v>
      </c>
      <c r="B24" s="9">
        <v>175.0</v>
      </c>
      <c r="C24" s="5">
        <v>7.0</v>
      </c>
      <c r="D24" s="5">
        <v>17.3</v>
      </c>
      <c r="E24" s="4">
        <f t="shared" si="1"/>
        <v>1</v>
      </c>
      <c r="F24" s="4">
        <f t="shared" si="2"/>
        <v>0</v>
      </c>
      <c r="G24" s="4">
        <f t="shared" si="3"/>
        <v>13.898</v>
      </c>
      <c r="H24" s="4">
        <f t="shared" si="4"/>
        <v>11.889</v>
      </c>
      <c r="I24" s="4" t="str">
        <f t="shared" si="5"/>
        <v> </v>
      </c>
      <c r="J24" s="5">
        <v>0.7</v>
      </c>
      <c r="K24" s="5">
        <v>12.6</v>
      </c>
      <c r="L24" s="4">
        <f t="shared" si="6"/>
        <v>8</v>
      </c>
      <c r="M24" s="4">
        <f t="shared" si="7"/>
        <v>0</v>
      </c>
      <c r="N24" s="4">
        <f t="shared" si="8"/>
        <v>-5.2083</v>
      </c>
      <c r="O24" s="4">
        <f t="shared" si="9"/>
        <v>0.7</v>
      </c>
      <c r="P24" s="4">
        <f t="shared" si="10"/>
        <v>12.6</v>
      </c>
    </row>
    <row r="25" ht="15.75" customHeight="1">
      <c r="A25" s="4">
        <v>1992.0</v>
      </c>
      <c r="B25" s="9">
        <v>176.0</v>
      </c>
      <c r="C25" s="5">
        <v>6.5</v>
      </c>
      <c r="D25" s="5">
        <v>19.5</v>
      </c>
      <c r="E25" s="4">
        <f t="shared" si="1"/>
        <v>0</v>
      </c>
      <c r="F25" s="4">
        <f t="shared" si="2"/>
        <v>0</v>
      </c>
      <c r="G25" s="4">
        <f t="shared" si="3"/>
        <v>11.949</v>
      </c>
      <c r="H25" s="4">
        <f t="shared" si="4"/>
        <v>8.717</v>
      </c>
      <c r="I25" s="4" t="str">
        <f t="shared" si="5"/>
        <v> </v>
      </c>
      <c r="J25" s="5"/>
      <c r="K25" s="5">
        <v>13.0</v>
      </c>
      <c r="L25" s="4">
        <f t="shared" si="6"/>
        <v>3</v>
      </c>
      <c r="M25" s="4">
        <f t="shared" si="7"/>
        <v>0</v>
      </c>
      <c r="N25" s="4">
        <f t="shared" si="8"/>
        <v>-5.5791</v>
      </c>
      <c r="O25" s="4" t="str">
        <f t="shared" si="9"/>
        <v/>
      </c>
      <c r="P25" s="4">
        <f t="shared" si="10"/>
        <v>13</v>
      </c>
    </row>
    <row r="26" ht="15.75" customHeight="1">
      <c r="A26" s="4">
        <v>1992.0</v>
      </c>
      <c r="B26" s="9">
        <v>177.0</v>
      </c>
      <c r="C26" s="5">
        <v>5.4</v>
      </c>
      <c r="D26" s="5">
        <v>17.3</v>
      </c>
      <c r="E26" s="4">
        <f t="shared" si="1"/>
        <v>0</v>
      </c>
      <c r="F26" s="4">
        <f t="shared" si="2"/>
        <v>0</v>
      </c>
      <c r="G26" s="4">
        <f t="shared" si="3"/>
        <v>15.301</v>
      </c>
      <c r="H26" s="4">
        <f t="shared" si="4"/>
        <v>11.396</v>
      </c>
      <c r="I26" s="4" t="str">
        <f t="shared" si="5"/>
        <v> </v>
      </c>
      <c r="J26" s="5"/>
      <c r="K26" s="5">
        <v>12.4</v>
      </c>
      <c r="L26" s="4">
        <f t="shared" si="6"/>
        <v>3</v>
      </c>
      <c r="M26" s="4">
        <f t="shared" si="7"/>
        <v>0</v>
      </c>
      <c r="N26" s="4">
        <f t="shared" si="8"/>
        <v>-9.0025</v>
      </c>
      <c r="O26" s="4" t="str">
        <f t="shared" si="9"/>
        <v/>
      </c>
      <c r="P26" s="4">
        <f t="shared" si="10"/>
        <v>12.4</v>
      </c>
    </row>
    <row r="27" ht="15.75" customHeight="1">
      <c r="A27" s="4">
        <v>1992.0</v>
      </c>
      <c r="B27" s="9">
        <v>178.0</v>
      </c>
      <c r="C27" s="5">
        <v>10.2</v>
      </c>
      <c r="D27" s="5">
        <v>17.0</v>
      </c>
      <c r="E27" s="4">
        <f t="shared" si="1"/>
        <v>0</v>
      </c>
      <c r="F27" s="4">
        <f t="shared" si="2"/>
        <v>0</v>
      </c>
      <c r="G27" s="4">
        <f t="shared" si="3"/>
        <v>19.754</v>
      </c>
      <c r="H27" s="4">
        <f t="shared" si="4"/>
        <v>18.12</v>
      </c>
      <c r="I27" s="4" t="str">
        <f t="shared" si="5"/>
        <v> </v>
      </c>
      <c r="J27" s="5"/>
      <c r="K27" s="5">
        <v>13.0</v>
      </c>
      <c r="L27" s="4">
        <f t="shared" si="6"/>
        <v>3</v>
      </c>
      <c r="M27" s="4">
        <f t="shared" si="7"/>
        <v>0</v>
      </c>
      <c r="N27" s="4">
        <f t="shared" si="8"/>
        <v>-8.0362</v>
      </c>
      <c r="O27" s="4" t="str">
        <f t="shared" si="9"/>
        <v/>
      </c>
      <c r="P27" s="4">
        <f t="shared" si="10"/>
        <v>13</v>
      </c>
    </row>
    <row r="28" ht="15.75" customHeight="1">
      <c r="A28" s="4">
        <v>1992.0</v>
      </c>
      <c r="B28" s="9">
        <v>179.0</v>
      </c>
      <c r="C28" s="5">
        <v>4.4</v>
      </c>
      <c r="D28" s="5">
        <v>12.7</v>
      </c>
      <c r="E28" s="4">
        <f t="shared" si="1"/>
        <v>0</v>
      </c>
      <c r="F28" s="4">
        <f t="shared" si="2"/>
        <v>0</v>
      </c>
      <c r="G28" s="4">
        <f t="shared" si="3"/>
        <v>19.427</v>
      </c>
      <c r="H28" s="4">
        <f t="shared" si="4"/>
        <v>15.658</v>
      </c>
      <c r="I28" s="4" t="str">
        <f t="shared" si="5"/>
        <v> </v>
      </c>
      <c r="J28" s="5"/>
      <c r="K28" s="5">
        <v>9.6</v>
      </c>
      <c r="L28" s="4">
        <f t="shared" si="6"/>
        <v>3</v>
      </c>
      <c r="M28" s="4">
        <f t="shared" si="7"/>
        <v>0</v>
      </c>
      <c r="N28" s="4">
        <f t="shared" si="8"/>
        <v>-8.3465</v>
      </c>
      <c r="O28" s="4">
        <f t="shared" si="9"/>
        <v>0</v>
      </c>
      <c r="P28" s="4">
        <f t="shared" si="10"/>
        <v>0</v>
      </c>
    </row>
    <row r="29" ht="15.75" customHeight="1">
      <c r="A29" s="4">
        <v>1992.0</v>
      </c>
      <c r="B29" s="9">
        <v>180.0</v>
      </c>
      <c r="C29" s="5">
        <v>3.6</v>
      </c>
      <c r="D29" s="5">
        <v>16.3</v>
      </c>
      <c r="E29" s="4">
        <f t="shared" si="1"/>
        <v>0</v>
      </c>
      <c r="F29" s="4">
        <f t="shared" si="2"/>
        <v>0</v>
      </c>
      <c r="G29" s="4">
        <f t="shared" si="3"/>
        <v>28.055</v>
      </c>
      <c r="H29" s="4">
        <f t="shared" si="4"/>
        <v>27.6125</v>
      </c>
      <c r="I29" s="4" t="str">
        <f t="shared" si="5"/>
        <v> </v>
      </c>
      <c r="J29" s="5"/>
      <c r="K29" s="5">
        <v>10.7</v>
      </c>
      <c r="L29" s="4">
        <f t="shared" si="6"/>
        <v>3</v>
      </c>
      <c r="M29" s="4">
        <f t="shared" si="7"/>
        <v>0</v>
      </c>
      <c r="N29" s="4">
        <f t="shared" si="8"/>
        <v>-2.2624</v>
      </c>
      <c r="O29" s="4" t="str">
        <f t="shared" si="9"/>
        <v/>
      </c>
      <c r="P29" s="4">
        <f t="shared" si="10"/>
        <v>10.7</v>
      </c>
    </row>
    <row r="30" ht="15.75" customHeight="1">
      <c r="A30" s="4">
        <v>1992.0</v>
      </c>
      <c r="B30" s="9">
        <v>181.0</v>
      </c>
      <c r="C30" s="5">
        <v>4.0</v>
      </c>
      <c r="D30" s="5">
        <v>24.0</v>
      </c>
      <c r="E30" s="4">
        <f t="shared" si="1"/>
        <v>0</v>
      </c>
      <c r="F30" s="4">
        <f t="shared" si="2"/>
        <v>0</v>
      </c>
      <c r="G30" s="4">
        <f t="shared" si="3"/>
        <v>36.087</v>
      </c>
      <c r="H30" s="4">
        <f t="shared" si="4"/>
        <v>33.069</v>
      </c>
      <c r="I30" s="4" t="str">
        <f t="shared" si="5"/>
        <v> </v>
      </c>
      <c r="J30" s="5"/>
      <c r="K30" s="5">
        <v>16.1</v>
      </c>
      <c r="L30" s="4">
        <f t="shared" si="6"/>
        <v>3</v>
      </c>
      <c r="M30" s="4">
        <f t="shared" si="7"/>
        <v>0</v>
      </c>
      <c r="N30" s="4">
        <f t="shared" si="8"/>
        <v>-6.31</v>
      </c>
      <c r="O30" s="4" t="str">
        <f t="shared" si="9"/>
        <v/>
      </c>
      <c r="P30" s="4">
        <f t="shared" si="10"/>
        <v>16.1</v>
      </c>
    </row>
    <row r="31" ht="15.75" customHeight="1">
      <c r="A31" s="4">
        <v>1992.0</v>
      </c>
      <c r="B31" s="9">
        <v>182.0</v>
      </c>
      <c r="C31" s="5">
        <v>10.2</v>
      </c>
      <c r="D31" s="5">
        <v>24.4</v>
      </c>
      <c r="E31" s="4">
        <f t="shared" si="1"/>
        <v>1</v>
      </c>
      <c r="F31" s="4">
        <f t="shared" si="2"/>
        <v>1</v>
      </c>
      <c r="G31" s="4">
        <f t="shared" si="3"/>
        <v>33.042</v>
      </c>
      <c r="H31" s="4">
        <f t="shared" si="4"/>
        <v>33.0575</v>
      </c>
      <c r="I31" s="4">
        <f t="shared" si="5"/>
        <v>0.0155</v>
      </c>
      <c r="J31" s="5">
        <v>0.6</v>
      </c>
      <c r="K31" s="5">
        <v>17.8</v>
      </c>
      <c r="L31" s="4">
        <f t="shared" si="6"/>
        <v>8</v>
      </c>
      <c r="M31" s="4">
        <f t="shared" si="7"/>
        <v>0</v>
      </c>
      <c r="N31" s="4">
        <f t="shared" si="8"/>
        <v>-2.6309</v>
      </c>
      <c r="O31" s="4">
        <f t="shared" si="9"/>
        <v>0.6</v>
      </c>
      <c r="P31" s="4">
        <f t="shared" si="10"/>
        <v>17.8</v>
      </c>
    </row>
    <row r="32" ht="15.75" customHeight="1">
      <c r="A32" s="4">
        <v>1992.0</v>
      </c>
      <c r="B32" s="9">
        <v>183.0</v>
      </c>
      <c r="C32" s="5">
        <v>0.3</v>
      </c>
      <c r="D32" s="5">
        <v>22.2</v>
      </c>
      <c r="E32" s="4">
        <f t="shared" si="1"/>
        <v>0</v>
      </c>
      <c r="F32" s="4">
        <f t="shared" si="2"/>
        <v>0</v>
      </c>
      <c r="G32" s="4">
        <f t="shared" si="3"/>
        <v>26.756</v>
      </c>
      <c r="H32" s="4">
        <f t="shared" si="4"/>
        <v>25.456</v>
      </c>
      <c r="I32" s="4" t="str">
        <f t="shared" si="5"/>
        <v> </v>
      </c>
      <c r="J32" s="5"/>
      <c r="K32" s="5">
        <v>19.7</v>
      </c>
      <c r="L32" s="4">
        <f t="shared" si="6"/>
        <v>3</v>
      </c>
      <c r="M32" s="4">
        <f t="shared" si="7"/>
        <v>0</v>
      </c>
      <c r="N32" s="4">
        <f t="shared" si="8"/>
        <v>-7.4925</v>
      </c>
      <c r="O32" s="4" t="str">
        <f t="shared" si="9"/>
        <v/>
      </c>
      <c r="P32" s="4">
        <f t="shared" si="10"/>
        <v>19.7</v>
      </c>
    </row>
    <row r="33" ht="15.75" customHeight="1">
      <c r="A33" s="4">
        <v>1992.0</v>
      </c>
      <c r="B33" s="9">
        <v>184.0</v>
      </c>
      <c r="C33" s="5">
        <v>13.2</v>
      </c>
      <c r="D33" s="5">
        <v>28.6</v>
      </c>
      <c r="E33" s="4">
        <f t="shared" si="1"/>
        <v>0</v>
      </c>
      <c r="F33" s="4">
        <f t="shared" si="2"/>
        <v>0</v>
      </c>
      <c r="G33" s="4">
        <f t="shared" si="3"/>
        <v>28.59</v>
      </c>
      <c r="H33" s="4">
        <f t="shared" si="4"/>
        <v>26.5015</v>
      </c>
      <c r="I33" s="4" t="str">
        <f t="shared" si="5"/>
        <v> </v>
      </c>
      <c r="J33" s="5"/>
      <c r="K33" s="5">
        <v>22.4</v>
      </c>
      <c r="L33" s="4">
        <f t="shared" si="6"/>
        <v>3</v>
      </c>
      <c r="M33" s="4">
        <f t="shared" si="7"/>
        <v>1</v>
      </c>
      <c r="N33" s="4">
        <f t="shared" si="8"/>
        <v>1.612</v>
      </c>
      <c r="O33" s="4" t="str">
        <f t="shared" si="9"/>
        <v/>
      </c>
      <c r="P33" s="4">
        <f t="shared" si="10"/>
        <v>22.4</v>
      </c>
    </row>
    <row r="34" ht="15.75" customHeight="1">
      <c r="A34" s="4">
        <v>1992.0</v>
      </c>
      <c r="B34" s="9">
        <v>185.0</v>
      </c>
      <c r="C34" s="5">
        <v>8.3</v>
      </c>
      <c r="D34" s="5">
        <v>26.9</v>
      </c>
      <c r="E34" s="4">
        <f t="shared" si="1"/>
        <v>1</v>
      </c>
      <c r="F34" s="4">
        <f t="shared" si="2"/>
        <v>0</v>
      </c>
      <c r="G34" s="4">
        <f t="shared" si="3"/>
        <v>22.444</v>
      </c>
      <c r="H34" s="4">
        <f t="shared" si="4"/>
        <v>21.9695</v>
      </c>
      <c r="I34" s="4" t="str">
        <f t="shared" si="5"/>
        <v> </v>
      </c>
      <c r="J34" s="5">
        <v>2.4</v>
      </c>
      <c r="K34" s="5">
        <v>16.4</v>
      </c>
      <c r="L34" s="4">
        <f t="shared" si="6"/>
        <v>8</v>
      </c>
      <c r="M34" s="4">
        <f t="shared" si="7"/>
        <v>1</v>
      </c>
      <c r="N34" s="4">
        <f t="shared" si="8"/>
        <v>2.0091</v>
      </c>
      <c r="O34" s="4">
        <f t="shared" si="9"/>
        <v>2.4</v>
      </c>
      <c r="P34" s="4">
        <f t="shared" si="10"/>
        <v>16.4</v>
      </c>
    </row>
    <row r="35" ht="15.75" customHeight="1">
      <c r="A35" s="4">
        <v>1992.0</v>
      </c>
      <c r="B35" s="9">
        <v>186.0</v>
      </c>
      <c r="C35" s="5">
        <v>6.4</v>
      </c>
      <c r="D35" s="5">
        <v>16.8</v>
      </c>
      <c r="E35" s="4">
        <f t="shared" si="1"/>
        <v>1</v>
      </c>
      <c r="F35" s="4">
        <f t="shared" si="2"/>
        <v>0</v>
      </c>
      <c r="G35" s="4">
        <f t="shared" si="3"/>
        <v>12.827</v>
      </c>
      <c r="H35" s="4">
        <f t="shared" si="4"/>
        <v>11.592</v>
      </c>
      <c r="I35" s="4" t="str">
        <f t="shared" si="5"/>
        <v> </v>
      </c>
      <c r="J35" s="5">
        <v>0.9</v>
      </c>
      <c r="K35" s="5">
        <v>11.1</v>
      </c>
      <c r="L35" s="4">
        <f t="shared" si="6"/>
        <v>8</v>
      </c>
      <c r="M35" s="4">
        <f t="shared" si="7"/>
        <v>0</v>
      </c>
      <c r="N35" s="4">
        <f t="shared" si="8"/>
        <v>-4.2612</v>
      </c>
      <c r="O35" s="4">
        <f t="shared" si="9"/>
        <v>0.9</v>
      </c>
      <c r="P35" s="4">
        <f t="shared" si="10"/>
        <v>11.1</v>
      </c>
    </row>
    <row r="36" ht="15.75" customHeight="1">
      <c r="A36" s="4">
        <v>1992.0</v>
      </c>
      <c r="B36" s="9">
        <v>187.0</v>
      </c>
      <c r="C36" s="5">
        <v>4.7</v>
      </c>
      <c r="D36" s="5">
        <v>17.9</v>
      </c>
      <c r="E36" s="4">
        <f t="shared" si="1"/>
        <v>0</v>
      </c>
      <c r="F36" s="4">
        <f t="shared" si="2"/>
        <v>0</v>
      </c>
      <c r="G36" s="4">
        <f t="shared" si="3"/>
        <v>10.733</v>
      </c>
      <c r="H36" s="4">
        <f t="shared" si="4"/>
        <v>7.765</v>
      </c>
      <c r="I36" s="4" t="str">
        <f t="shared" si="5"/>
        <v> </v>
      </c>
      <c r="J36" s="5"/>
      <c r="K36" s="5">
        <v>11.0</v>
      </c>
      <c r="L36" s="4">
        <f t="shared" si="6"/>
        <v>3</v>
      </c>
      <c r="M36" s="4">
        <f t="shared" si="7"/>
        <v>0</v>
      </c>
      <c r="N36" s="4">
        <f t="shared" si="8"/>
        <v>-7.7944</v>
      </c>
      <c r="O36" s="4" t="str">
        <f t="shared" si="9"/>
        <v/>
      </c>
      <c r="P36" s="4">
        <f t="shared" si="10"/>
        <v>11</v>
      </c>
    </row>
    <row r="37" ht="15.75" customHeight="1">
      <c r="A37" s="4">
        <v>1992.0</v>
      </c>
      <c r="B37" s="9">
        <v>188.0</v>
      </c>
      <c r="C37" s="5">
        <v>5.1</v>
      </c>
      <c r="D37" s="5">
        <v>13.8</v>
      </c>
      <c r="E37" s="4">
        <f t="shared" si="1"/>
        <v>0</v>
      </c>
      <c r="F37" s="4">
        <f t="shared" si="2"/>
        <v>0</v>
      </c>
      <c r="G37" s="4">
        <f t="shared" si="3"/>
        <v>14.1</v>
      </c>
      <c r="H37" s="4">
        <f t="shared" si="4"/>
        <v>11.413</v>
      </c>
      <c r="I37" s="4" t="str">
        <f t="shared" si="5"/>
        <v> </v>
      </c>
      <c r="J37" s="5"/>
      <c r="K37" s="5">
        <v>9.6</v>
      </c>
      <c r="L37" s="4">
        <f t="shared" si="6"/>
        <v>3</v>
      </c>
      <c r="M37" s="4">
        <f t="shared" si="7"/>
        <v>0</v>
      </c>
      <c r="N37" s="4">
        <f t="shared" si="8"/>
        <v>-7.3315</v>
      </c>
      <c r="O37" s="4">
        <f t="shared" si="9"/>
        <v>0</v>
      </c>
      <c r="P37" s="4">
        <f t="shared" si="10"/>
        <v>0</v>
      </c>
    </row>
    <row r="38" ht="15.75" customHeight="1">
      <c r="A38" s="4">
        <v>1992.0</v>
      </c>
      <c r="B38" s="9">
        <v>189.0</v>
      </c>
      <c r="C38" s="5">
        <v>4.4</v>
      </c>
      <c r="D38" s="5">
        <v>13.9</v>
      </c>
      <c r="E38" s="4">
        <f t="shared" si="1"/>
        <v>0</v>
      </c>
      <c r="F38" s="4">
        <f t="shared" si="2"/>
        <v>0</v>
      </c>
      <c r="G38" s="4">
        <f t="shared" si="3"/>
        <v>20.119</v>
      </c>
      <c r="H38" s="4">
        <f t="shared" si="4"/>
        <v>15.912</v>
      </c>
      <c r="I38" s="4" t="str">
        <f t="shared" si="5"/>
        <v> </v>
      </c>
      <c r="J38" s="5"/>
      <c r="K38" s="5">
        <v>10.6</v>
      </c>
      <c r="L38" s="4">
        <f t="shared" si="6"/>
        <v>3</v>
      </c>
      <c r="M38" s="4">
        <f t="shared" si="7"/>
        <v>0</v>
      </c>
      <c r="N38" s="4">
        <f t="shared" si="8"/>
        <v>-6.4457</v>
      </c>
      <c r="O38" s="4" t="str">
        <f t="shared" si="9"/>
        <v/>
      </c>
      <c r="P38" s="4">
        <f t="shared" si="10"/>
        <v>10.6</v>
      </c>
    </row>
    <row r="39" ht="15.75" customHeight="1">
      <c r="A39" s="4">
        <v>1992.0</v>
      </c>
      <c r="B39" s="9">
        <v>190.0</v>
      </c>
      <c r="C39" s="5">
        <v>4.0</v>
      </c>
      <c r="D39" s="5">
        <v>16.2</v>
      </c>
      <c r="E39" s="4">
        <f t="shared" si="1"/>
        <v>0</v>
      </c>
      <c r="F39" s="4">
        <f t="shared" si="2"/>
        <v>0</v>
      </c>
      <c r="G39" s="4">
        <f t="shared" si="3"/>
        <v>26.085</v>
      </c>
      <c r="H39" s="4">
        <f t="shared" si="4"/>
        <v>21.9965</v>
      </c>
      <c r="I39" s="4" t="str">
        <f t="shared" si="5"/>
        <v> </v>
      </c>
      <c r="J39" s="5"/>
      <c r="K39" s="5">
        <v>10.6</v>
      </c>
      <c r="L39" s="4">
        <f t="shared" si="6"/>
        <v>3</v>
      </c>
      <c r="M39" s="4">
        <f t="shared" si="7"/>
        <v>0</v>
      </c>
      <c r="N39" s="4">
        <f t="shared" si="8"/>
        <v>-5.0521</v>
      </c>
      <c r="O39" s="4" t="str">
        <f t="shared" si="9"/>
        <v/>
      </c>
      <c r="P39" s="4">
        <f t="shared" si="10"/>
        <v>10.6</v>
      </c>
    </row>
    <row r="40" ht="15.75" customHeight="1">
      <c r="A40" s="4">
        <v>1992.0</v>
      </c>
      <c r="B40" s="9">
        <v>191.0</v>
      </c>
      <c r="C40" s="5">
        <v>6.4</v>
      </c>
      <c r="D40" s="5">
        <v>18.1</v>
      </c>
      <c r="E40" s="4">
        <f t="shared" si="1"/>
        <v>0</v>
      </c>
      <c r="F40" s="4">
        <f t="shared" si="2"/>
        <v>0</v>
      </c>
      <c r="G40" s="4">
        <f t="shared" si="3"/>
        <v>32.843</v>
      </c>
      <c r="H40" s="4">
        <f t="shared" si="4"/>
        <v>27.819</v>
      </c>
      <c r="I40" s="4" t="str">
        <f t="shared" si="5"/>
        <v> </v>
      </c>
      <c r="J40" s="5"/>
      <c r="K40" s="5">
        <v>13.2</v>
      </c>
      <c r="L40" s="4">
        <f t="shared" si="6"/>
        <v>3</v>
      </c>
      <c r="M40" s="4">
        <f t="shared" si="7"/>
        <v>0</v>
      </c>
      <c r="N40" s="4">
        <f t="shared" si="8"/>
        <v>-7.6796</v>
      </c>
      <c r="O40" s="4" t="str">
        <f t="shared" si="9"/>
        <v/>
      </c>
      <c r="P40" s="4">
        <f t="shared" si="10"/>
        <v>13.2</v>
      </c>
    </row>
    <row r="41" ht="15.75" customHeight="1">
      <c r="A41" s="4">
        <v>1992.0</v>
      </c>
      <c r="B41" s="9">
        <v>192.0</v>
      </c>
      <c r="C41" s="5">
        <v>11.8</v>
      </c>
      <c r="D41" s="5">
        <v>24.2</v>
      </c>
      <c r="E41" s="4">
        <f t="shared" si="1"/>
        <v>0</v>
      </c>
      <c r="F41" s="4">
        <f t="shared" si="2"/>
        <v>0</v>
      </c>
      <c r="G41" s="4">
        <f t="shared" si="3"/>
        <v>41.603</v>
      </c>
      <c r="H41" s="4">
        <f t="shared" si="4"/>
        <v>35.714</v>
      </c>
      <c r="I41" s="4" t="str">
        <f t="shared" si="5"/>
        <v> </v>
      </c>
      <c r="J41" s="5"/>
      <c r="K41" s="5">
        <v>18.2</v>
      </c>
      <c r="L41" s="4">
        <f t="shared" si="6"/>
        <v>3</v>
      </c>
      <c r="M41" s="4">
        <f t="shared" si="7"/>
        <v>0</v>
      </c>
      <c r="N41" s="4">
        <f t="shared" si="8"/>
        <v>-8.6347</v>
      </c>
      <c r="O41" s="4" t="str">
        <f t="shared" si="9"/>
        <v/>
      </c>
      <c r="P41" s="4">
        <f t="shared" si="10"/>
        <v>18.2</v>
      </c>
    </row>
    <row r="42" ht="15.75" customHeight="1">
      <c r="A42" s="4">
        <v>1992.0</v>
      </c>
      <c r="B42" s="9">
        <v>193.0</v>
      </c>
      <c r="C42" s="5">
        <v>12.3</v>
      </c>
      <c r="D42" s="5">
        <v>28.0</v>
      </c>
      <c r="E42" s="4">
        <f t="shared" si="1"/>
        <v>0</v>
      </c>
      <c r="F42" s="4">
        <f t="shared" si="2"/>
        <v>0</v>
      </c>
      <c r="G42" s="4">
        <f t="shared" si="3"/>
        <v>46.072</v>
      </c>
      <c r="H42" s="4">
        <f t="shared" si="4"/>
        <v>41.1345</v>
      </c>
      <c r="I42" s="4" t="str">
        <f t="shared" si="5"/>
        <v> </v>
      </c>
      <c r="J42" s="5"/>
      <c r="K42" s="5">
        <v>21.2</v>
      </c>
      <c r="L42" s="4">
        <f t="shared" si="6"/>
        <v>3</v>
      </c>
      <c r="M42" s="4">
        <f t="shared" si="7"/>
        <v>0</v>
      </c>
      <c r="N42" s="4">
        <f t="shared" si="8"/>
        <v>-10.7913</v>
      </c>
      <c r="O42" s="4" t="str">
        <f t="shared" si="9"/>
        <v/>
      </c>
      <c r="P42" s="4">
        <f t="shared" si="10"/>
        <v>21.2</v>
      </c>
    </row>
    <row r="43" ht="15.75" customHeight="1">
      <c r="A43" s="4">
        <v>1992.0</v>
      </c>
      <c r="B43" s="9">
        <v>194.0</v>
      </c>
      <c r="C43" s="5">
        <v>14.4</v>
      </c>
      <c r="D43" s="5">
        <v>29.4</v>
      </c>
      <c r="E43" s="4">
        <f t="shared" si="1"/>
        <v>0</v>
      </c>
      <c r="F43" s="4">
        <f t="shared" si="2"/>
        <v>0</v>
      </c>
      <c r="G43" s="4">
        <f t="shared" si="3"/>
        <v>48.956</v>
      </c>
      <c r="H43" s="4">
        <f t="shared" si="4"/>
        <v>44.9395</v>
      </c>
      <c r="I43" s="4" t="str">
        <f t="shared" si="5"/>
        <v> </v>
      </c>
      <c r="J43" s="5"/>
      <c r="K43" s="5">
        <v>22.8</v>
      </c>
      <c r="L43" s="4">
        <f t="shared" si="6"/>
        <v>3</v>
      </c>
      <c r="M43" s="4">
        <f t="shared" si="7"/>
        <v>0</v>
      </c>
      <c r="N43" s="4">
        <f t="shared" si="8"/>
        <v>-10.5899</v>
      </c>
      <c r="O43" s="4" t="str">
        <f t="shared" si="9"/>
        <v/>
      </c>
      <c r="P43" s="4">
        <f t="shared" si="10"/>
        <v>22.8</v>
      </c>
    </row>
    <row r="44" ht="15.75" customHeight="1">
      <c r="A44" s="4">
        <v>1992.0</v>
      </c>
      <c r="B44" s="9">
        <v>195.0</v>
      </c>
      <c r="C44" s="5">
        <v>13.4</v>
      </c>
      <c r="D44" s="5">
        <v>30.1</v>
      </c>
      <c r="E44" s="4">
        <f t="shared" si="1"/>
        <v>0</v>
      </c>
      <c r="F44" s="4">
        <f t="shared" si="2"/>
        <v>0</v>
      </c>
      <c r="G44" s="4">
        <f t="shared" si="3"/>
        <v>45.141</v>
      </c>
      <c r="H44" s="4">
        <f t="shared" si="4"/>
        <v>40.738</v>
      </c>
      <c r="I44" s="4" t="str">
        <f t="shared" si="5"/>
        <v> </v>
      </c>
      <c r="J44" s="5"/>
      <c r="K44" s="5">
        <v>23.0</v>
      </c>
      <c r="L44" s="4">
        <f t="shared" si="6"/>
        <v>3</v>
      </c>
      <c r="M44" s="4">
        <f t="shared" si="7"/>
        <v>0</v>
      </c>
      <c r="N44" s="4">
        <f t="shared" si="8"/>
        <v>-7.1052</v>
      </c>
      <c r="O44" s="4" t="str">
        <f t="shared" si="9"/>
        <v/>
      </c>
      <c r="P44" s="4">
        <f t="shared" si="10"/>
        <v>23</v>
      </c>
    </row>
    <row r="45" ht="15.75" customHeight="1">
      <c r="A45" s="4">
        <v>1992.0</v>
      </c>
      <c r="B45" s="9">
        <v>196.0</v>
      </c>
      <c r="C45" s="5">
        <v>14.3</v>
      </c>
      <c r="D45" s="5">
        <v>31.0</v>
      </c>
      <c r="E45" s="4">
        <f t="shared" si="1"/>
        <v>0</v>
      </c>
      <c r="F45" s="4">
        <f t="shared" si="2"/>
        <v>0</v>
      </c>
      <c r="G45" s="4">
        <f t="shared" si="3"/>
        <v>43.883</v>
      </c>
      <c r="H45" s="4">
        <f t="shared" si="4"/>
        <v>40.7665</v>
      </c>
      <c r="I45" s="4" t="str">
        <f t="shared" si="5"/>
        <v> </v>
      </c>
      <c r="J45" s="5"/>
      <c r="K45" s="5">
        <v>23.5</v>
      </c>
      <c r="L45" s="4">
        <f t="shared" si="6"/>
        <v>3</v>
      </c>
      <c r="M45" s="4">
        <f t="shared" si="7"/>
        <v>1</v>
      </c>
      <c r="N45" s="4">
        <f t="shared" si="8"/>
        <v>2.9281</v>
      </c>
      <c r="O45" s="4" t="str">
        <f t="shared" si="9"/>
        <v/>
      </c>
      <c r="P45" s="4">
        <f t="shared" si="10"/>
        <v>23.5</v>
      </c>
    </row>
    <row r="46" ht="15.75" customHeight="1">
      <c r="A46" s="4">
        <v>1992.0</v>
      </c>
      <c r="B46" s="9">
        <v>197.0</v>
      </c>
      <c r="C46" s="5">
        <v>13.3</v>
      </c>
      <c r="D46" s="5">
        <v>30.7</v>
      </c>
      <c r="E46" s="4">
        <f t="shared" si="1"/>
        <v>1</v>
      </c>
      <c r="F46" s="4">
        <f t="shared" si="2"/>
        <v>0</v>
      </c>
      <c r="G46" s="4">
        <f t="shared" si="3"/>
        <v>40.988</v>
      </c>
      <c r="H46" s="4">
        <f t="shared" si="4"/>
        <v>40.9035</v>
      </c>
      <c r="I46" s="4" t="str">
        <f t="shared" si="5"/>
        <v> </v>
      </c>
      <c r="J46" s="5">
        <v>0.15</v>
      </c>
      <c r="K46" s="5">
        <v>22.9</v>
      </c>
      <c r="L46" s="4">
        <f t="shared" si="6"/>
        <v>8</v>
      </c>
      <c r="M46" s="4">
        <f t="shared" si="7"/>
        <v>1</v>
      </c>
      <c r="N46" s="4">
        <f t="shared" si="8"/>
        <v>0.9046</v>
      </c>
      <c r="O46" s="4">
        <f t="shared" si="9"/>
        <v>0.15</v>
      </c>
      <c r="P46" s="4">
        <f t="shared" si="10"/>
        <v>22.9</v>
      </c>
    </row>
    <row r="47" ht="15.75" customHeight="1">
      <c r="A47" s="4">
        <v>1992.0</v>
      </c>
      <c r="B47" s="9">
        <v>198.0</v>
      </c>
      <c r="C47" s="5">
        <v>14.2</v>
      </c>
      <c r="D47" s="5">
        <v>29.3</v>
      </c>
      <c r="E47" s="4">
        <f t="shared" si="1"/>
        <v>1</v>
      </c>
      <c r="F47" s="4">
        <f t="shared" si="2"/>
        <v>0</v>
      </c>
      <c r="G47" s="4">
        <f t="shared" si="3"/>
        <v>36.575</v>
      </c>
      <c r="H47" s="4">
        <f t="shared" si="4"/>
        <v>35.376</v>
      </c>
      <c r="I47" s="4" t="str">
        <f t="shared" si="5"/>
        <v> </v>
      </c>
      <c r="J47" s="5">
        <v>3.3</v>
      </c>
      <c r="K47" s="5">
        <v>21.4</v>
      </c>
      <c r="L47" s="4">
        <f t="shared" si="6"/>
        <v>8</v>
      </c>
      <c r="M47" s="4">
        <f t="shared" si="7"/>
        <v>0</v>
      </c>
      <c r="N47" s="4">
        <f t="shared" si="8"/>
        <v>-7.3013</v>
      </c>
      <c r="O47" s="4">
        <f t="shared" si="9"/>
        <v>3.3</v>
      </c>
      <c r="P47" s="4">
        <f t="shared" si="10"/>
        <v>21.4</v>
      </c>
    </row>
    <row r="48" ht="15.75" customHeight="1">
      <c r="A48" s="4">
        <v>1992.0</v>
      </c>
      <c r="B48" s="9">
        <v>199.0</v>
      </c>
      <c r="C48" s="5">
        <v>10.9</v>
      </c>
      <c r="D48" s="5">
        <v>21.9</v>
      </c>
      <c r="E48" s="4">
        <f t="shared" si="1"/>
        <v>0</v>
      </c>
      <c r="F48" s="4">
        <f t="shared" si="2"/>
        <v>0</v>
      </c>
      <c r="G48" s="4">
        <f t="shared" si="3"/>
        <v>28.73</v>
      </c>
      <c r="H48" s="4">
        <f t="shared" si="4"/>
        <v>25.9955</v>
      </c>
      <c r="I48" s="4" t="str">
        <f t="shared" si="5"/>
        <v> </v>
      </c>
      <c r="J48" s="5"/>
      <c r="K48" s="5">
        <v>17.0</v>
      </c>
      <c r="L48" s="4">
        <f t="shared" si="6"/>
        <v>3</v>
      </c>
      <c r="M48" s="4">
        <f t="shared" si="7"/>
        <v>0</v>
      </c>
      <c r="N48" s="4">
        <f t="shared" si="8"/>
        <v>-1.347</v>
      </c>
      <c r="O48" s="4" t="str">
        <f t="shared" si="9"/>
        <v/>
      </c>
      <c r="P48" s="4">
        <f t="shared" si="10"/>
        <v>17</v>
      </c>
    </row>
    <row r="49" ht="15.75" customHeight="1">
      <c r="A49" s="4">
        <v>1992.0</v>
      </c>
      <c r="B49" s="9">
        <v>200.0</v>
      </c>
      <c r="C49" s="5">
        <v>9.1</v>
      </c>
      <c r="D49" s="5">
        <v>22.7</v>
      </c>
      <c r="E49" s="4">
        <f t="shared" si="1"/>
        <v>0</v>
      </c>
      <c r="F49" s="4">
        <f t="shared" si="2"/>
        <v>0</v>
      </c>
      <c r="G49" s="4">
        <f t="shared" si="3"/>
        <v>31.672</v>
      </c>
      <c r="H49" s="4">
        <f t="shared" si="4"/>
        <v>28.954</v>
      </c>
      <c r="I49" s="4" t="str">
        <f t="shared" si="5"/>
        <v> </v>
      </c>
      <c r="J49" s="5"/>
      <c r="K49" s="5">
        <v>17.4</v>
      </c>
      <c r="L49" s="4">
        <f t="shared" si="6"/>
        <v>3</v>
      </c>
      <c r="M49" s="4">
        <f t="shared" si="7"/>
        <v>1</v>
      </c>
      <c r="N49" s="4">
        <f t="shared" si="8"/>
        <v>7.6255</v>
      </c>
      <c r="O49" s="4" t="str">
        <f t="shared" si="9"/>
        <v/>
      </c>
      <c r="P49" s="4">
        <f t="shared" si="10"/>
        <v>17.4</v>
      </c>
    </row>
    <row r="50" ht="15.75" customHeight="1">
      <c r="A50" s="4">
        <v>1992.0</v>
      </c>
      <c r="B50" s="9">
        <v>201.0</v>
      </c>
      <c r="C50" s="5">
        <v>14.0</v>
      </c>
      <c r="D50" s="5">
        <v>21.6</v>
      </c>
      <c r="E50" s="4">
        <f t="shared" si="1"/>
        <v>1</v>
      </c>
      <c r="F50" s="4">
        <f t="shared" si="2"/>
        <v>0</v>
      </c>
      <c r="G50" s="4">
        <f t="shared" si="3"/>
        <v>36.231</v>
      </c>
      <c r="H50" s="4">
        <f t="shared" si="4"/>
        <v>33.9345</v>
      </c>
      <c r="I50" s="4" t="str">
        <f t="shared" si="5"/>
        <v> </v>
      </c>
      <c r="J50" s="5">
        <v>0.2</v>
      </c>
      <c r="K50" s="5">
        <v>17.2</v>
      </c>
      <c r="L50" s="4">
        <f t="shared" si="6"/>
        <v>8</v>
      </c>
      <c r="M50" s="4">
        <f t="shared" si="7"/>
        <v>1</v>
      </c>
      <c r="N50" s="4">
        <f t="shared" si="8"/>
        <v>7.0901</v>
      </c>
      <c r="O50" s="4">
        <f t="shared" si="9"/>
        <v>0.2</v>
      </c>
      <c r="P50" s="4">
        <f t="shared" si="10"/>
        <v>17.2</v>
      </c>
    </row>
    <row r="51" ht="15.75" customHeight="1">
      <c r="A51" s="4">
        <v>1992.0</v>
      </c>
      <c r="B51" s="9">
        <v>202.0</v>
      </c>
      <c r="C51" s="5">
        <v>14.5</v>
      </c>
      <c r="D51" s="5">
        <v>19.9</v>
      </c>
      <c r="E51" s="4">
        <f t="shared" si="1"/>
        <v>1</v>
      </c>
      <c r="F51" s="4">
        <f t="shared" si="2"/>
        <v>0</v>
      </c>
      <c r="G51" s="4">
        <f t="shared" si="3"/>
        <v>36.491</v>
      </c>
      <c r="H51" s="4">
        <f t="shared" si="4"/>
        <v>33.273</v>
      </c>
      <c r="I51" s="4" t="str">
        <f t="shared" si="5"/>
        <v> </v>
      </c>
      <c r="J51" s="5">
        <v>0.7</v>
      </c>
      <c r="K51" s="5">
        <v>17.2</v>
      </c>
      <c r="L51" s="4">
        <f t="shared" si="6"/>
        <v>8</v>
      </c>
      <c r="M51" s="4">
        <f t="shared" si="7"/>
        <v>0</v>
      </c>
      <c r="N51" s="4">
        <f t="shared" si="8"/>
        <v>-3.7487</v>
      </c>
      <c r="O51" s="4">
        <f t="shared" si="9"/>
        <v>0.7</v>
      </c>
      <c r="P51" s="4">
        <f t="shared" si="10"/>
        <v>17.2</v>
      </c>
    </row>
    <row r="52" ht="15.75" customHeight="1">
      <c r="A52" s="4">
        <v>1992.0</v>
      </c>
      <c r="B52" s="9">
        <v>203.0</v>
      </c>
      <c r="C52" s="5">
        <v>14.8</v>
      </c>
      <c r="D52" s="5">
        <v>21.7</v>
      </c>
      <c r="E52" s="4">
        <f t="shared" si="1"/>
        <v>0</v>
      </c>
      <c r="F52" s="4">
        <f t="shared" si="2"/>
        <v>0</v>
      </c>
      <c r="G52" s="4">
        <f t="shared" si="3"/>
        <v>38.641</v>
      </c>
      <c r="H52" s="4">
        <f t="shared" si="4"/>
        <v>32.9095</v>
      </c>
      <c r="I52" s="4" t="str">
        <f t="shared" si="5"/>
        <v> </v>
      </c>
      <c r="J52" s="5"/>
      <c r="K52" s="5">
        <v>18.0</v>
      </c>
      <c r="L52" s="4">
        <f t="shared" si="6"/>
        <v>3</v>
      </c>
      <c r="M52" s="4">
        <f t="shared" si="7"/>
        <v>0</v>
      </c>
      <c r="N52" s="4">
        <f t="shared" si="8"/>
        <v>-9.1311</v>
      </c>
      <c r="O52" s="4" t="str">
        <f t="shared" si="9"/>
        <v/>
      </c>
      <c r="P52" s="4">
        <f t="shared" si="10"/>
        <v>18</v>
      </c>
    </row>
    <row r="53" ht="15.75" customHeight="1">
      <c r="A53" s="4">
        <v>1992.0</v>
      </c>
      <c r="B53" s="9">
        <v>204.0</v>
      </c>
      <c r="C53" s="5">
        <v>13.3</v>
      </c>
      <c r="D53" s="5">
        <v>26.8</v>
      </c>
      <c r="E53" s="4">
        <f t="shared" si="1"/>
        <v>0</v>
      </c>
      <c r="F53" s="4">
        <f t="shared" si="2"/>
        <v>0</v>
      </c>
      <c r="G53" s="4">
        <f t="shared" si="3"/>
        <v>39.815</v>
      </c>
      <c r="H53" s="4">
        <f t="shared" si="4"/>
        <v>33.5725</v>
      </c>
      <c r="I53" s="4" t="str">
        <f t="shared" si="5"/>
        <v> </v>
      </c>
      <c r="J53" s="5"/>
      <c r="K53" s="5">
        <v>20.6</v>
      </c>
      <c r="L53" s="4">
        <f t="shared" si="6"/>
        <v>3</v>
      </c>
      <c r="M53" s="4">
        <f t="shared" si="7"/>
        <v>0</v>
      </c>
      <c r="N53" s="4">
        <f t="shared" si="8"/>
        <v>-10.0902</v>
      </c>
      <c r="O53" s="4" t="str">
        <f t="shared" si="9"/>
        <v/>
      </c>
      <c r="P53" s="4">
        <f t="shared" si="10"/>
        <v>20.6</v>
      </c>
    </row>
    <row r="54" ht="15.75" customHeight="1">
      <c r="A54" s="4">
        <v>1992.0</v>
      </c>
      <c r="B54" s="9">
        <v>205.0</v>
      </c>
      <c r="C54" s="5">
        <v>12.6</v>
      </c>
      <c r="D54" s="5">
        <v>29.2</v>
      </c>
      <c r="E54" s="4">
        <f t="shared" si="1"/>
        <v>0</v>
      </c>
      <c r="F54" s="4">
        <f t="shared" si="2"/>
        <v>0</v>
      </c>
      <c r="G54" s="4">
        <f t="shared" si="3"/>
        <v>43.193</v>
      </c>
      <c r="H54" s="4">
        <f t="shared" si="4"/>
        <v>36.845</v>
      </c>
      <c r="I54" s="4" t="str">
        <f t="shared" si="5"/>
        <v> </v>
      </c>
      <c r="J54" s="5"/>
      <c r="K54" s="5">
        <v>21.9</v>
      </c>
      <c r="L54" s="4">
        <f t="shared" si="6"/>
        <v>3</v>
      </c>
      <c r="M54" s="4">
        <f t="shared" si="7"/>
        <v>0</v>
      </c>
      <c r="N54" s="4">
        <f t="shared" si="8"/>
        <v>-11.091</v>
      </c>
      <c r="O54" s="4" t="str">
        <f t="shared" si="9"/>
        <v/>
      </c>
      <c r="P54" s="4">
        <f t="shared" si="10"/>
        <v>21.9</v>
      </c>
    </row>
    <row r="55" ht="15.75" customHeight="1">
      <c r="A55" s="4">
        <v>1992.0</v>
      </c>
      <c r="B55" s="9">
        <v>206.0</v>
      </c>
      <c r="C55" s="5">
        <v>13.3</v>
      </c>
      <c r="D55" s="5">
        <v>28.8</v>
      </c>
      <c r="E55" s="4">
        <f t="shared" si="1"/>
        <v>0</v>
      </c>
      <c r="F55" s="4">
        <f t="shared" si="2"/>
        <v>0</v>
      </c>
      <c r="G55" s="4">
        <f t="shared" si="3"/>
        <v>43.569</v>
      </c>
      <c r="H55" s="4">
        <f t="shared" si="4"/>
        <v>38.2605</v>
      </c>
      <c r="I55" s="4" t="str">
        <f t="shared" si="5"/>
        <v> </v>
      </c>
      <c r="J55" s="5"/>
      <c r="K55" s="5">
        <v>22.7</v>
      </c>
      <c r="L55" s="4">
        <f t="shared" si="6"/>
        <v>3</v>
      </c>
      <c r="M55" s="4">
        <f t="shared" si="7"/>
        <v>0</v>
      </c>
      <c r="N55" s="4">
        <f t="shared" si="8"/>
        <v>-11.9512</v>
      </c>
      <c r="O55" s="4" t="str">
        <f t="shared" si="9"/>
        <v/>
      </c>
      <c r="P55" s="4">
        <f t="shared" si="10"/>
        <v>22.7</v>
      </c>
    </row>
    <row r="56" ht="15.75" customHeight="1">
      <c r="A56" s="4">
        <v>1992.0</v>
      </c>
      <c r="B56" s="9">
        <v>207.0</v>
      </c>
      <c r="C56" s="5">
        <v>12.7</v>
      </c>
      <c r="D56" s="5">
        <v>29.3</v>
      </c>
      <c r="E56" s="4">
        <f t="shared" si="1"/>
        <v>0</v>
      </c>
      <c r="F56" s="4">
        <f t="shared" si="2"/>
        <v>0</v>
      </c>
      <c r="G56" s="4">
        <f t="shared" si="3"/>
        <v>40.609</v>
      </c>
      <c r="H56" s="4">
        <f t="shared" si="4"/>
        <v>35.2915</v>
      </c>
      <c r="I56" s="4" t="str">
        <f t="shared" si="5"/>
        <v> </v>
      </c>
      <c r="J56" s="5"/>
      <c r="K56" s="5">
        <v>19.7</v>
      </c>
      <c r="L56" s="4">
        <f t="shared" si="6"/>
        <v>3</v>
      </c>
      <c r="M56" s="4">
        <f t="shared" si="7"/>
        <v>0</v>
      </c>
      <c r="N56" s="4">
        <f t="shared" si="8"/>
        <v>-12.3032</v>
      </c>
      <c r="O56" s="4" t="str">
        <f t="shared" si="9"/>
        <v/>
      </c>
      <c r="P56" s="4">
        <f t="shared" si="10"/>
        <v>19.7</v>
      </c>
    </row>
    <row r="57" ht="15.75" customHeight="1">
      <c r="A57" s="4">
        <v>1992.0</v>
      </c>
      <c r="B57" s="9">
        <v>208.0</v>
      </c>
      <c r="C57" s="5">
        <v>10.4</v>
      </c>
      <c r="D57" s="5">
        <v>25.2</v>
      </c>
      <c r="E57" s="4">
        <f t="shared" si="1"/>
        <v>0</v>
      </c>
      <c r="F57" s="4">
        <f t="shared" si="2"/>
        <v>0</v>
      </c>
      <c r="G57" s="4">
        <f t="shared" si="3"/>
        <v>35.533</v>
      </c>
      <c r="H57" s="4">
        <f t="shared" si="4"/>
        <v>31.009</v>
      </c>
      <c r="I57" s="4" t="str">
        <f t="shared" si="5"/>
        <v> </v>
      </c>
      <c r="J57" s="5"/>
      <c r="K57" s="5">
        <v>18.3</v>
      </c>
      <c r="L57" s="4">
        <f t="shared" si="6"/>
        <v>3</v>
      </c>
      <c r="M57" s="4">
        <f t="shared" si="7"/>
        <v>0</v>
      </c>
      <c r="N57" s="4">
        <f t="shared" si="8"/>
        <v>-5.8513</v>
      </c>
      <c r="O57" s="4" t="str">
        <f t="shared" si="9"/>
        <v/>
      </c>
      <c r="P57" s="4">
        <f t="shared" si="10"/>
        <v>18.3</v>
      </c>
    </row>
    <row r="58" ht="15.75" customHeight="1">
      <c r="A58" s="4">
        <v>1992.0</v>
      </c>
      <c r="B58" s="9">
        <v>209.0</v>
      </c>
      <c r="C58" s="5">
        <v>8.9</v>
      </c>
      <c r="D58" s="5">
        <v>29.2</v>
      </c>
      <c r="E58" s="4">
        <f t="shared" si="1"/>
        <v>0</v>
      </c>
      <c r="F58" s="4">
        <f t="shared" si="2"/>
        <v>0</v>
      </c>
      <c r="G58" s="4">
        <f t="shared" si="3"/>
        <v>37.801</v>
      </c>
      <c r="H58" s="4">
        <f t="shared" si="4"/>
        <v>32.887</v>
      </c>
      <c r="I58" s="4" t="str">
        <f t="shared" si="5"/>
        <v> </v>
      </c>
      <c r="J58" s="5"/>
      <c r="K58" s="5">
        <v>20.4</v>
      </c>
      <c r="L58" s="4">
        <f t="shared" si="6"/>
        <v>3</v>
      </c>
      <c r="M58" s="4">
        <f t="shared" si="7"/>
        <v>0</v>
      </c>
      <c r="N58" s="4">
        <f t="shared" si="8"/>
        <v>-6.8973</v>
      </c>
      <c r="O58" s="4" t="str">
        <f t="shared" si="9"/>
        <v/>
      </c>
      <c r="P58" s="4">
        <f t="shared" si="10"/>
        <v>20.4</v>
      </c>
    </row>
    <row r="59" ht="15.75" customHeight="1">
      <c r="A59" s="4">
        <v>1992.0</v>
      </c>
      <c r="B59" s="9">
        <v>210.0</v>
      </c>
      <c r="C59" s="5">
        <v>18.7</v>
      </c>
      <c r="D59" s="5">
        <v>29.8</v>
      </c>
      <c r="E59" s="4">
        <f t="shared" si="1"/>
        <v>0</v>
      </c>
      <c r="F59" s="4">
        <f t="shared" si="2"/>
        <v>0</v>
      </c>
      <c r="G59" s="4">
        <f t="shared" si="3"/>
        <v>40.397</v>
      </c>
      <c r="H59" s="4">
        <f t="shared" si="4"/>
        <v>35.918</v>
      </c>
      <c r="I59" s="4" t="str">
        <f t="shared" si="5"/>
        <v> </v>
      </c>
      <c r="J59" s="5"/>
      <c r="K59" s="5">
        <v>23.2</v>
      </c>
      <c r="L59" s="4">
        <f t="shared" si="6"/>
        <v>3</v>
      </c>
      <c r="M59" s="4">
        <f t="shared" si="7"/>
        <v>0</v>
      </c>
      <c r="N59" s="4">
        <f t="shared" si="8"/>
        <v>-1.4148</v>
      </c>
      <c r="O59" s="4" t="str">
        <f t="shared" si="9"/>
        <v/>
      </c>
      <c r="P59" s="4">
        <f t="shared" si="10"/>
        <v>23.2</v>
      </c>
    </row>
    <row r="60" ht="15.75" customHeight="1">
      <c r="A60" s="4">
        <v>1992.0</v>
      </c>
      <c r="B60" s="9">
        <v>211.0</v>
      </c>
      <c r="C60" s="5">
        <v>12.8</v>
      </c>
      <c r="D60" s="5">
        <v>23.4</v>
      </c>
      <c r="E60" s="4">
        <f t="shared" si="1"/>
        <v>1</v>
      </c>
      <c r="F60" s="4">
        <f t="shared" si="2"/>
        <v>0</v>
      </c>
      <c r="G60" s="4">
        <f t="shared" si="3"/>
        <v>34.036</v>
      </c>
      <c r="H60" s="4">
        <f t="shared" si="4"/>
        <v>32.946</v>
      </c>
      <c r="I60" s="4" t="str">
        <f t="shared" si="5"/>
        <v> </v>
      </c>
      <c r="J60" s="5">
        <v>1.0</v>
      </c>
      <c r="K60" s="5">
        <v>18.1</v>
      </c>
      <c r="L60" s="4">
        <f t="shared" si="6"/>
        <v>8</v>
      </c>
      <c r="M60" s="4">
        <f t="shared" si="7"/>
        <v>0</v>
      </c>
      <c r="N60" s="4">
        <f t="shared" si="8"/>
        <v>-7.3575</v>
      </c>
      <c r="O60" s="4">
        <f t="shared" si="9"/>
        <v>1</v>
      </c>
      <c r="P60" s="4">
        <f t="shared" si="10"/>
        <v>18.1</v>
      </c>
    </row>
    <row r="61" ht="15.75" customHeight="1">
      <c r="A61" s="4">
        <v>1992.0</v>
      </c>
      <c r="B61" s="9">
        <v>212.0</v>
      </c>
      <c r="C61" s="5">
        <v>10.4</v>
      </c>
      <c r="D61" s="5">
        <v>22.2</v>
      </c>
      <c r="E61" s="4">
        <f t="shared" si="1"/>
        <v>0</v>
      </c>
      <c r="F61" s="4">
        <f t="shared" si="2"/>
        <v>0</v>
      </c>
      <c r="G61" s="4">
        <f t="shared" si="3"/>
        <v>34.356</v>
      </c>
      <c r="H61" s="4">
        <f t="shared" si="4"/>
        <v>30.127</v>
      </c>
      <c r="I61" s="4" t="str">
        <f t="shared" si="5"/>
        <v> </v>
      </c>
      <c r="J61" s="5"/>
      <c r="K61" s="5">
        <v>16.2</v>
      </c>
      <c r="L61" s="4">
        <f t="shared" si="6"/>
        <v>3</v>
      </c>
      <c r="M61" s="4">
        <f t="shared" si="7"/>
        <v>0</v>
      </c>
      <c r="N61" s="4">
        <f t="shared" si="8"/>
        <v>-8.7084</v>
      </c>
      <c r="O61" s="4" t="str">
        <f t="shared" si="9"/>
        <v/>
      </c>
      <c r="P61" s="4">
        <f t="shared" si="10"/>
        <v>16.2</v>
      </c>
    </row>
    <row r="62" ht="15.75" customHeight="1">
      <c r="A62" s="4">
        <v>1992.0</v>
      </c>
      <c r="B62" s="9">
        <v>213.0</v>
      </c>
      <c r="C62" s="5">
        <v>7.4</v>
      </c>
      <c r="D62" s="5">
        <v>25.1</v>
      </c>
      <c r="E62" s="4">
        <f t="shared" si="1"/>
        <v>0</v>
      </c>
      <c r="F62" s="4">
        <f t="shared" si="2"/>
        <v>0</v>
      </c>
      <c r="G62" s="4">
        <f t="shared" si="3"/>
        <v>37.934</v>
      </c>
      <c r="H62" s="4">
        <f t="shared" si="4"/>
        <v>32.9695</v>
      </c>
      <c r="I62" s="4" t="str">
        <f t="shared" si="5"/>
        <v> </v>
      </c>
      <c r="J62" s="5"/>
      <c r="K62" s="5">
        <v>17.3</v>
      </c>
      <c r="L62" s="4">
        <f t="shared" si="6"/>
        <v>3</v>
      </c>
      <c r="M62" s="4">
        <f t="shared" si="7"/>
        <v>0</v>
      </c>
      <c r="N62" s="4">
        <f t="shared" si="8"/>
        <v>-4.2204</v>
      </c>
      <c r="O62" s="4" t="str">
        <f t="shared" si="9"/>
        <v/>
      </c>
      <c r="P62" s="4">
        <f t="shared" si="10"/>
        <v>17.3</v>
      </c>
    </row>
    <row r="63" ht="15.75" customHeight="1">
      <c r="A63" s="4">
        <v>1992.0</v>
      </c>
      <c r="B63" s="9">
        <v>214.0</v>
      </c>
      <c r="C63" s="5">
        <v>10.8</v>
      </c>
      <c r="D63" s="5">
        <v>26.3</v>
      </c>
      <c r="E63" s="4">
        <f t="shared" si="1"/>
        <v>0</v>
      </c>
      <c r="F63" s="4">
        <f t="shared" si="2"/>
        <v>0</v>
      </c>
      <c r="G63" s="4">
        <f t="shared" si="3"/>
        <v>42.035</v>
      </c>
      <c r="H63" s="4">
        <f t="shared" si="4"/>
        <v>38.092</v>
      </c>
      <c r="I63" s="4" t="str">
        <f t="shared" si="5"/>
        <v> </v>
      </c>
      <c r="J63" s="5"/>
      <c r="K63" s="5">
        <v>19.4</v>
      </c>
      <c r="L63" s="4">
        <f t="shared" si="6"/>
        <v>3</v>
      </c>
      <c r="M63" s="4">
        <f t="shared" si="7"/>
        <v>1</v>
      </c>
      <c r="N63" s="4">
        <f t="shared" si="8"/>
        <v>0.7188</v>
      </c>
      <c r="O63" s="4" t="str">
        <f t="shared" si="9"/>
        <v/>
      </c>
      <c r="P63" s="4">
        <f t="shared" si="10"/>
        <v>19.4</v>
      </c>
    </row>
    <row r="64" ht="15.75" customHeight="1">
      <c r="A64" s="4">
        <v>1992.0</v>
      </c>
      <c r="B64" s="9">
        <v>215.0</v>
      </c>
      <c r="C64" s="5">
        <v>12.2</v>
      </c>
      <c r="D64" s="5">
        <v>22.1</v>
      </c>
      <c r="E64" s="4">
        <f t="shared" si="1"/>
        <v>1</v>
      </c>
      <c r="F64" s="4">
        <f t="shared" si="2"/>
        <v>0</v>
      </c>
      <c r="G64" s="4">
        <f t="shared" si="3"/>
        <v>40.193</v>
      </c>
      <c r="H64" s="4">
        <f t="shared" si="4"/>
        <v>36.328</v>
      </c>
      <c r="I64" s="4" t="str">
        <f t="shared" si="5"/>
        <v> </v>
      </c>
      <c r="J64" s="5">
        <v>1.5</v>
      </c>
      <c r="K64" s="5">
        <v>17.4</v>
      </c>
      <c r="L64" s="4">
        <f t="shared" si="6"/>
        <v>8</v>
      </c>
      <c r="M64" s="4">
        <f t="shared" si="7"/>
        <v>0</v>
      </c>
      <c r="N64" s="4">
        <f t="shared" si="8"/>
        <v>-6.399</v>
      </c>
      <c r="O64" s="4">
        <f t="shared" si="9"/>
        <v>1.5</v>
      </c>
      <c r="P64" s="4">
        <f t="shared" si="10"/>
        <v>17.4</v>
      </c>
    </row>
    <row r="65" ht="15.75" customHeight="1">
      <c r="A65" s="4">
        <v>1992.0</v>
      </c>
      <c r="B65" s="9">
        <v>216.0</v>
      </c>
      <c r="C65" s="5">
        <v>12.9</v>
      </c>
      <c r="D65" s="5">
        <v>26.5</v>
      </c>
      <c r="E65" s="4">
        <f t="shared" si="1"/>
        <v>0</v>
      </c>
      <c r="F65" s="4">
        <f t="shared" si="2"/>
        <v>0</v>
      </c>
      <c r="G65" s="4">
        <f t="shared" si="3"/>
        <v>43.246</v>
      </c>
      <c r="H65" s="4">
        <f t="shared" si="4"/>
        <v>36.9075</v>
      </c>
      <c r="I65" s="4" t="str">
        <f t="shared" si="5"/>
        <v> </v>
      </c>
      <c r="J65" s="5"/>
      <c r="K65" s="5">
        <v>19.6</v>
      </c>
      <c r="L65" s="4">
        <f t="shared" si="6"/>
        <v>3</v>
      </c>
      <c r="M65" s="4">
        <f t="shared" si="7"/>
        <v>0</v>
      </c>
      <c r="N65" s="4">
        <f t="shared" si="8"/>
        <v>-8.5223</v>
      </c>
      <c r="O65" s="4" t="str">
        <f t="shared" si="9"/>
        <v/>
      </c>
      <c r="P65" s="4">
        <f t="shared" si="10"/>
        <v>19.6</v>
      </c>
    </row>
    <row r="66" ht="15.75" customHeight="1">
      <c r="A66" s="4">
        <v>1992.0</v>
      </c>
      <c r="B66" s="9">
        <v>217.0</v>
      </c>
      <c r="C66" s="5">
        <v>11.4</v>
      </c>
      <c r="D66" s="5">
        <v>30.0</v>
      </c>
      <c r="E66" s="4">
        <f t="shared" si="1"/>
        <v>0</v>
      </c>
      <c r="F66" s="4">
        <f t="shared" si="2"/>
        <v>0</v>
      </c>
      <c r="G66" s="4">
        <f t="shared" si="3"/>
        <v>40.353</v>
      </c>
      <c r="H66" s="4">
        <f t="shared" si="4"/>
        <v>34.391</v>
      </c>
      <c r="I66" s="4" t="str">
        <f t="shared" si="5"/>
        <v> </v>
      </c>
      <c r="J66" s="5"/>
      <c r="K66" s="5">
        <v>22.7</v>
      </c>
      <c r="L66" s="4">
        <f t="shared" si="6"/>
        <v>3</v>
      </c>
      <c r="M66" s="4">
        <f t="shared" si="7"/>
        <v>0</v>
      </c>
      <c r="N66" s="4">
        <f t="shared" si="8"/>
        <v>-11.3597</v>
      </c>
      <c r="O66" s="4" t="str">
        <f t="shared" si="9"/>
        <v/>
      </c>
      <c r="P66" s="4">
        <f t="shared" si="10"/>
        <v>22.7</v>
      </c>
    </row>
    <row r="67" ht="15.75" customHeight="1">
      <c r="A67" s="4">
        <v>1992.0</v>
      </c>
      <c r="B67" s="9">
        <v>218.0</v>
      </c>
      <c r="C67" s="5">
        <v>16.2</v>
      </c>
      <c r="D67" s="5">
        <v>31.9</v>
      </c>
      <c r="E67" s="4">
        <f t="shared" si="1"/>
        <v>0</v>
      </c>
      <c r="F67" s="4">
        <f t="shared" si="2"/>
        <v>0</v>
      </c>
      <c r="G67" s="4">
        <f t="shared" si="3"/>
        <v>41.901</v>
      </c>
      <c r="H67" s="4">
        <f t="shared" si="4"/>
        <v>35.2745</v>
      </c>
      <c r="I67" s="4" t="str">
        <f t="shared" si="5"/>
        <v> </v>
      </c>
      <c r="J67" s="5"/>
      <c r="K67" s="5">
        <v>23.6</v>
      </c>
      <c r="L67" s="4">
        <f t="shared" si="6"/>
        <v>3</v>
      </c>
      <c r="M67" s="4">
        <f t="shared" si="7"/>
        <v>0</v>
      </c>
      <c r="N67" s="4">
        <f t="shared" si="8"/>
        <v>-12.4724</v>
      </c>
      <c r="O67" s="4" t="str">
        <f t="shared" si="9"/>
        <v/>
      </c>
      <c r="P67" s="4">
        <f t="shared" si="10"/>
        <v>23.6</v>
      </c>
    </row>
    <row r="68" ht="15.75" customHeight="1">
      <c r="A68" s="4">
        <v>1992.0</v>
      </c>
      <c r="B68" s="9">
        <v>219.0</v>
      </c>
      <c r="C68" s="5">
        <v>13.7</v>
      </c>
      <c r="D68" s="5">
        <v>26.2</v>
      </c>
      <c r="E68" s="4">
        <f t="shared" si="1"/>
        <v>0</v>
      </c>
      <c r="F68" s="4">
        <f t="shared" si="2"/>
        <v>0</v>
      </c>
      <c r="G68" s="4">
        <f t="shared" si="3"/>
        <v>33.882</v>
      </c>
      <c r="H68" s="4">
        <f t="shared" si="4"/>
        <v>29.882</v>
      </c>
      <c r="I68" s="4" t="str">
        <f t="shared" si="5"/>
        <v> </v>
      </c>
      <c r="J68" s="5"/>
      <c r="K68" s="5">
        <v>19.5</v>
      </c>
      <c r="L68" s="4">
        <f t="shared" si="6"/>
        <v>3</v>
      </c>
      <c r="M68" s="4">
        <f t="shared" si="7"/>
        <v>0</v>
      </c>
      <c r="N68" s="4">
        <f t="shared" si="8"/>
        <v>-9.4029</v>
      </c>
      <c r="O68" s="4" t="str">
        <f t="shared" si="9"/>
        <v/>
      </c>
      <c r="P68" s="4">
        <f t="shared" si="10"/>
        <v>19.5</v>
      </c>
    </row>
    <row r="69" ht="15.75" customHeight="1">
      <c r="A69" s="4">
        <v>1992.0</v>
      </c>
      <c r="B69" s="9">
        <v>220.0</v>
      </c>
      <c r="C69" s="5">
        <v>10.8</v>
      </c>
      <c r="D69" s="5">
        <v>29.7</v>
      </c>
      <c r="E69" s="4">
        <f t="shared" si="1"/>
        <v>0</v>
      </c>
      <c r="F69" s="4">
        <f t="shared" si="2"/>
        <v>0</v>
      </c>
      <c r="G69" s="4">
        <f t="shared" si="3"/>
        <v>39.471</v>
      </c>
      <c r="H69" s="4">
        <f t="shared" si="4"/>
        <v>34.5895</v>
      </c>
      <c r="I69" s="4" t="str">
        <f t="shared" si="5"/>
        <v> </v>
      </c>
      <c r="J69" s="5"/>
      <c r="K69" s="5">
        <v>22.1</v>
      </c>
      <c r="L69" s="4">
        <f t="shared" si="6"/>
        <v>3</v>
      </c>
      <c r="M69" s="4">
        <f t="shared" si="7"/>
        <v>0</v>
      </c>
      <c r="N69" s="4">
        <f t="shared" si="8"/>
        <v>-11.4209</v>
      </c>
      <c r="O69" s="4" t="str">
        <f t="shared" si="9"/>
        <v/>
      </c>
      <c r="P69" s="4">
        <f t="shared" si="10"/>
        <v>22.1</v>
      </c>
    </row>
    <row r="70" ht="15.75" customHeight="1">
      <c r="A70" s="4">
        <v>1992.0</v>
      </c>
      <c r="B70" s="9">
        <v>221.0</v>
      </c>
      <c r="C70" s="5">
        <v>12.9</v>
      </c>
      <c r="D70" s="5">
        <v>23.8</v>
      </c>
      <c r="E70" s="4">
        <f t="shared" si="1"/>
        <v>0</v>
      </c>
      <c r="F70" s="4">
        <f t="shared" si="2"/>
        <v>0</v>
      </c>
      <c r="G70" s="4">
        <f t="shared" si="3"/>
        <v>37.014</v>
      </c>
      <c r="H70" s="4">
        <f t="shared" si="4"/>
        <v>34.4565</v>
      </c>
      <c r="I70" s="4" t="str">
        <f t="shared" si="5"/>
        <v> </v>
      </c>
      <c r="J70" s="5"/>
      <c r="K70" s="5">
        <v>18.9</v>
      </c>
      <c r="L70" s="4">
        <f t="shared" si="6"/>
        <v>3</v>
      </c>
      <c r="M70" s="4">
        <f t="shared" si="7"/>
        <v>0</v>
      </c>
      <c r="N70" s="4">
        <f t="shared" si="8"/>
        <v>-5.7258</v>
      </c>
      <c r="O70" s="4" t="str">
        <f t="shared" si="9"/>
        <v/>
      </c>
      <c r="P70" s="4">
        <f t="shared" si="10"/>
        <v>18.9</v>
      </c>
    </row>
    <row r="71" ht="15.75" customHeight="1">
      <c r="A71" s="4">
        <v>1992.0</v>
      </c>
      <c r="B71" s="9">
        <v>222.0</v>
      </c>
      <c r="C71" s="5">
        <v>9.8</v>
      </c>
      <c r="D71" s="5">
        <v>24.4</v>
      </c>
      <c r="E71" s="4">
        <f t="shared" si="1"/>
        <v>0</v>
      </c>
      <c r="F71" s="4">
        <f t="shared" si="2"/>
        <v>0</v>
      </c>
      <c r="G71" s="4">
        <f t="shared" si="3"/>
        <v>37.701</v>
      </c>
      <c r="H71" s="4">
        <f t="shared" si="4"/>
        <v>34.341</v>
      </c>
      <c r="I71" s="4" t="str">
        <f t="shared" si="5"/>
        <v> </v>
      </c>
      <c r="J71" s="5"/>
      <c r="K71" s="5">
        <v>17.7</v>
      </c>
      <c r="L71" s="4">
        <f t="shared" si="6"/>
        <v>3</v>
      </c>
      <c r="M71" s="4">
        <f t="shared" si="7"/>
        <v>1</v>
      </c>
      <c r="N71" s="4">
        <f t="shared" si="8"/>
        <v>0.3563</v>
      </c>
      <c r="O71" s="4" t="str">
        <f t="shared" si="9"/>
        <v/>
      </c>
      <c r="P71" s="4">
        <f t="shared" si="10"/>
        <v>17.7</v>
      </c>
    </row>
    <row r="72" ht="15.75" customHeight="1">
      <c r="A72" s="4">
        <v>1992.0</v>
      </c>
      <c r="B72" s="9">
        <v>223.0</v>
      </c>
      <c r="C72" s="5">
        <v>8.3</v>
      </c>
      <c r="D72" s="5">
        <v>21.2</v>
      </c>
      <c r="E72" s="4">
        <f t="shared" si="1"/>
        <v>1</v>
      </c>
      <c r="F72" s="4">
        <f t="shared" si="2"/>
        <v>0</v>
      </c>
      <c r="G72" s="4">
        <f t="shared" si="3"/>
        <v>38.162</v>
      </c>
      <c r="H72" s="4">
        <f t="shared" si="4"/>
        <v>36.477</v>
      </c>
      <c r="I72" s="4" t="str">
        <f t="shared" si="5"/>
        <v> </v>
      </c>
      <c r="J72" s="5">
        <v>0.2</v>
      </c>
      <c r="K72" s="5">
        <v>15.3</v>
      </c>
      <c r="L72" s="4">
        <f t="shared" si="6"/>
        <v>8</v>
      </c>
      <c r="M72" s="4">
        <f t="shared" si="7"/>
        <v>0</v>
      </c>
      <c r="N72" s="4">
        <f t="shared" si="8"/>
        <v>-0.0597</v>
      </c>
      <c r="O72" s="4">
        <f t="shared" si="9"/>
        <v>0.2</v>
      </c>
      <c r="P72" s="4">
        <f t="shared" si="10"/>
        <v>15.3</v>
      </c>
    </row>
    <row r="73" ht="15.75" customHeight="1">
      <c r="A73" s="4">
        <v>1992.0</v>
      </c>
      <c r="B73" s="9">
        <v>224.0</v>
      </c>
      <c r="C73" s="5">
        <v>10.7</v>
      </c>
      <c r="D73" s="5">
        <v>28.4</v>
      </c>
      <c r="E73" s="4">
        <f t="shared" si="1"/>
        <v>0</v>
      </c>
      <c r="F73" s="4">
        <f t="shared" si="2"/>
        <v>0</v>
      </c>
      <c r="G73" s="4">
        <f t="shared" si="3"/>
        <v>43.424</v>
      </c>
      <c r="H73" s="4">
        <f t="shared" si="4"/>
        <v>39.18</v>
      </c>
      <c r="I73" s="4" t="str">
        <f t="shared" si="5"/>
        <v> </v>
      </c>
      <c r="J73" s="5"/>
      <c r="K73" s="5">
        <v>20.7</v>
      </c>
      <c r="L73" s="4">
        <f t="shared" si="6"/>
        <v>3</v>
      </c>
      <c r="M73" s="4">
        <f t="shared" si="7"/>
        <v>0</v>
      </c>
      <c r="N73" s="4">
        <f t="shared" si="8"/>
        <v>-2.6167</v>
      </c>
      <c r="O73" s="4" t="str">
        <f t="shared" si="9"/>
        <v/>
      </c>
      <c r="P73" s="4">
        <f t="shared" si="10"/>
        <v>20.7</v>
      </c>
    </row>
    <row r="74" ht="15.75" customHeight="1">
      <c r="A74" s="4">
        <v>1992.0</v>
      </c>
      <c r="B74" s="9">
        <v>225.0</v>
      </c>
      <c r="C74" s="5">
        <v>13.4</v>
      </c>
      <c r="D74" s="5">
        <v>27.2</v>
      </c>
      <c r="E74" s="4">
        <f t="shared" si="1"/>
        <v>1</v>
      </c>
      <c r="F74" s="4">
        <f t="shared" si="2"/>
        <v>0</v>
      </c>
      <c r="G74" s="4">
        <f t="shared" si="3"/>
        <v>40.687</v>
      </c>
      <c r="H74" s="4">
        <f t="shared" si="4"/>
        <v>39.207</v>
      </c>
      <c r="I74" s="4" t="str">
        <f t="shared" si="5"/>
        <v> </v>
      </c>
      <c r="J74" s="5">
        <v>0.3</v>
      </c>
      <c r="K74" s="5">
        <v>21.2</v>
      </c>
      <c r="L74" s="4">
        <f t="shared" si="6"/>
        <v>8</v>
      </c>
      <c r="M74" s="4">
        <f t="shared" si="7"/>
        <v>0</v>
      </c>
      <c r="N74" s="4">
        <f t="shared" si="8"/>
        <v>-8.0728</v>
      </c>
      <c r="O74" s="4">
        <f t="shared" si="9"/>
        <v>0.3</v>
      </c>
      <c r="P74" s="4">
        <f t="shared" si="10"/>
        <v>21.2</v>
      </c>
    </row>
    <row r="75" ht="15.75" customHeight="1">
      <c r="A75" s="4">
        <v>1992.0</v>
      </c>
      <c r="B75" s="9">
        <v>226.0</v>
      </c>
      <c r="C75" s="5">
        <v>10.0</v>
      </c>
      <c r="D75" s="5">
        <v>25.5</v>
      </c>
      <c r="E75" s="4">
        <f t="shared" si="1"/>
        <v>0</v>
      </c>
      <c r="F75" s="4">
        <f t="shared" si="2"/>
        <v>0</v>
      </c>
      <c r="G75" s="4">
        <f t="shared" si="3"/>
        <v>38.001</v>
      </c>
      <c r="H75" s="4">
        <f t="shared" si="4"/>
        <v>35.137</v>
      </c>
      <c r="I75" s="4" t="str">
        <f t="shared" si="5"/>
        <v> </v>
      </c>
      <c r="J75" s="5"/>
      <c r="K75" s="5">
        <v>17.8</v>
      </c>
      <c r="L75" s="4">
        <f t="shared" si="6"/>
        <v>3</v>
      </c>
      <c r="M75" s="4">
        <f t="shared" si="7"/>
        <v>0</v>
      </c>
      <c r="N75" s="4">
        <f t="shared" si="8"/>
        <v>-9.6028</v>
      </c>
      <c r="O75" s="4" t="str">
        <f t="shared" si="9"/>
        <v/>
      </c>
      <c r="P75" s="4">
        <f t="shared" si="10"/>
        <v>17.8</v>
      </c>
    </row>
    <row r="76" ht="15.75" customHeight="1">
      <c r="A76" s="4">
        <v>1992.0</v>
      </c>
      <c r="B76" s="9">
        <v>227.0</v>
      </c>
      <c r="C76" s="5">
        <v>8.8</v>
      </c>
      <c r="D76" s="5">
        <v>26.9</v>
      </c>
      <c r="E76" s="4">
        <f t="shared" si="1"/>
        <v>0</v>
      </c>
      <c r="F76" s="4">
        <f t="shared" si="2"/>
        <v>0</v>
      </c>
      <c r="G76" s="4">
        <f t="shared" si="3"/>
        <v>37.57</v>
      </c>
      <c r="H76" s="4">
        <f t="shared" si="4"/>
        <v>33.471</v>
      </c>
      <c r="I76" s="4" t="str">
        <f t="shared" si="5"/>
        <v> </v>
      </c>
      <c r="J76" s="5"/>
      <c r="K76" s="5">
        <v>19.3</v>
      </c>
      <c r="L76" s="4">
        <f t="shared" si="6"/>
        <v>3</v>
      </c>
      <c r="M76" s="4">
        <f t="shared" si="7"/>
        <v>0</v>
      </c>
      <c r="N76" s="4">
        <f t="shared" si="8"/>
        <v>-2.9271</v>
      </c>
      <c r="O76" s="4" t="str">
        <f t="shared" si="9"/>
        <v/>
      </c>
      <c r="P76" s="4">
        <f t="shared" si="10"/>
        <v>19.3</v>
      </c>
    </row>
    <row r="77" ht="15.75" customHeight="1">
      <c r="A77" s="4">
        <v>1992.0</v>
      </c>
      <c r="B77" s="9">
        <v>228.0</v>
      </c>
      <c r="C77" s="5">
        <v>12.2</v>
      </c>
      <c r="D77" s="5">
        <v>30.3</v>
      </c>
      <c r="E77" s="4">
        <f t="shared" si="1"/>
        <v>0</v>
      </c>
      <c r="F77" s="4">
        <f t="shared" si="2"/>
        <v>0</v>
      </c>
      <c r="G77" s="4">
        <f t="shared" si="3"/>
        <v>33.275</v>
      </c>
      <c r="H77" s="4">
        <f t="shared" si="4"/>
        <v>32.4655</v>
      </c>
      <c r="I77" s="4" t="str">
        <f t="shared" si="5"/>
        <v> </v>
      </c>
      <c r="J77" s="5"/>
      <c r="K77" s="5">
        <v>22.4</v>
      </c>
      <c r="L77" s="4">
        <f t="shared" si="6"/>
        <v>3</v>
      </c>
      <c r="M77" s="4">
        <f t="shared" si="7"/>
        <v>1</v>
      </c>
      <c r="N77" s="4">
        <f t="shared" si="8"/>
        <v>5.5135</v>
      </c>
      <c r="O77" s="4" t="str">
        <f t="shared" si="9"/>
        <v/>
      </c>
      <c r="P77" s="4">
        <f t="shared" si="10"/>
        <v>22.4</v>
      </c>
    </row>
    <row r="78" ht="15.75" customHeight="1">
      <c r="A78" s="4">
        <v>1992.0</v>
      </c>
      <c r="B78" s="9">
        <v>229.0</v>
      </c>
      <c r="C78" s="5">
        <v>16.6</v>
      </c>
      <c r="D78" s="5">
        <v>22.8</v>
      </c>
      <c r="E78" s="4">
        <f t="shared" si="1"/>
        <v>1</v>
      </c>
      <c r="F78" s="4">
        <f t="shared" si="2"/>
        <v>1</v>
      </c>
      <c r="G78" s="4">
        <f t="shared" si="3"/>
        <v>31.333</v>
      </c>
      <c r="H78" s="4">
        <f t="shared" si="4"/>
        <v>32.5655</v>
      </c>
      <c r="I78" s="4">
        <f t="shared" si="5"/>
        <v>1.2325</v>
      </c>
      <c r="J78" s="5">
        <v>7.2</v>
      </c>
      <c r="K78" s="5">
        <v>19.4</v>
      </c>
      <c r="L78" s="4">
        <f t="shared" si="6"/>
        <v>8</v>
      </c>
      <c r="M78" s="4">
        <f t="shared" si="7"/>
        <v>1</v>
      </c>
      <c r="N78" s="4">
        <f t="shared" si="8"/>
        <v>5.0359</v>
      </c>
      <c r="O78" s="4">
        <f t="shared" si="9"/>
        <v>7.2</v>
      </c>
      <c r="P78" s="4">
        <f t="shared" si="10"/>
        <v>19.4</v>
      </c>
    </row>
    <row r="79" ht="15.75" customHeight="1">
      <c r="A79" s="4">
        <v>1992.0</v>
      </c>
      <c r="B79" s="9">
        <v>230.0</v>
      </c>
      <c r="C79" s="5">
        <v>15.6</v>
      </c>
      <c r="D79" s="5">
        <v>24.1</v>
      </c>
      <c r="E79" s="4">
        <f t="shared" si="1"/>
        <v>1</v>
      </c>
      <c r="F79" s="4">
        <f t="shared" si="2"/>
        <v>1</v>
      </c>
      <c r="G79" s="4">
        <f t="shared" si="3"/>
        <v>27.905</v>
      </c>
      <c r="H79" s="4">
        <f t="shared" si="4"/>
        <v>28.6735</v>
      </c>
      <c r="I79" s="4">
        <f t="shared" si="5"/>
        <v>0.7685</v>
      </c>
      <c r="J79" s="5">
        <v>1.3</v>
      </c>
      <c r="K79" s="5">
        <v>19.2</v>
      </c>
      <c r="L79" s="4">
        <f t="shared" si="6"/>
        <v>8</v>
      </c>
      <c r="M79" s="4">
        <f t="shared" si="7"/>
        <v>1</v>
      </c>
      <c r="N79" s="4">
        <f t="shared" si="8"/>
        <v>0.4302</v>
      </c>
      <c r="O79" s="4">
        <f t="shared" si="9"/>
        <v>1.3</v>
      </c>
      <c r="P79" s="4">
        <f t="shared" si="10"/>
        <v>19.2</v>
      </c>
    </row>
    <row r="80" ht="15.75" customHeight="1">
      <c r="A80" s="4">
        <v>1992.0</v>
      </c>
      <c r="B80" s="9">
        <v>231.0</v>
      </c>
      <c r="C80" s="5">
        <v>13.9</v>
      </c>
      <c r="D80" s="5">
        <v>23.8</v>
      </c>
      <c r="E80" s="4">
        <f t="shared" si="1"/>
        <v>0</v>
      </c>
      <c r="F80" s="4">
        <f t="shared" si="2"/>
        <v>1</v>
      </c>
      <c r="G80" s="4">
        <f t="shared" si="3"/>
        <v>23.655</v>
      </c>
      <c r="H80" s="4">
        <f t="shared" si="4"/>
        <v>24.51</v>
      </c>
      <c r="I80" s="4">
        <f t="shared" si="5"/>
        <v>0.855</v>
      </c>
      <c r="J80" s="5"/>
      <c r="K80" s="5">
        <v>17.8</v>
      </c>
      <c r="L80" s="4">
        <f t="shared" si="6"/>
        <v>3</v>
      </c>
      <c r="M80" s="4">
        <f t="shared" si="7"/>
        <v>1</v>
      </c>
      <c r="N80" s="4">
        <f t="shared" si="8"/>
        <v>6.099</v>
      </c>
      <c r="O80" s="4" t="str">
        <f t="shared" si="9"/>
        <v/>
      </c>
      <c r="P80" s="4">
        <f t="shared" si="10"/>
        <v>17.8</v>
      </c>
    </row>
    <row r="81" ht="15.75" customHeight="1">
      <c r="A81" s="4">
        <v>1992.0</v>
      </c>
      <c r="B81" s="9">
        <v>232.0</v>
      </c>
      <c r="C81" s="5">
        <v>12.5</v>
      </c>
      <c r="D81" s="5">
        <v>16.1</v>
      </c>
      <c r="E81" s="4">
        <f t="shared" si="1"/>
        <v>1</v>
      </c>
      <c r="F81" s="4">
        <f t="shared" si="2"/>
        <v>1</v>
      </c>
      <c r="G81" s="4">
        <f t="shared" si="3"/>
        <v>18.733</v>
      </c>
      <c r="H81" s="4">
        <f t="shared" si="4"/>
        <v>20.988</v>
      </c>
      <c r="I81" s="4">
        <f t="shared" si="5"/>
        <v>2.255</v>
      </c>
      <c r="J81" s="5">
        <v>0.4</v>
      </c>
      <c r="K81" s="5">
        <v>13.5</v>
      </c>
      <c r="L81" s="4">
        <f t="shared" si="6"/>
        <v>8</v>
      </c>
      <c r="M81" s="4">
        <f t="shared" si="7"/>
        <v>1</v>
      </c>
      <c r="N81" s="4">
        <f t="shared" si="8"/>
        <v>11.1276</v>
      </c>
      <c r="O81" s="4">
        <f t="shared" si="9"/>
        <v>0.4</v>
      </c>
      <c r="P81" s="4">
        <f t="shared" si="10"/>
        <v>13.5</v>
      </c>
    </row>
    <row r="82" ht="15.75" customHeight="1">
      <c r="A82" s="4">
        <v>1992.0</v>
      </c>
      <c r="B82" s="9">
        <v>233.0</v>
      </c>
      <c r="C82" s="5">
        <v>9.9</v>
      </c>
      <c r="D82" s="5">
        <v>17.6</v>
      </c>
      <c r="E82" s="4">
        <f t="shared" si="1"/>
        <v>1</v>
      </c>
      <c r="F82" s="4">
        <f t="shared" si="2"/>
        <v>1</v>
      </c>
      <c r="G82" s="4">
        <f t="shared" si="3"/>
        <v>17.801</v>
      </c>
      <c r="H82" s="4">
        <f t="shared" si="4"/>
        <v>19.9615</v>
      </c>
      <c r="I82" s="4">
        <f t="shared" si="5"/>
        <v>2.1605</v>
      </c>
      <c r="J82" s="5">
        <v>0.5</v>
      </c>
      <c r="K82" s="5">
        <v>13.8</v>
      </c>
      <c r="L82" s="4">
        <f t="shared" si="6"/>
        <v>8</v>
      </c>
      <c r="M82" s="4">
        <f t="shared" si="7"/>
        <v>1</v>
      </c>
      <c r="N82" s="4">
        <f t="shared" si="8"/>
        <v>10.054</v>
      </c>
      <c r="O82" s="4">
        <f t="shared" si="9"/>
        <v>0.5</v>
      </c>
      <c r="P82" s="4">
        <f t="shared" si="10"/>
        <v>13.8</v>
      </c>
    </row>
    <row r="83" ht="15.75" customHeight="1">
      <c r="A83" s="4">
        <v>1992.0</v>
      </c>
      <c r="B83" s="9">
        <v>234.0</v>
      </c>
      <c r="C83" s="5">
        <v>9.0</v>
      </c>
      <c r="D83" s="5">
        <v>15.7</v>
      </c>
      <c r="E83" s="4">
        <f t="shared" si="1"/>
        <v>1</v>
      </c>
      <c r="F83" s="4">
        <f t="shared" si="2"/>
        <v>1</v>
      </c>
      <c r="G83" s="4">
        <f t="shared" si="3"/>
        <v>15.543</v>
      </c>
      <c r="H83" s="4">
        <f t="shared" si="4"/>
        <v>17.3535</v>
      </c>
      <c r="I83" s="4">
        <f t="shared" si="5"/>
        <v>1.8105</v>
      </c>
      <c r="J83" s="5">
        <v>2.0</v>
      </c>
      <c r="K83" s="5">
        <v>12.3</v>
      </c>
      <c r="L83" s="4">
        <f t="shared" si="6"/>
        <v>8</v>
      </c>
      <c r="M83" s="4">
        <f t="shared" si="7"/>
        <v>1</v>
      </c>
      <c r="N83" s="4">
        <f t="shared" si="8"/>
        <v>5.8581</v>
      </c>
      <c r="O83" s="4">
        <f t="shared" si="9"/>
        <v>2</v>
      </c>
      <c r="P83" s="4">
        <f t="shared" si="10"/>
        <v>12.3</v>
      </c>
    </row>
    <row r="84" ht="15.75" customHeight="1">
      <c r="A84" s="4">
        <v>1992.0</v>
      </c>
      <c r="B84" s="9">
        <v>235.0</v>
      </c>
      <c r="C84" s="5">
        <v>7.0</v>
      </c>
      <c r="D84" s="5">
        <v>15.7</v>
      </c>
      <c r="E84" s="4">
        <f t="shared" si="1"/>
        <v>1</v>
      </c>
      <c r="F84" s="4">
        <f t="shared" si="2"/>
        <v>1</v>
      </c>
      <c r="G84" s="4">
        <f t="shared" si="3"/>
        <v>15.184</v>
      </c>
      <c r="H84" s="4">
        <f t="shared" si="4"/>
        <v>16.1005</v>
      </c>
      <c r="I84" s="4">
        <f t="shared" si="5"/>
        <v>0.9165</v>
      </c>
      <c r="J84" s="5">
        <v>0.1</v>
      </c>
      <c r="K84" s="5">
        <v>11.8</v>
      </c>
      <c r="L84" s="4">
        <f t="shared" si="6"/>
        <v>8</v>
      </c>
      <c r="M84" s="4">
        <f t="shared" si="7"/>
        <v>0</v>
      </c>
      <c r="N84" s="4">
        <f t="shared" si="8"/>
        <v>-0.9269</v>
      </c>
      <c r="O84" s="4">
        <f t="shared" si="9"/>
        <v>0.1</v>
      </c>
      <c r="P84" s="4">
        <f t="shared" si="10"/>
        <v>11.8</v>
      </c>
    </row>
    <row r="85" ht="15.75" customHeight="1">
      <c r="A85" s="4">
        <v>1992.0</v>
      </c>
      <c r="B85" s="9">
        <v>236.0</v>
      </c>
      <c r="C85" s="5">
        <v>6.1</v>
      </c>
      <c r="D85" s="5">
        <v>14.2</v>
      </c>
      <c r="E85" s="4">
        <f t="shared" si="1"/>
        <v>0</v>
      </c>
      <c r="F85" s="4">
        <f t="shared" si="2"/>
        <v>1</v>
      </c>
      <c r="G85" s="4">
        <f t="shared" si="3"/>
        <v>14.728</v>
      </c>
      <c r="H85" s="4">
        <f t="shared" si="4"/>
        <v>16.0225</v>
      </c>
      <c r="I85" s="4">
        <f t="shared" si="5"/>
        <v>1.2945</v>
      </c>
      <c r="J85" s="5"/>
      <c r="K85" s="5">
        <v>11.0</v>
      </c>
      <c r="L85" s="4">
        <f t="shared" si="6"/>
        <v>3</v>
      </c>
      <c r="M85" s="4">
        <f t="shared" si="7"/>
        <v>0</v>
      </c>
      <c r="N85" s="4">
        <f t="shared" si="8"/>
        <v>-0.7688</v>
      </c>
      <c r="O85" s="4" t="str">
        <f t="shared" si="9"/>
        <v/>
      </c>
      <c r="P85" s="4">
        <f t="shared" si="10"/>
        <v>11</v>
      </c>
    </row>
    <row r="86" ht="15.75" customHeight="1">
      <c r="A86" s="4">
        <v>1992.0</v>
      </c>
      <c r="B86" s="9">
        <v>237.0</v>
      </c>
      <c r="C86" s="5">
        <v>9.7</v>
      </c>
      <c r="D86" s="5">
        <v>16.0</v>
      </c>
      <c r="E86" s="4">
        <f t="shared" si="1"/>
        <v>0</v>
      </c>
      <c r="F86" s="4">
        <f t="shared" si="2"/>
        <v>0</v>
      </c>
      <c r="G86" s="4">
        <f t="shared" si="3"/>
        <v>20.821</v>
      </c>
      <c r="H86" s="4">
        <f t="shared" si="4"/>
        <v>20.564</v>
      </c>
      <c r="I86" s="4" t="str">
        <f t="shared" si="5"/>
        <v> </v>
      </c>
      <c r="J86" s="5"/>
      <c r="K86" s="5">
        <v>12.4</v>
      </c>
      <c r="L86" s="4">
        <f t="shared" si="6"/>
        <v>3</v>
      </c>
      <c r="M86" s="4">
        <f t="shared" si="7"/>
        <v>1</v>
      </c>
      <c r="N86" s="4">
        <f t="shared" si="8"/>
        <v>6.5326</v>
      </c>
      <c r="O86" s="4" t="str">
        <f t="shared" si="9"/>
        <v/>
      </c>
      <c r="P86" s="4">
        <f t="shared" si="10"/>
        <v>12.4</v>
      </c>
    </row>
    <row r="87" ht="15.75" customHeight="1">
      <c r="A87" s="4">
        <v>1992.0</v>
      </c>
      <c r="B87" s="9">
        <v>238.0</v>
      </c>
      <c r="C87" s="5">
        <v>9.5</v>
      </c>
      <c r="D87" s="5">
        <v>16.7</v>
      </c>
      <c r="E87" s="4">
        <f t="shared" si="1"/>
        <v>1</v>
      </c>
      <c r="F87" s="4">
        <f t="shared" si="2"/>
        <v>1</v>
      </c>
      <c r="G87" s="4">
        <f t="shared" si="3"/>
        <v>27.522</v>
      </c>
      <c r="H87" s="4">
        <f t="shared" si="4"/>
        <v>27.9695</v>
      </c>
      <c r="I87" s="4">
        <f t="shared" si="5"/>
        <v>0.4475</v>
      </c>
      <c r="J87" s="5">
        <v>3.9</v>
      </c>
      <c r="K87" s="5">
        <v>12.8</v>
      </c>
      <c r="L87" s="4">
        <f t="shared" si="6"/>
        <v>8</v>
      </c>
      <c r="M87" s="4">
        <f t="shared" si="7"/>
        <v>1</v>
      </c>
      <c r="N87" s="4">
        <f t="shared" si="8"/>
        <v>12.1921</v>
      </c>
      <c r="O87" s="4">
        <f t="shared" si="9"/>
        <v>3.9</v>
      </c>
      <c r="P87" s="4">
        <f t="shared" si="10"/>
        <v>12.8</v>
      </c>
    </row>
    <row r="88" ht="15.75" customHeight="1">
      <c r="A88" s="4">
        <v>1992.0</v>
      </c>
      <c r="B88" s="9">
        <v>239.0</v>
      </c>
      <c r="C88" s="5">
        <v>7.3</v>
      </c>
      <c r="D88" s="5">
        <v>17.6</v>
      </c>
      <c r="E88" s="4">
        <f t="shared" si="1"/>
        <v>1</v>
      </c>
      <c r="J88" s="5">
        <v>4.5</v>
      </c>
      <c r="K88" s="5">
        <v>12.4</v>
      </c>
      <c r="L88" s="4">
        <f t="shared" si="6"/>
        <v>8</v>
      </c>
      <c r="O88" s="4">
        <f t="shared" si="9"/>
        <v>4.5</v>
      </c>
      <c r="P88" s="4">
        <f t="shared" si="10"/>
        <v>12.4</v>
      </c>
    </row>
    <row r="89" ht="15.75" customHeight="1">
      <c r="A89" s="4">
        <v>1992.0</v>
      </c>
      <c r="B89" s="9">
        <v>240.0</v>
      </c>
      <c r="C89" s="5">
        <v>10.8</v>
      </c>
      <c r="D89" s="5">
        <v>18.8</v>
      </c>
      <c r="E89" s="4">
        <f t="shared" si="1"/>
        <v>1</v>
      </c>
      <c r="J89" s="5">
        <v>1.2</v>
      </c>
      <c r="K89" s="5">
        <v>14.1</v>
      </c>
      <c r="L89" s="4">
        <f t="shared" si="6"/>
        <v>8</v>
      </c>
      <c r="O89" s="4">
        <f t="shared" si="9"/>
        <v>1.2</v>
      </c>
      <c r="P89" s="4">
        <f t="shared" si="10"/>
        <v>14.1</v>
      </c>
    </row>
    <row r="90" ht="15.75" customHeight="1">
      <c r="A90" s="4">
        <v>1992.0</v>
      </c>
      <c r="B90" s="9">
        <v>241.0</v>
      </c>
      <c r="C90" s="5">
        <v>9.9</v>
      </c>
      <c r="D90" s="5">
        <v>19.7</v>
      </c>
      <c r="E90" s="4">
        <f t="shared" si="1"/>
        <v>0</v>
      </c>
      <c r="J90" s="5"/>
      <c r="K90" s="5">
        <v>14.4</v>
      </c>
      <c r="L90" s="4">
        <f t="shared" si="6"/>
        <v>3</v>
      </c>
      <c r="O90" s="4" t="str">
        <f t="shared" si="9"/>
        <v/>
      </c>
      <c r="P90" s="4">
        <f t="shared" si="10"/>
        <v>14.4</v>
      </c>
    </row>
    <row r="91" ht="15.75" customHeight="1">
      <c r="A91" s="4">
        <v>1992.0</v>
      </c>
      <c r="B91" s="9">
        <v>242.0</v>
      </c>
      <c r="C91" s="5">
        <v>8.7</v>
      </c>
      <c r="D91" s="5">
        <v>25.8</v>
      </c>
      <c r="E91" s="4">
        <f t="shared" si="1"/>
        <v>0</v>
      </c>
      <c r="J91" s="5"/>
      <c r="K91" s="5">
        <v>18.4</v>
      </c>
      <c r="L91" s="4">
        <f t="shared" si="6"/>
        <v>3</v>
      </c>
      <c r="O91" s="4" t="str">
        <f t="shared" si="9"/>
        <v/>
      </c>
      <c r="P91" s="4">
        <f t="shared" si="10"/>
        <v>18.4</v>
      </c>
    </row>
    <row r="92" ht="15.75" customHeight="1">
      <c r="A92" s="4">
        <v>1992.0</v>
      </c>
      <c r="B92" s="9">
        <v>243.0</v>
      </c>
      <c r="C92" s="5">
        <v>15.6</v>
      </c>
      <c r="D92" s="5">
        <v>32.0</v>
      </c>
      <c r="E92" s="4">
        <f t="shared" si="1"/>
        <v>0</v>
      </c>
      <c r="J92" s="5"/>
      <c r="K92" s="5">
        <v>24.1</v>
      </c>
      <c r="L92" s="4">
        <f t="shared" si="6"/>
        <v>3</v>
      </c>
      <c r="O92" s="4" t="str">
        <f t="shared" si="9"/>
        <v/>
      </c>
      <c r="P92" s="4">
        <f t="shared" si="10"/>
        <v>24.1</v>
      </c>
    </row>
    <row r="93" ht="15.75" customHeight="1">
      <c r="A93" s="4">
        <v>1992.0</v>
      </c>
      <c r="B93" s="9">
        <v>244.0</v>
      </c>
      <c r="C93" s="5">
        <v>20.6</v>
      </c>
      <c r="D93" s="5">
        <v>31.3</v>
      </c>
      <c r="E93" s="4">
        <f t="shared" si="1"/>
        <v>1</v>
      </c>
      <c r="J93" s="5">
        <v>1.1</v>
      </c>
      <c r="K93" s="5">
        <v>25.3</v>
      </c>
      <c r="L93" s="4">
        <f t="shared" si="6"/>
        <v>8</v>
      </c>
      <c r="O93" s="4">
        <f t="shared" si="9"/>
        <v>1.1</v>
      </c>
      <c r="P93" s="4">
        <f t="shared" si="10"/>
        <v>25.3</v>
      </c>
    </row>
    <row r="94" ht="15.75" customHeight="1"/>
    <row r="95" ht="15.75" customHeight="1"/>
    <row r="96" ht="15.75" customHeight="1">
      <c r="O96" s="4">
        <f>SUM(O2:O93)</f>
        <v>38.85</v>
      </c>
      <c r="P96" s="4">
        <f>SUMIF(P2:P93,"&gt;0")/10</f>
        <v>155.02</v>
      </c>
    </row>
    <row r="97" ht="15.75" customHeight="1"/>
    <row r="98" ht="15.75" customHeight="1">
      <c r="I98" s="4">
        <f>SUM(I2:I87)</f>
        <v>14.789</v>
      </c>
      <c r="O98" s="4" t="s">
        <v>15</v>
      </c>
      <c r="P98" s="4">
        <f>O96/P96</f>
        <v>0.2506128242</v>
      </c>
    </row>
    <row r="99" ht="15.75" customHeight="1">
      <c r="I99" s="4">
        <f>SUM(I2:I31)</f>
        <v>3.0485</v>
      </c>
      <c r="O99" s="4" t="s">
        <v>16</v>
      </c>
      <c r="P99" s="4">
        <f>SUM(O2:O31)/(SUM(P2:P31)/10)</f>
        <v>0.1343183345</v>
      </c>
    </row>
    <row r="100" ht="15.75" customHeight="1">
      <c r="I100" s="4">
        <f>SUM(I32:I62)</f>
        <v>0</v>
      </c>
      <c r="O100" s="4" t="s">
        <v>17</v>
      </c>
      <c r="P100" s="4">
        <f>SUM(O33:O62)/(SUM(P33:P62)/10)</f>
        <v>0.1621368322</v>
      </c>
    </row>
    <row r="101" ht="15.75" customHeight="1">
      <c r="I101" s="4">
        <f>SUM(I63:I93)</f>
        <v>11.7405</v>
      </c>
      <c r="O101" s="4" t="s">
        <v>18</v>
      </c>
      <c r="P101" s="4">
        <f>SUM(O63:O93)/(SUM(P63:P93)/10)</f>
        <v>0.4397601308</v>
      </c>
    </row>
    <row r="102" ht="15.75" customHeight="1">
      <c r="I102" s="4">
        <f>SUMIF(I2:I87,"&gt;0")</f>
        <v>14.789</v>
      </c>
    </row>
    <row r="103" ht="15.75" customHeight="1">
      <c r="I103" s="4">
        <f>SUMIF(I2:I31,"&gt;0")</f>
        <v>3.0485</v>
      </c>
    </row>
    <row r="104" ht="15.75" customHeight="1">
      <c r="I104" s="4">
        <f>SUMIF(I32:I62,"&gt;0")</f>
        <v>0</v>
      </c>
      <c r="P104" s="4">
        <f>SUM(O16:O35)/(SUM(P16:P35)/10)</f>
        <v>0.1895135818</v>
      </c>
    </row>
    <row r="105" ht="15.75" customHeight="1">
      <c r="I105" s="4">
        <f>SUMIF(I63:I87,"&gt;0")</f>
        <v>11.7405</v>
      </c>
      <c r="P105" s="4">
        <f>SUM(O36:O55)/(SUM(P36:P55)/10)</f>
        <v>0.1241438356</v>
      </c>
    </row>
    <row r="106" ht="15.75" customHeight="1">
      <c r="P106" s="4">
        <f>SUM(O56:O77)/(SUM(P56:P77)/10)</f>
        <v>0.06963788301</v>
      </c>
    </row>
    <row r="107" ht="15.75" customHeight="1">
      <c r="P107" s="4">
        <f>SUM(O16:O77)/(SUM(P16:P77)/10)</f>
        <v>0.1216068501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1993.0</v>
      </c>
      <c r="B2" s="4">
        <v>152.0</v>
      </c>
      <c r="C2" s="4">
        <v>7.1</v>
      </c>
      <c r="D2" s="4">
        <v>22.8</v>
      </c>
      <c r="E2" s="4">
        <f t="shared" ref="E2:E93" si="1">IF(J2&gt;0,1,0)</f>
        <v>0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29.536</v>
      </c>
      <c r="H2" s="4">
        <f t="shared" ref="H2:H87" si="4">0.63 * D2 + 0.37 * D3 + 0.49 * D4 + 0.22 * D5 + 0.65 * D6 + 0.24 *C2 - 0.06 * C3- 0.15 * C4 - 0.135 * C5 + 0.15 * C6 + 4.88 * E2 + 3.55 * E3 + 3.34 *E4 + 2.5 * E5 + 2.29 *E6-31.34</f>
        <v>27.0465</v>
      </c>
      <c r="I2" s="4" t="str">
        <f t="shared" ref="I2:I87" si="5">IF((H2-G2)&gt;0,H2-G2," ")</f>
        <v> </v>
      </c>
      <c r="K2" s="4">
        <v>14.6</v>
      </c>
      <c r="L2" s="4">
        <f t="shared" ref="L2:L93" si="6">IF(E2&gt;0,8,3)</f>
        <v>3</v>
      </c>
      <c r="M2" s="4">
        <f t="shared" ref="M2:M87" si="7">IF(N2&gt;=0,1,0)</f>
        <v>1</v>
      </c>
      <c r="N2" s="4">
        <f t="shared" ref="N2:N87" si="8">-0.216*D2-0.191*D3-0.119*D4+0.004*C2-0.171*C3+0.628*C4-0.479*L2+0.513*L3+0.046*L4+5.947*E2+6.699*E3+4.328*E4-1.788</f>
        <v>2.1113</v>
      </c>
      <c r="O2" s="4" t="str">
        <f t="shared" ref="O2:O93" si="9">IF(K2&gt;10,J2,0)</f>
        <v/>
      </c>
      <c r="P2" s="4">
        <f t="shared" ref="P2:P93" si="10">IF(K2&gt;10,K2,0)</f>
        <v>14.6</v>
      </c>
    </row>
    <row r="3">
      <c r="A3" s="4">
        <v>1993.0</v>
      </c>
      <c r="B3" s="4">
        <v>153.0</v>
      </c>
      <c r="C3" s="4">
        <v>6.8</v>
      </c>
      <c r="D3" s="4">
        <v>21.5</v>
      </c>
      <c r="E3" s="4">
        <f t="shared" si="1"/>
        <v>1</v>
      </c>
      <c r="F3" s="4">
        <f t="shared" si="2"/>
        <v>0</v>
      </c>
      <c r="G3" s="4">
        <f t="shared" si="3"/>
        <v>28.116</v>
      </c>
      <c r="H3" s="4">
        <f t="shared" si="4"/>
        <v>26.7795</v>
      </c>
      <c r="I3" s="4" t="str">
        <f t="shared" si="5"/>
        <v> </v>
      </c>
      <c r="J3" s="4">
        <v>0.3</v>
      </c>
      <c r="K3" s="4">
        <v>15.5</v>
      </c>
      <c r="L3" s="4">
        <f t="shared" si="6"/>
        <v>8</v>
      </c>
      <c r="M3" s="4">
        <f t="shared" si="7"/>
        <v>1</v>
      </c>
      <c r="N3" s="4">
        <f t="shared" si="8"/>
        <v>0.3806</v>
      </c>
      <c r="O3" s="4">
        <f t="shared" si="9"/>
        <v>0.3</v>
      </c>
      <c r="P3" s="4">
        <f t="shared" si="10"/>
        <v>15.5</v>
      </c>
    </row>
    <row r="4">
      <c r="A4" s="4">
        <v>1993.0</v>
      </c>
      <c r="B4" s="4">
        <v>154.0</v>
      </c>
      <c r="C4" s="4">
        <v>12.0</v>
      </c>
      <c r="D4" s="4">
        <v>25.0</v>
      </c>
      <c r="E4" s="4">
        <f t="shared" si="1"/>
        <v>0</v>
      </c>
      <c r="F4" s="4">
        <f t="shared" si="2"/>
        <v>0</v>
      </c>
      <c r="G4" s="4">
        <f t="shared" si="3"/>
        <v>24.297</v>
      </c>
      <c r="H4" s="4">
        <f t="shared" si="4"/>
        <v>23.649</v>
      </c>
      <c r="I4" s="4" t="str">
        <f t="shared" si="5"/>
        <v> </v>
      </c>
      <c r="K4" s="4">
        <v>18.7</v>
      </c>
      <c r="L4" s="4">
        <f t="shared" si="6"/>
        <v>3</v>
      </c>
      <c r="M4" s="4">
        <f t="shared" si="7"/>
        <v>0</v>
      </c>
      <c r="N4" s="4">
        <f t="shared" si="8"/>
        <v>-0.283</v>
      </c>
      <c r="O4" s="4" t="str">
        <f t="shared" si="9"/>
        <v/>
      </c>
      <c r="P4" s="4">
        <f t="shared" si="10"/>
        <v>18.7</v>
      </c>
    </row>
    <row r="5">
      <c r="A5" s="4">
        <v>1993.0</v>
      </c>
      <c r="B5" s="4">
        <v>155.0</v>
      </c>
      <c r="C5" s="4">
        <v>12.7</v>
      </c>
      <c r="D5" s="4">
        <v>22.8</v>
      </c>
      <c r="E5" s="4">
        <f t="shared" si="1"/>
        <v>1</v>
      </c>
      <c r="F5" s="4">
        <f t="shared" si="2"/>
        <v>1</v>
      </c>
      <c r="G5" s="4">
        <f t="shared" si="3"/>
        <v>24.695</v>
      </c>
      <c r="H5" s="4">
        <f t="shared" si="4"/>
        <v>24.853</v>
      </c>
      <c r="I5" s="4">
        <f t="shared" si="5"/>
        <v>0.158</v>
      </c>
      <c r="J5" s="4">
        <v>1.9</v>
      </c>
      <c r="K5" s="4">
        <v>18.3</v>
      </c>
      <c r="L5" s="4">
        <f t="shared" si="6"/>
        <v>8</v>
      </c>
      <c r="M5" s="4">
        <f t="shared" si="7"/>
        <v>0</v>
      </c>
      <c r="N5" s="4">
        <f t="shared" si="8"/>
        <v>-7.0015</v>
      </c>
      <c r="O5" s="4">
        <f t="shared" si="9"/>
        <v>1.9</v>
      </c>
      <c r="P5" s="4">
        <f t="shared" si="10"/>
        <v>18.3</v>
      </c>
    </row>
    <row r="6">
      <c r="A6" s="4">
        <v>1993.0</v>
      </c>
      <c r="B6" s="4">
        <v>156.0</v>
      </c>
      <c r="C6" s="4">
        <v>10.1</v>
      </c>
      <c r="D6" s="4">
        <v>20.7</v>
      </c>
      <c r="E6" s="4">
        <f t="shared" si="1"/>
        <v>0</v>
      </c>
      <c r="F6" s="4">
        <f t="shared" si="2"/>
        <v>1</v>
      </c>
      <c r="G6" s="4">
        <f t="shared" si="3"/>
        <v>15.185</v>
      </c>
      <c r="H6" s="4">
        <f t="shared" si="4"/>
        <v>15.478</v>
      </c>
      <c r="I6" s="4">
        <f t="shared" si="5"/>
        <v>0.293</v>
      </c>
      <c r="K6" s="4">
        <v>15.4</v>
      </c>
      <c r="L6" s="4">
        <f t="shared" si="6"/>
        <v>3</v>
      </c>
      <c r="M6" s="4">
        <f t="shared" si="7"/>
        <v>0</v>
      </c>
      <c r="N6" s="4">
        <f t="shared" si="8"/>
        <v>-2.8315</v>
      </c>
      <c r="O6" s="4" t="str">
        <f t="shared" si="9"/>
        <v/>
      </c>
      <c r="P6" s="4">
        <f t="shared" si="10"/>
        <v>15.4</v>
      </c>
    </row>
    <row r="7">
      <c r="A7" s="4">
        <v>1993.0</v>
      </c>
      <c r="B7" s="4">
        <v>157.0</v>
      </c>
      <c r="C7" s="4">
        <v>6.2</v>
      </c>
      <c r="D7" s="4">
        <v>19.7</v>
      </c>
      <c r="E7" s="4">
        <f t="shared" si="1"/>
        <v>0</v>
      </c>
      <c r="F7" s="4">
        <f t="shared" si="2"/>
        <v>1</v>
      </c>
      <c r="G7" s="4">
        <f t="shared" si="3"/>
        <v>12.931</v>
      </c>
      <c r="H7" s="4">
        <f t="shared" si="4"/>
        <v>13.7555</v>
      </c>
      <c r="I7" s="4">
        <f t="shared" si="5"/>
        <v>0.8245</v>
      </c>
      <c r="K7" s="4">
        <v>12.8</v>
      </c>
      <c r="L7" s="4">
        <f t="shared" si="6"/>
        <v>3</v>
      </c>
      <c r="M7" s="4">
        <f t="shared" si="7"/>
        <v>1</v>
      </c>
      <c r="N7" s="4">
        <f t="shared" si="8"/>
        <v>5.9918</v>
      </c>
      <c r="O7" s="4" t="str">
        <f t="shared" si="9"/>
        <v/>
      </c>
      <c r="P7" s="4">
        <f t="shared" si="10"/>
        <v>12.8</v>
      </c>
    </row>
    <row r="8">
      <c r="A8" s="4">
        <v>1993.0</v>
      </c>
      <c r="B8" s="4">
        <v>158.0</v>
      </c>
      <c r="C8" s="4">
        <v>8.2</v>
      </c>
      <c r="D8" s="4">
        <v>14.6</v>
      </c>
      <c r="E8" s="4">
        <f t="shared" si="1"/>
        <v>1</v>
      </c>
      <c r="F8" s="4">
        <f t="shared" si="2"/>
        <v>1</v>
      </c>
      <c r="G8" s="4">
        <f t="shared" si="3"/>
        <v>11.392</v>
      </c>
      <c r="H8" s="4">
        <f t="shared" si="4"/>
        <v>13.1935</v>
      </c>
      <c r="I8" s="4">
        <f t="shared" si="5"/>
        <v>1.8015</v>
      </c>
      <c r="J8" s="4">
        <v>7.6</v>
      </c>
      <c r="K8" s="4">
        <v>11.1</v>
      </c>
      <c r="L8" s="4">
        <f t="shared" si="6"/>
        <v>8</v>
      </c>
      <c r="M8" s="4">
        <f t="shared" si="7"/>
        <v>1</v>
      </c>
      <c r="N8" s="4">
        <f t="shared" si="8"/>
        <v>11.2999</v>
      </c>
      <c r="O8" s="4">
        <f t="shared" si="9"/>
        <v>7.6</v>
      </c>
      <c r="P8" s="4">
        <f t="shared" si="10"/>
        <v>11.1</v>
      </c>
    </row>
    <row r="9">
      <c r="A9" s="4">
        <v>1993.0</v>
      </c>
      <c r="B9" s="4">
        <v>159.0</v>
      </c>
      <c r="C9" s="4">
        <v>6.4</v>
      </c>
      <c r="D9" s="4">
        <v>15.8</v>
      </c>
      <c r="E9" s="4">
        <f t="shared" si="1"/>
        <v>1</v>
      </c>
      <c r="F9" s="4">
        <f t="shared" si="2"/>
        <v>1</v>
      </c>
      <c r="G9" s="4">
        <f t="shared" si="3"/>
        <v>7.709</v>
      </c>
      <c r="H9" s="4">
        <f t="shared" si="4"/>
        <v>8.4905</v>
      </c>
      <c r="I9" s="4">
        <f t="shared" si="5"/>
        <v>0.7815</v>
      </c>
      <c r="J9" s="4">
        <v>14.8</v>
      </c>
      <c r="K9" s="4">
        <v>10.9</v>
      </c>
      <c r="L9" s="4">
        <f t="shared" si="6"/>
        <v>8</v>
      </c>
      <c r="M9" s="4">
        <f t="shared" si="7"/>
        <v>1</v>
      </c>
      <c r="N9" s="4">
        <f t="shared" si="8"/>
        <v>6.9496</v>
      </c>
      <c r="O9" s="4">
        <f t="shared" si="9"/>
        <v>14.8</v>
      </c>
      <c r="P9" s="4">
        <f t="shared" si="10"/>
        <v>10.9</v>
      </c>
    </row>
    <row r="10">
      <c r="A10" s="4">
        <v>1993.0</v>
      </c>
      <c r="B10" s="4">
        <v>160.0</v>
      </c>
      <c r="C10" s="4">
        <v>6.3</v>
      </c>
      <c r="D10" s="4">
        <v>10.5</v>
      </c>
      <c r="E10" s="4">
        <f t="shared" si="1"/>
        <v>1</v>
      </c>
      <c r="F10" s="4">
        <f t="shared" si="2"/>
        <v>0</v>
      </c>
      <c r="G10" s="4">
        <f t="shared" si="3"/>
        <v>7.595</v>
      </c>
      <c r="H10" s="4">
        <f t="shared" si="4"/>
        <v>7.1245</v>
      </c>
      <c r="I10" s="4" t="str">
        <f t="shared" si="5"/>
        <v> </v>
      </c>
      <c r="J10" s="4">
        <v>9.0</v>
      </c>
      <c r="K10" s="4">
        <v>8.0</v>
      </c>
      <c r="L10" s="4">
        <f t="shared" si="6"/>
        <v>8</v>
      </c>
      <c r="M10" s="4">
        <f t="shared" si="7"/>
        <v>0</v>
      </c>
      <c r="N10" s="4">
        <f t="shared" si="8"/>
        <v>-2.2675</v>
      </c>
      <c r="O10" s="4">
        <f t="shared" si="9"/>
        <v>0</v>
      </c>
      <c r="P10" s="4">
        <f t="shared" si="10"/>
        <v>0</v>
      </c>
    </row>
    <row r="11">
      <c r="A11" s="4">
        <v>1993.0</v>
      </c>
      <c r="B11" s="4">
        <v>161.0</v>
      </c>
      <c r="C11" s="4">
        <v>5.7</v>
      </c>
      <c r="D11" s="4">
        <v>12.0</v>
      </c>
      <c r="E11" s="4">
        <f t="shared" si="1"/>
        <v>0</v>
      </c>
      <c r="F11" s="4">
        <f t="shared" si="2"/>
        <v>1</v>
      </c>
      <c r="G11" s="4">
        <f t="shared" si="3"/>
        <v>5.545</v>
      </c>
      <c r="H11" s="4">
        <f t="shared" si="4"/>
        <v>5.6125</v>
      </c>
      <c r="I11" s="4">
        <f t="shared" si="5"/>
        <v>0.0675</v>
      </c>
      <c r="K11" s="4">
        <v>9.3</v>
      </c>
      <c r="L11" s="4">
        <f t="shared" si="6"/>
        <v>3</v>
      </c>
      <c r="M11" s="4">
        <f t="shared" si="7"/>
        <v>0</v>
      </c>
      <c r="N11" s="4">
        <f t="shared" si="8"/>
        <v>-6.9965</v>
      </c>
      <c r="O11" s="4">
        <f t="shared" si="9"/>
        <v>0</v>
      </c>
      <c r="P11" s="4">
        <f t="shared" si="10"/>
        <v>0</v>
      </c>
    </row>
    <row r="12">
      <c r="A12" s="4">
        <v>1993.0</v>
      </c>
      <c r="B12" s="4">
        <v>162.0</v>
      </c>
      <c r="C12" s="4">
        <v>4.7</v>
      </c>
      <c r="D12" s="4">
        <v>14.4</v>
      </c>
      <c r="E12" s="4">
        <f t="shared" si="1"/>
        <v>0</v>
      </c>
      <c r="F12" s="4">
        <f t="shared" si="2"/>
        <v>1</v>
      </c>
      <c r="G12" s="4">
        <f t="shared" si="3"/>
        <v>8.895</v>
      </c>
      <c r="H12" s="4">
        <f t="shared" si="4"/>
        <v>9.626</v>
      </c>
      <c r="I12" s="4">
        <f t="shared" si="5"/>
        <v>0.731</v>
      </c>
      <c r="K12" s="4">
        <v>9.3</v>
      </c>
      <c r="L12" s="4">
        <f t="shared" si="6"/>
        <v>3</v>
      </c>
      <c r="M12" s="4">
        <f t="shared" si="7"/>
        <v>0</v>
      </c>
      <c r="N12" s="4">
        <f t="shared" si="8"/>
        <v>-8.6251</v>
      </c>
      <c r="O12" s="4">
        <f t="shared" si="9"/>
        <v>0</v>
      </c>
      <c r="P12" s="4">
        <f t="shared" si="10"/>
        <v>0</v>
      </c>
    </row>
    <row r="13">
      <c r="A13" s="4">
        <v>1993.0</v>
      </c>
      <c r="B13" s="4">
        <v>163.0</v>
      </c>
      <c r="C13" s="4">
        <v>3.5</v>
      </c>
      <c r="D13" s="4">
        <v>12.8</v>
      </c>
      <c r="E13" s="4">
        <f t="shared" si="1"/>
        <v>0</v>
      </c>
      <c r="F13" s="4">
        <f t="shared" si="2"/>
        <v>0</v>
      </c>
      <c r="G13" s="4">
        <f t="shared" si="3"/>
        <v>10.925</v>
      </c>
      <c r="H13" s="4">
        <f t="shared" si="4"/>
        <v>9.8165</v>
      </c>
      <c r="I13" s="4" t="str">
        <f t="shared" si="5"/>
        <v> </v>
      </c>
      <c r="K13" s="4">
        <v>8.5</v>
      </c>
      <c r="L13" s="4">
        <f t="shared" si="6"/>
        <v>3</v>
      </c>
      <c r="M13" s="4">
        <f t="shared" si="7"/>
        <v>0</v>
      </c>
      <c r="N13" s="4">
        <f t="shared" si="8"/>
        <v>-0.3762</v>
      </c>
      <c r="O13" s="4">
        <f t="shared" si="9"/>
        <v>0</v>
      </c>
      <c r="P13" s="4">
        <f t="shared" si="10"/>
        <v>0</v>
      </c>
    </row>
    <row r="14">
      <c r="A14" s="4">
        <v>1993.0</v>
      </c>
      <c r="B14" s="4">
        <v>164.0</v>
      </c>
      <c r="C14" s="4">
        <v>2.1</v>
      </c>
      <c r="D14" s="4">
        <v>19.0</v>
      </c>
      <c r="E14" s="4">
        <f t="shared" si="1"/>
        <v>0</v>
      </c>
      <c r="F14" s="4">
        <f t="shared" si="2"/>
        <v>0</v>
      </c>
      <c r="G14" s="4">
        <f t="shared" si="3"/>
        <v>14.189</v>
      </c>
      <c r="H14" s="4">
        <f t="shared" si="4"/>
        <v>13.471</v>
      </c>
      <c r="I14" s="4" t="str">
        <f t="shared" si="5"/>
        <v> </v>
      </c>
      <c r="K14" s="4">
        <v>11.8</v>
      </c>
      <c r="L14" s="4">
        <f t="shared" si="6"/>
        <v>3</v>
      </c>
      <c r="M14" s="4">
        <f t="shared" si="7"/>
        <v>1</v>
      </c>
      <c r="N14" s="4">
        <f t="shared" si="8"/>
        <v>9.5552</v>
      </c>
      <c r="O14" s="4" t="str">
        <f t="shared" si="9"/>
        <v/>
      </c>
      <c r="P14" s="4">
        <f t="shared" si="10"/>
        <v>11.8</v>
      </c>
    </row>
    <row r="15">
      <c r="A15" s="4">
        <v>1993.0</v>
      </c>
      <c r="B15" s="4">
        <v>165.0</v>
      </c>
      <c r="C15" s="4">
        <v>8.2</v>
      </c>
      <c r="D15" s="4">
        <v>15.1</v>
      </c>
      <c r="E15" s="4">
        <f t="shared" si="1"/>
        <v>1</v>
      </c>
      <c r="F15" s="4">
        <f t="shared" si="2"/>
        <v>0</v>
      </c>
      <c r="G15" s="4">
        <f t="shared" si="3"/>
        <v>16.605</v>
      </c>
      <c r="H15" s="4">
        <f t="shared" si="4"/>
        <v>16.5025</v>
      </c>
      <c r="I15" s="4" t="str">
        <f t="shared" si="5"/>
        <v> </v>
      </c>
      <c r="J15" s="4">
        <v>9.9</v>
      </c>
      <c r="K15" s="4">
        <v>12.3</v>
      </c>
      <c r="L15" s="4">
        <f t="shared" si="6"/>
        <v>8</v>
      </c>
      <c r="M15" s="4">
        <f t="shared" si="7"/>
        <v>1</v>
      </c>
      <c r="N15" s="4">
        <f t="shared" si="8"/>
        <v>7.271</v>
      </c>
      <c r="O15" s="4">
        <f t="shared" si="9"/>
        <v>9.9</v>
      </c>
      <c r="P15" s="4">
        <f t="shared" si="10"/>
        <v>12.3</v>
      </c>
    </row>
    <row r="16">
      <c r="A16" s="4">
        <v>1993.0</v>
      </c>
      <c r="B16" s="4">
        <v>166.0</v>
      </c>
      <c r="C16" s="4">
        <v>11.5</v>
      </c>
      <c r="D16" s="4">
        <v>13.1</v>
      </c>
      <c r="E16" s="4">
        <f t="shared" si="1"/>
        <v>1</v>
      </c>
      <c r="F16" s="4">
        <f t="shared" si="2"/>
        <v>1</v>
      </c>
      <c r="G16" s="4">
        <f t="shared" si="3"/>
        <v>16.503</v>
      </c>
      <c r="H16" s="4">
        <f t="shared" si="4"/>
        <v>17.375</v>
      </c>
      <c r="I16" s="4">
        <f t="shared" si="5"/>
        <v>0.872</v>
      </c>
      <c r="J16" s="4">
        <v>1.7</v>
      </c>
      <c r="K16" s="4">
        <v>12.4</v>
      </c>
      <c r="L16" s="4">
        <f t="shared" si="6"/>
        <v>8</v>
      </c>
      <c r="M16" s="4">
        <f t="shared" si="7"/>
        <v>0</v>
      </c>
      <c r="N16" s="4">
        <f t="shared" si="8"/>
        <v>-2.177</v>
      </c>
      <c r="O16" s="4">
        <f t="shared" si="9"/>
        <v>1.7</v>
      </c>
      <c r="P16" s="4">
        <f t="shared" si="10"/>
        <v>12.4</v>
      </c>
    </row>
    <row r="17">
      <c r="A17" s="4">
        <v>1993.0</v>
      </c>
      <c r="B17" s="4">
        <v>167.0</v>
      </c>
      <c r="C17" s="4">
        <v>9.0</v>
      </c>
      <c r="D17" s="4">
        <v>16.4</v>
      </c>
      <c r="E17" s="4">
        <f t="shared" si="1"/>
        <v>0</v>
      </c>
      <c r="F17" s="4">
        <f t="shared" si="2"/>
        <v>0</v>
      </c>
      <c r="G17" s="4">
        <f t="shared" si="3"/>
        <v>20.645</v>
      </c>
      <c r="H17" s="4">
        <f t="shared" si="4"/>
        <v>19.5045</v>
      </c>
      <c r="I17" s="4" t="str">
        <f t="shared" si="5"/>
        <v> </v>
      </c>
      <c r="K17" s="4">
        <v>12.9</v>
      </c>
      <c r="L17" s="4">
        <f t="shared" si="6"/>
        <v>3</v>
      </c>
      <c r="M17" s="4">
        <f t="shared" si="7"/>
        <v>0</v>
      </c>
      <c r="N17" s="4">
        <f t="shared" si="8"/>
        <v>-8.2018</v>
      </c>
      <c r="O17" s="4" t="str">
        <f t="shared" si="9"/>
        <v/>
      </c>
      <c r="P17" s="4">
        <f t="shared" si="10"/>
        <v>12.9</v>
      </c>
    </row>
    <row r="18">
      <c r="A18" s="4">
        <v>1993.0</v>
      </c>
      <c r="B18" s="4">
        <v>168.0</v>
      </c>
      <c r="C18" s="4">
        <v>8.7</v>
      </c>
      <c r="D18" s="4">
        <v>18.4</v>
      </c>
      <c r="E18" s="4">
        <f t="shared" si="1"/>
        <v>0</v>
      </c>
      <c r="F18" s="4">
        <f t="shared" si="2"/>
        <v>0</v>
      </c>
      <c r="G18" s="4">
        <f t="shared" si="3"/>
        <v>21.233</v>
      </c>
      <c r="H18" s="4">
        <f t="shared" si="4"/>
        <v>19.5625</v>
      </c>
      <c r="I18" s="4" t="str">
        <f t="shared" si="5"/>
        <v> </v>
      </c>
      <c r="K18" s="4">
        <v>13.7</v>
      </c>
      <c r="L18" s="4">
        <f t="shared" si="6"/>
        <v>3</v>
      </c>
      <c r="M18" s="4">
        <f t="shared" si="7"/>
        <v>0</v>
      </c>
      <c r="N18" s="4">
        <f t="shared" si="8"/>
        <v>-2.3903</v>
      </c>
      <c r="O18" s="4" t="str">
        <f t="shared" si="9"/>
        <v/>
      </c>
      <c r="P18" s="4">
        <f t="shared" si="10"/>
        <v>13.7</v>
      </c>
    </row>
    <row r="19">
      <c r="A19" s="4">
        <v>1993.0</v>
      </c>
      <c r="B19" s="4">
        <v>169.0</v>
      </c>
      <c r="C19" s="4">
        <v>6.8</v>
      </c>
      <c r="D19" s="4">
        <v>20.3</v>
      </c>
      <c r="E19" s="4">
        <f t="shared" si="1"/>
        <v>0</v>
      </c>
      <c r="F19" s="4">
        <f t="shared" si="2"/>
        <v>0</v>
      </c>
      <c r="G19" s="4">
        <f t="shared" si="3"/>
        <v>22.682</v>
      </c>
      <c r="H19" s="4">
        <f t="shared" si="4"/>
        <v>21.828</v>
      </c>
      <c r="I19" s="4" t="str">
        <f t="shared" si="5"/>
        <v> </v>
      </c>
      <c r="K19" s="4">
        <v>14.8</v>
      </c>
      <c r="L19" s="4">
        <f t="shared" si="6"/>
        <v>3</v>
      </c>
      <c r="M19" s="4">
        <f t="shared" si="7"/>
        <v>1</v>
      </c>
      <c r="N19" s="4">
        <f t="shared" si="8"/>
        <v>6.4933</v>
      </c>
      <c r="O19" s="4" t="str">
        <f t="shared" si="9"/>
        <v/>
      </c>
      <c r="P19" s="4">
        <f t="shared" si="10"/>
        <v>14.8</v>
      </c>
    </row>
    <row r="20">
      <c r="A20" s="4">
        <v>1993.0</v>
      </c>
      <c r="B20" s="4">
        <v>170.0</v>
      </c>
      <c r="C20" s="4">
        <v>9.3</v>
      </c>
      <c r="D20" s="4">
        <v>19.0</v>
      </c>
      <c r="E20" s="4">
        <f t="shared" si="1"/>
        <v>1</v>
      </c>
      <c r="F20" s="4">
        <f t="shared" si="2"/>
        <v>0</v>
      </c>
      <c r="G20" s="4">
        <f t="shared" si="3"/>
        <v>22.358</v>
      </c>
      <c r="H20" s="4">
        <f t="shared" si="4"/>
        <v>21.453</v>
      </c>
      <c r="I20" s="4" t="str">
        <f t="shared" si="5"/>
        <v> </v>
      </c>
      <c r="J20" s="4">
        <v>6.6</v>
      </c>
      <c r="K20" s="4">
        <v>13.8</v>
      </c>
      <c r="L20" s="4">
        <f t="shared" si="6"/>
        <v>8</v>
      </c>
      <c r="M20" s="4">
        <f t="shared" si="7"/>
        <v>1</v>
      </c>
      <c r="N20" s="4">
        <f t="shared" si="8"/>
        <v>6.4753</v>
      </c>
      <c r="O20" s="4">
        <f t="shared" si="9"/>
        <v>6.6</v>
      </c>
      <c r="P20" s="4">
        <f t="shared" si="10"/>
        <v>13.8</v>
      </c>
    </row>
    <row r="21" ht="15.75" customHeight="1">
      <c r="A21" s="4">
        <v>1993.0</v>
      </c>
      <c r="B21" s="4">
        <v>171.0</v>
      </c>
      <c r="C21" s="4">
        <v>10.1</v>
      </c>
      <c r="D21" s="4">
        <v>21.4</v>
      </c>
      <c r="E21" s="4">
        <f t="shared" si="1"/>
        <v>1</v>
      </c>
      <c r="F21" s="4">
        <f t="shared" si="2"/>
        <v>0</v>
      </c>
      <c r="G21" s="4">
        <f t="shared" si="3"/>
        <v>20.273</v>
      </c>
      <c r="H21" s="4">
        <f t="shared" si="4"/>
        <v>20.118</v>
      </c>
      <c r="I21" s="4" t="str">
        <f t="shared" si="5"/>
        <v> </v>
      </c>
      <c r="J21" s="4">
        <v>10.9</v>
      </c>
      <c r="K21" s="4">
        <v>15.3</v>
      </c>
      <c r="L21" s="4">
        <f t="shared" si="6"/>
        <v>8</v>
      </c>
      <c r="M21" s="4">
        <f t="shared" si="7"/>
        <v>0</v>
      </c>
      <c r="N21" s="4">
        <f t="shared" si="8"/>
        <v>-2.9645</v>
      </c>
      <c r="O21" s="4">
        <f t="shared" si="9"/>
        <v>10.9</v>
      </c>
      <c r="P21" s="4">
        <f t="shared" si="10"/>
        <v>15.3</v>
      </c>
    </row>
    <row r="22" ht="15.75" customHeight="1">
      <c r="A22" s="4">
        <v>1993.0</v>
      </c>
      <c r="B22" s="4">
        <v>172.0</v>
      </c>
      <c r="C22" s="4">
        <v>11.4</v>
      </c>
      <c r="D22" s="4">
        <v>17.4</v>
      </c>
      <c r="E22" s="4">
        <f t="shared" si="1"/>
        <v>0</v>
      </c>
      <c r="F22" s="4">
        <f t="shared" si="2"/>
        <v>0</v>
      </c>
      <c r="G22" s="4">
        <f t="shared" si="3"/>
        <v>18.794</v>
      </c>
      <c r="H22" s="4">
        <f t="shared" si="4"/>
        <v>17.16</v>
      </c>
      <c r="I22" s="4" t="str">
        <f t="shared" si="5"/>
        <v> </v>
      </c>
      <c r="K22" s="4">
        <v>14.2</v>
      </c>
      <c r="L22" s="4">
        <f t="shared" si="6"/>
        <v>3</v>
      </c>
      <c r="M22" s="4">
        <f t="shared" si="7"/>
        <v>0</v>
      </c>
      <c r="N22" s="4">
        <f t="shared" si="8"/>
        <v>-7.1447</v>
      </c>
      <c r="O22" s="4" t="str">
        <f t="shared" si="9"/>
        <v/>
      </c>
      <c r="P22" s="4">
        <f t="shared" si="10"/>
        <v>14.2</v>
      </c>
    </row>
    <row r="23" ht="15.75" customHeight="1">
      <c r="A23" s="4">
        <v>1993.0</v>
      </c>
      <c r="B23" s="4">
        <v>173.0</v>
      </c>
      <c r="C23" s="4">
        <v>11.4</v>
      </c>
      <c r="D23" s="4">
        <v>19.1</v>
      </c>
      <c r="E23" s="4">
        <f t="shared" si="1"/>
        <v>0</v>
      </c>
      <c r="F23" s="4">
        <f t="shared" si="2"/>
        <v>1</v>
      </c>
      <c r="G23" s="4">
        <f t="shared" si="3"/>
        <v>16.986</v>
      </c>
      <c r="H23" s="4">
        <f t="shared" si="4"/>
        <v>17.6375</v>
      </c>
      <c r="I23" s="4">
        <f t="shared" si="5"/>
        <v>0.6515</v>
      </c>
      <c r="K23" s="4">
        <v>14.6</v>
      </c>
      <c r="L23" s="4">
        <f t="shared" si="6"/>
        <v>3</v>
      </c>
      <c r="M23" s="4">
        <f t="shared" si="7"/>
        <v>0</v>
      </c>
      <c r="N23" s="4">
        <f t="shared" si="8"/>
        <v>-2.264</v>
      </c>
      <c r="O23" s="4" t="str">
        <f t="shared" si="9"/>
        <v/>
      </c>
      <c r="P23" s="4">
        <f t="shared" si="10"/>
        <v>14.6</v>
      </c>
    </row>
    <row r="24" ht="15.75" customHeight="1">
      <c r="A24" s="4">
        <v>1993.0</v>
      </c>
      <c r="B24" s="4">
        <v>174.0</v>
      </c>
      <c r="C24" s="4">
        <v>9.4</v>
      </c>
      <c r="D24" s="4">
        <v>18.4</v>
      </c>
      <c r="E24" s="4">
        <f t="shared" si="1"/>
        <v>0</v>
      </c>
      <c r="F24" s="4">
        <f t="shared" si="2"/>
        <v>1</v>
      </c>
      <c r="G24" s="4">
        <f t="shared" si="3"/>
        <v>17.843</v>
      </c>
      <c r="H24" s="4">
        <f t="shared" si="4"/>
        <v>20.047</v>
      </c>
      <c r="I24" s="4">
        <f t="shared" si="5"/>
        <v>2.204</v>
      </c>
      <c r="K24" s="4">
        <v>14.1</v>
      </c>
      <c r="L24" s="4">
        <f t="shared" si="6"/>
        <v>3</v>
      </c>
      <c r="M24" s="4">
        <f t="shared" si="7"/>
        <v>1</v>
      </c>
      <c r="N24" s="4">
        <f t="shared" si="8"/>
        <v>5.8469</v>
      </c>
      <c r="O24" s="4" t="str">
        <f t="shared" si="9"/>
        <v/>
      </c>
      <c r="P24" s="4">
        <f t="shared" si="10"/>
        <v>14.1</v>
      </c>
    </row>
    <row r="25" ht="15.75" customHeight="1">
      <c r="A25" s="4">
        <v>1993.0</v>
      </c>
      <c r="B25" s="4">
        <v>175.0</v>
      </c>
      <c r="C25" s="4">
        <v>9.4</v>
      </c>
      <c r="D25" s="4">
        <v>16.6</v>
      </c>
      <c r="E25" s="4">
        <f t="shared" si="1"/>
        <v>1</v>
      </c>
      <c r="F25" s="4">
        <f t="shared" si="2"/>
        <v>1</v>
      </c>
      <c r="G25" s="4">
        <f t="shared" si="3"/>
        <v>21.066</v>
      </c>
      <c r="H25" s="4">
        <f t="shared" si="4"/>
        <v>22.577</v>
      </c>
      <c r="I25" s="4">
        <f t="shared" si="5"/>
        <v>1.511</v>
      </c>
      <c r="J25" s="4">
        <v>2.9</v>
      </c>
      <c r="K25" s="4">
        <v>12.5</v>
      </c>
      <c r="L25" s="4">
        <f t="shared" si="6"/>
        <v>8</v>
      </c>
      <c r="M25" s="4">
        <f t="shared" si="7"/>
        <v>1</v>
      </c>
      <c r="N25" s="4">
        <f t="shared" si="8"/>
        <v>12.2258</v>
      </c>
      <c r="O25" s="4">
        <f t="shared" si="9"/>
        <v>2.9</v>
      </c>
      <c r="P25" s="4">
        <f t="shared" si="10"/>
        <v>12.5</v>
      </c>
    </row>
    <row r="26" ht="15.75" customHeight="1">
      <c r="A26" s="4">
        <v>1993.0</v>
      </c>
      <c r="B26" s="4">
        <v>176.0</v>
      </c>
      <c r="C26" s="4">
        <v>7.3</v>
      </c>
      <c r="D26" s="4">
        <v>19.3</v>
      </c>
      <c r="E26" s="4">
        <f t="shared" si="1"/>
        <v>1</v>
      </c>
      <c r="F26" s="4">
        <f t="shared" si="2"/>
        <v>1</v>
      </c>
      <c r="G26" s="4">
        <f t="shared" si="3"/>
        <v>20.521</v>
      </c>
      <c r="H26" s="4">
        <f t="shared" si="4"/>
        <v>23.161</v>
      </c>
      <c r="I26" s="4">
        <f t="shared" si="5"/>
        <v>2.64</v>
      </c>
      <c r="J26" s="4">
        <v>0.3</v>
      </c>
      <c r="K26" s="4">
        <v>14.2</v>
      </c>
      <c r="L26" s="4">
        <f t="shared" si="6"/>
        <v>8</v>
      </c>
      <c r="M26" s="4">
        <f t="shared" si="7"/>
        <v>1</v>
      </c>
      <c r="N26" s="4">
        <f t="shared" si="8"/>
        <v>11.609</v>
      </c>
      <c r="O26" s="4">
        <f t="shared" si="9"/>
        <v>0.3</v>
      </c>
      <c r="P26" s="4">
        <f t="shared" si="10"/>
        <v>14.2</v>
      </c>
    </row>
    <row r="27" ht="15.75" customHeight="1">
      <c r="A27" s="4">
        <v>1993.0</v>
      </c>
      <c r="B27" s="4">
        <v>177.0</v>
      </c>
      <c r="C27" s="4">
        <v>10.2</v>
      </c>
      <c r="D27" s="4">
        <v>12.8</v>
      </c>
      <c r="E27" s="4">
        <f t="shared" si="1"/>
        <v>1</v>
      </c>
      <c r="F27" s="4">
        <f t="shared" si="2"/>
        <v>1</v>
      </c>
      <c r="G27" s="4">
        <f t="shared" si="3"/>
        <v>19.806</v>
      </c>
      <c r="H27" s="4">
        <f t="shared" si="4"/>
        <v>22.771</v>
      </c>
      <c r="I27" s="4">
        <f t="shared" si="5"/>
        <v>2.965</v>
      </c>
      <c r="J27" s="4">
        <v>14.6</v>
      </c>
      <c r="K27" s="4">
        <v>11.5</v>
      </c>
      <c r="L27" s="4">
        <f t="shared" si="6"/>
        <v>8</v>
      </c>
      <c r="M27" s="4">
        <f t="shared" si="7"/>
        <v>1</v>
      </c>
      <c r="N27" s="4">
        <f t="shared" si="8"/>
        <v>6.9104</v>
      </c>
      <c r="O27" s="4">
        <f t="shared" si="9"/>
        <v>14.6</v>
      </c>
      <c r="P27" s="4">
        <f t="shared" si="10"/>
        <v>11.5</v>
      </c>
    </row>
    <row r="28" ht="15.75" customHeight="1">
      <c r="A28" s="4">
        <v>1993.0</v>
      </c>
      <c r="B28" s="4">
        <v>178.0</v>
      </c>
      <c r="C28" s="4">
        <v>9.2</v>
      </c>
      <c r="D28" s="4">
        <v>14.0</v>
      </c>
      <c r="E28" s="4">
        <f t="shared" si="1"/>
        <v>1</v>
      </c>
      <c r="F28" s="4">
        <f t="shared" si="2"/>
        <v>1</v>
      </c>
      <c r="G28" s="4">
        <f t="shared" si="3"/>
        <v>23.799</v>
      </c>
      <c r="H28" s="4">
        <f t="shared" si="4"/>
        <v>26.4545</v>
      </c>
      <c r="I28" s="4">
        <f t="shared" si="5"/>
        <v>2.6555</v>
      </c>
      <c r="J28" s="4">
        <v>6.8</v>
      </c>
      <c r="K28" s="4">
        <v>11.0</v>
      </c>
      <c r="L28" s="4">
        <f t="shared" si="6"/>
        <v>8</v>
      </c>
      <c r="M28" s="4">
        <f t="shared" si="7"/>
        <v>1</v>
      </c>
      <c r="N28" s="4">
        <f t="shared" si="8"/>
        <v>0.7749</v>
      </c>
      <c r="O28" s="4">
        <f t="shared" si="9"/>
        <v>6.8</v>
      </c>
      <c r="P28" s="4">
        <f t="shared" si="10"/>
        <v>11</v>
      </c>
    </row>
    <row r="29" ht="15.75" customHeight="1">
      <c r="A29" s="4">
        <v>1993.0</v>
      </c>
      <c r="B29" s="4">
        <v>179.0</v>
      </c>
      <c r="C29" s="4">
        <v>7.8</v>
      </c>
      <c r="D29" s="4">
        <v>19.2</v>
      </c>
      <c r="E29" s="4">
        <f t="shared" si="1"/>
        <v>0</v>
      </c>
      <c r="F29" s="4">
        <f t="shared" si="2"/>
        <v>1</v>
      </c>
      <c r="G29" s="4">
        <f t="shared" si="3"/>
        <v>24.518</v>
      </c>
      <c r="H29" s="4">
        <f t="shared" si="4"/>
        <v>26.296</v>
      </c>
      <c r="I29" s="4">
        <f t="shared" si="5"/>
        <v>1.778</v>
      </c>
      <c r="K29" s="4">
        <v>12.6</v>
      </c>
      <c r="L29" s="4">
        <f t="shared" si="6"/>
        <v>3</v>
      </c>
      <c r="M29" s="4">
        <f t="shared" si="7"/>
        <v>1</v>
      </c>
      <c r="N29" s="4">
        <f t="shared" si="8"/>
        <v>5.2573</v>
      </c>
      <c r="O29" s="4" t="str">
        <f t="shared" si="9"/>
        <v/>
      </c>
      <c r="P29" s="4">
        <f t="shared" si="10"/>
        <v>12.6</v>
      </c>
    </row>
    <row r="30" ht="15.75" customHeight="1">
      <c r="A30" s="4">
        <v>1993.0</v>
      </c>
      <c r="B30" s="4">
        <v>180.0</v>
      </c>
      <c r="C30" s="4">
        <v>7.2</v>
      </c>
      <c r="D30" s="4">
        <v>19.5</v>
      </c>
      <c r="E30" s="4">
        <f t="shared" si="1"/>
        <v>1</v>
      </c>
      <c r="F30" s="4">
        <f t="shared" si="2"/>
        <v>1</v>
      </c>
      <c r="G30" s="4">
        <f t="shared" si="3"/>
        <v>29.029</v>
      </c>
      <c r="H30" s="4">
        <f t="shared" si="4"/>
        <v>30.7965</v>
      </c>
      <c r="I30" s="4">
        <f t="shared" si="5"/>
        <v>1.7675</v>
      </c>
      <c r="J30" s="4">
        <v>0.9</v>
      </c>
      <c r="K30" s="4">
        <v>13.4</v>
      </c>
      <c r="L30" s="4">
        <f t="shared" si="6"/>
        <v>8</v>
      </c>
      <c r="M30" s="4">
        <f t="shared" si="7"/>
        <v>1</v>
      </c>
      <c r="N30" s="4">
        <f t="shared" si="8"/>
        <v>9.8253</v>
      </c>
      <c r="O30" s="4">
        <f t="shared" si="9"/>
        <v>0.9</v>
      </c>
      <c r="P30" s="4">
        <f t="shared" si="10"/>
        <v>13.4</v>
      </c>
    </row>
    <row r="31" ht="15.75" customHeight="1">
      <c r="A31" s="4">
        <v>1993.0</v>
      </c>
      <c r="B31" s="4">
        <v>181.0</v>
      </c>
      <c r="C31" s="4">
        <v>7.1</v>
      </c>
      <c r="D31" s="4">
        <v>20.2</v>
      </c>
      <c r="E31" s="4">
        <f t="shared" si="1"/>
        <v>1</v>
      </c>
      <c r="F31" s="4">
        <f t="shared" si="2"/>
        <v>1</v>
      </c>
      <c r="G31" s="4">
        <f t="shared" si="3"/>
        <v>27.817</v>
      </c>
      <c r="H31" s="4">
        <f t="shared" si="4"/>
        <v>30.159</v>
      </c>
      <c r="I31" s="4">
        <f t="shared" si="5"/>
        <v>2.342</v>
      </c>
      <c r="J31" s="4">
        <v>1.5</v>
      </c>
      <c r="K31" s="4">
        <v>14.5</v>
      </c>
      <c r="L31" s="4">
        <f t="shared" si="6"/>
        <v>8</v>
      </c>
      <c r="M31" s="4">
        <f t="shared" si="7"/>
        <v>1</v>
      </c>
      <c r="N31" s="4">
        <f t="shared" si="8"/>
        <v>10.3803</v>
      </c>
      <c r="O31" s="4">
        <f t="shared" si="9"/>
        <v>1.5</v>
      </c>
      <c r="P31" s="4">
        <f t="shared" si="10"/>
        <v>14.5</v>
      </c>
    </row>
    <row r="32" ht="15.75" customHeight="1">
      <c r="A32" s="4">
        <v>1993.0</v>
      </c>
      <c r="B32" s="4">
        <v>182.0</v>
      </c>
      <c r="C32" s="4">
        <v>9.2</v>
      </c>
      <c r="D32" s="4">
        <v>21.2</v>
      </c>
      <c r="E32" s="4">
        <f t="shared" si="1"/>
        <v>1</v>
      </c>
      <c r="F32" s="4">
        <f t="shared" si="2"/>
        <v>0</v>
      </c>
      <c r="G32" s="4">
        <f t="shared" si="3"/>
        <v>28.937</v>
      </c>
      <c r="H32" s="4">
        <f t="shared" si="4"/>
        <v>28.7795</v>
      </c>
      <c r="I32" s="4" t="str">
        <f t="shared" si="5"/>
        <v> </v>
      </c>
      <c r="J32" s="4">
        <v>0.6</v>
      </c>
      <c r="K32" s="4">
        <v>15.2</v>
      </c>
      <c r="L32" s="4">
        <f t="shared" si="6"/>
        <v>8</v>
      </c>
      <c r="M32" s="4">
        <f t="shared" si="7"/>
        <v>1</v>
      </c>
      <c r="N32" s="4">
        <f t="shared" si="8"/>
        <v>5.9847</v>
      </c>
      <c r="O32" s="4">
        <f t="shared" si="9"/>
        <v>0.6</v>
      </c>
      <c r="P32" s="4">
        <f t="shared" si="10"/>
        <v>15.2</v>
      </c>
    </row>
    <row r="33" ht="15.75" customHeight="1">
      <c r="A33" s="4">
        <v>1993.0</v>
      </c>
      <c r="B33" s="4">
        <v>183.0</v>
      </c>
      <c r="C33" s="4">
        <v>10.5</v>
      </c>
      <c r="D33" s="4">
        <v>17.5</v>
      </c>
      <c r="E33" s="4">
        <f t="shared" si="1"/>
        <v>1</v>
      </c>
      <c r="F33" s="4">
        <f t="shared" si="2"/>
        <v>0</v>
      </c>
      <c r="G33" s="4">
        <f t="shared" si="3"/>
        <v>26.066</v>
      </c>
      <c r="H33" s="4">
        <f t="shared" si="4"/>
        <v>25.0415</v>
      </c>
      <c r="I33" s="4" t="str">
        <f t="shared" si="5"/>
        <v> </v>
      </c>
      <c r="J33" s="4">
        <v>1.3</v>
      </c>
      <c r="K33" s="4">
        <v>14.2</v>
      </c>
      <c r="L33" s="4">
        <f t="shared" si="6"/>
        <v>8</v>
      </c>
      <c r="M33" s="4">
        <f t="shared" si="7"/>
        <v>1</v>
      </c>
      <c r="N33" s="4">
        <f t="shared" si="8"/>
        <v>2.1264</v>
      </c>
      <c r="O33" s="4">
        <f t="shared" si="9"/>
        <v>1.3</v>
      </c>
      <c r="P33" s="4">
        <f t="shared" si="10"/>
        <v>14.2</v>
      </c>
    </row>
    <row r="34" ht="15.75" customHeight="1">
      <c r="A34" s="4">
        <v>1993.0</v>
      </c>
      <c r="B34" s="4">
        <v>184.0</v>
      </c>
      <c r="C34" s="4">
        <v>11.0</v>
      </c>
      <c r="D34" s="4">
        <v>21.1</v>
      </c>
      <c r="E34" s="4">
        <f t="shared" si="1"/>
        <v>0</v>
      </c>
      <c r="F34" s="4">
        <f t="shared" si="2"/>
        <v>0</v>
      </c>
      <c r="G34" s="4">
        <f t="shared" si="3"/>
        <v>24.136</v>
      </c>
      <c r="H34" s="4">
        <f t="shared" si="4"/>
        <v>23.036</v>
      </c>
      <c r="I34" s="4" t="str">
        <f t="shared" si="5"/>
        <v> </v>
      </c>
      <c r="K34" s="4">
        <v>15.4</v>
      </c>
      <c r="L34" s="4">
        <f t="shared" si="6"/>
        <v>3</v>
      </c>
      <c r="M34" s="4">
        <f t="shared" si="7"/>
        <v>1</v>
      </c>
      <c r="N34" s="4">
        <f t="shared" si="8"/>
        <v>2.3129</v>
      </c>
      <c r="O34" s="4" t="str">
        <f t="shared" si="9"/>
        <v/>
      </c>
      <c r="P34" s="4">
        <f t="shared" si="10"/>
        <v>15.4</v>
      </c>
    </row>
    <row r="35" ht="15.75" customHeight="1">
      <c r="A35" s="4">
        <v>1993.0</v>
      </c>
      <c r="B35" s="4">
        <v>185.0</v>
      </c>
      <c r="C35" s="4">
        <v>12.3</v>
      </c>
      <c r="D35" s="4">
        <v>21.1</v>
      </c>
      <c r="E35" s="4">
        <f t="shared" si="1"/>
        <v>1</v>
      </c>
      <c r="F35" s="4">
        <f t="shared" si="2"/>
        <v>1</v>
      </c>
      <c r="G35" s="4">
        <f t="shared" si="3"/>
        <v>25.926</v>
      </c>
      <c r="H35" s="4">
        <f t="shared" si="4"/>
        <v>26.0745</v>
      </c>
      <c r="I35" s="4">
        <f t="shared" si="5"/>
        <v>0.1485</v>
      </c>
      <c r="J35" s="4">
        <v>3.1</v>
      </c>
      <c r="K35" s="4">
        <v>16.8</v>
      </c>
      <c r="L35" s="4">
        <f t="shared" si="6"/>
        <v>8</v>
      </c>
      <c r="M35" s="4">
        <f t="shared" si="7"/>
        <v>0</v>
      </c>
      <c r="N35" s="4">
        <f t="shared" si="8"/>
        <v>-4.1223</v>
      </c>
      <c r="O35" s="4">
        <f t="shared" si="9"/>
        <v>3.1</v>
      </c>
      <c r="P35" s="4">
        <f t="shared" si="10"/>
        <v>16.8</v>
      </c>
    </row>
    <row r="36" ht="15.75" customHeight="1">
      <c r="A36" s="4">
        <v>1993.0</v>
      </c>
      <c r="B36" s="4">
        <v>186.0</v>
      </c>
      <c r="C36" s="4">
        <v>12.5</v>
      </c>
      <c r="D36" s="4">
        <v>21.9</v>
      </c>
      <c r="E36" s="4">
        <f t="shared" si="1"/>
        <v>0</v>
      </c>
      <c r="F36" s="4">
        <f t="shared" si="2"/>
        <v>0</v>
      </c>
      <c r="G36" s="4">
        <f t="shared" si="3"/>
        <v>24.476</v>
      </c>
      <c r="H36" s="4">
        <f t="shared" si="4"/>
        <v>23.8485</v>
      </c>
      <c r="I36" s="4" t="str">
        <f t="shared" si="5"/>
        <v> </v>
      </c>
      <c r="K36" s="4">
        <v>17.2</v>
      </c>
      <c r="L36" s="4">
        <f t="shared" si="6"/>
        <v>3</v>
      </c>
      <c r="M36" s="4">
        <f t="shared" si="7"/>
        <v>0</v>
      </c>
      <c r="N36" s="4">
        <f t="shared" si="8"/>
        <v>-3.3824</v>
      </c>
      <c r="O36" s="4" t="str">
        <f t="shared" si="9"/>
        <v/>
      </c>
      <c r="P36" s="4">
        <f t="shared" si="10"/>
        <v>17.2</v>
      </c>
    </row>
    <row r="37" ht="15.75" customHeight="1">
      <c r="A37" s="4">
        <v>1993.0</v>
      </c>
      <c r="B37" s="4">
        <v>187.0</v>
      </c>
      <c r="C37" s="4">
        <v>11.6</v>
      </c>
      <c r="D37" s="4">
        <v>21.7</v>
      </c>
      <c r="E37" s="4">
        <f t="shared" si="1"/>
        <v>0</v>
      </c>
      <c r="F37" s="4">
        <f t="shared" si="2"/>
        <v>0</v>
      </c>
      <c r="G37" s="4">
        <f t="shared" si="3"/>
        <v>25.242</v>
      </c>
      <c r="H37" s="4">
        <f t="shared" si="4"/>
        <v>24.7325</v>
      </c>
      <c r="I37" s="4" t="str">
        <f t="shared" si="5"/>
        <v> </v>
      </c>
      <c r="K37" s="4">
        <v>17.4</v>
      </c>
      <c r="L37" s="4">
        <f t="shared" si="6"/>
        <v>3</v>
      </c>
      <c r="M37" s="4">
        <f t="shared" si="7"/>
        <v>1</v>
      </c>
      <c r="N37" s="4">
        <f t="shared" si="8"/>
        <v>5.861</v>
      </c>
      <c r="O37" s="4" t="str">
        <f t="shared" si="9"/>
        <v/>
      </c>
      <c r="P37" s="4">
        <f t="shared" si="10"/>
        <v>17.4</v>
      </c>
    </row>
    <row r="38" ht="15.75" customHeight="1">
      <c r="A38" s="4">
        <v>1993.0</v>
      </c>
      <c r="B38" s="4">
        <v>188.0</v>
      </c>
      <c r="C38" s="4">
        <v>10.5</v>
      </c>
      <c r="D38" s="4">
        <v>18.3</v>
      </c>
      <c r="E38" s="4">
        <f t="shared" si="1"/>
        <v>1</v>
      </c>
      <c r="F38" s="4">
        <f t="shared" si="2"/>
        <v>1</v>
      </c>
      <c r="G38" s="4">
        <f t="shared" si="3"/>
        <v>21.817</v>
      </c>
      <c r="H38" s="4">
        <f t="shared" si="4"/>
        <v>23.046</v>
      </c>
      <c r="I38" s="4">
        <f t="shared" si="5"/>
        <v>1.229</v>
      </c>
      <c r="J38" s="4">
        <v>1.8</v>
      </c>
      <c r="K38" s="4">
        <v>14.9</v>
      </c>
      <c r="L38" s="4">
        <f t="shared" si="6"/>
        <v>8</v>
      </c>
      <c r="M38" s="4">
        <f t="shared" si="7"/>
        <v>1</v>
      </c>
      <c r="N38" s="4">
        <f t="shared" si="8"/>
        <v>10.2778</v>
      </c>
      <c r="O38" s="4">
        <f t="shared" si="9"/>
        <v>1.8</v>
      </c>
      <c r="P38" s="4">
        <f t="shared" si="10"/>
        <v>14.9</v>
      </c>
    </row>
    <row r="39" ht="15.75" customHeight="1">
      <c r="A39" s="4">
        <v>1993.0</v>
      </c>
      <c r="B39" s="4">
        <v>189.0</v>
      </c>
      <c r="C39" s="4">
        <v>8.9</v>
      </c>
      <c r="D39" s="4">
        <v>17.4</v>
      </c>
      <c r="E39" s="4">
        <f t="shared" si="1"/>
        <v>1</v>
      </c>
      <c r="F39" s="4">
        <f t="shared" si="2"/>
        <v>0</v>
      </c>
      <c r="G39" s="4">
        <f t="shared" si="3"/>
        <v>20.66</v>
      </c>
      <c r="H39" s="4">
        <f t="shared" si="4"/>
        <v>20.5225</v>
      </c>
      <c r="I39" s="4" t="str">
        <f t="shared" si="5"/>
        <v> </v>
      </c>
      <c r="J39" s="4">
        <v>1.8</v>
      </c>
      <c r="K39" s="4">
        <v>12.4</v>
      </c>
      <c r="L39" s="4">
        <f t="shared" si="6"/>
        <v>8</v>
      </c>
      <c r="M39" s="4">
        <f t="shared" si="7"/>
        <v>1</v>
      </c>
      <c r="N39" s="4">
        <f t="shared" si="8"/>
        <v>6.9073</v>
      </c>
      <c r="O39" s="4">
        <f t="shared" si="9"/>
        <v>1.8</v>
      </c>
      <c r="P39" s="4">
        <f t="shared" si="10"/>
        <v>12.4</v>
      </c>
    </row>
    <row r="40" ht="15.75" customHeight="1">
      <c r="A40" s="4">
        <v>1993.0</v>
      </c>
      <c r="B40" s="4">
        <v>190.0</v>
      </c>
      <c r="C40" s="4">
        <v>8.5</v>
      </c>
      <c r="D40" s="4">
        <v>17.9</v>
      </c>
      <c r="E40" s="4">
        <f t="shared" si="1"/>
        <v>1</v>
      </c>
      <c r="F40" s="4">
        <f t="shared" si="2"/>
        <v>0</v>
      </c>
      <c r="G40" s="4">
        <f t="shared" si="3"/>
        <v>20.128</v>
      </c>
      <c r="H40" s="4">
        <f t="shared" si="4"/>
        <v>19.6785</v>
      </c>
      <c r="I40" s="4" t="str">
        <f t="shared" si="5"/>
        <v> </v>
      </c>
      <c r="J40" s="4">
        <v>0.4</v>
      </c>
      <c r="K40" s="4">
        <v>13.2</v>
      </c>
      <c r="L40" s="4">
        <f t="shared" si="6"/>
        <v>8</v>
      </c>
      <c r="M40" s="4">
        <f t="shared" si="7"/>
        <v>0</v>
      </c>
      <c r="N40" s="4">
        <f t="shared" si="8"/>
        <v>-2.2739</v>
      </c>
      <c r="O40" s="4">
        <f t="shared" si="9"/>
        <v>0.4</v>
      </c>
      <c r="P40" s="4">
        <f t="shared" si="10"/>
        <v>13.2</v>
      </c>
    </row>
    <row r="41" ht="15.75" customHeight="1">
      <c r="A41" s="4">
        <v>1993.0</v>
      </c>
      <c r="B41" s="4">
        <v>191.0</v>
      </c>
      <c r="C41" s="4">
        <v>10.4</v>
      </c>
      <c r="D41" s="4">
        <v>19.3</v>
      </c>
      <c r="E41" s="4">
        <f t="shared" si="1"/>
        <v>0</v>
      </c>
      <c r="F41" s="4">
        <f t="shared" si="2"/>
        <v>0</v>
      </c>
      <c r="G41" s="4">
        <f t="shared" si="3"/>
        <v>19.366</v>
      </c>
      <c r="H41" s="4">
        <f t="shared" si="4"/>
        <v>18.302</v>
      </c>
      <c r="I41" s="4" t="str">
        <f t="shared" si="5"/>
        <v> </v>
      </c>
      <c r="K41" s="4">
        <v>14.9</v>
      </c>
      <c r="L41" s="4">
        <f t="shared" si="6"/>
        <v>3</v>
      </c>
      <c r="M41" s="4">
        <f t="shared" si="7"/>
        <v>0</v>
      </c>
      <c r="N41" s="4">
        <f t="shared" si="8"/>
        <v>-6.2947</v>
      </c>
      <c r="O41" s="4" t="str">
        <f t="shared" si="9"/>
        <v/>
      </c>
      <c r="P41" s="4">
        <f t="shared" si="10"/>
        <v>14.9</v>
      </c>
    </row>
    <row r="42" ht="15.75" customHeight="1">
      <c r="A42" s="4">
        <v>1993.0</v>
      </c>
      <c r="B42" s="4">
        <v>192.0</v>
      </c>
      <c r="C42" s="4">
        <v>11.1</v>
      </c>
      <c r="D42" s="4">
        <v>16.4</v>
      </c>
      <c r="E42" s="4">
        <f t="shared" si="1"/>
        <v>0</v>
      </c>
      <c r="F42" s="4">
        <f t="shared" si="2"/>
        <v>0</v>
      </c>
      <c r="G42" s="4">
        <f t="shared" si="3"/>
        <v>22.048</v>
      </c>
      <c r="H42" s="4">
        <f t="shared" si="4"/>
        <v>21.59</v>
      </c>
      <c r="I42" s="4" t="str">
        <f t="shared" si="5"/>
        <v> </v>
      </c>
      <c r="K42" s="4">
        <v>13.2</v>
      </c>
      <c r="L42" s="4">
        <f t="shared" si="6"/>
        <v>3</v>
      </c>
      <c r="M42" s="4">
        <f t="shared" si="7"/>
        <v>0</v>
      </c>
      <c r="N42" s="4">
        <f t="shared" si="8"/>
        <v>-1.9195</v>
      </c>
      <c r="O42" s="4" t="str">
        <f t="shared" si="9"/>
        <v/>
      </c>
      <c r="P42" s="4">
        <f t="shared" si="10"/>
        <v>13.2</v>
      </c>
    </row>
    <row r="43" ht="15.75" customHeight="1">
      <c r="A43" s="4">
        <v>1993.0</v>
      </c>
      <c r="B43" s="4">
        <v>193.0</v>
      </c>
      <c r="C43" s="4">
        <v>10.7</v>
      </c>
      <c r="D43" s="4">
        <v>19.4</v>
      </c>
      <c r="E43" s="4">
        <f t="shared" si="1"/>
        <v>0</v>
      </c>
      <c r="F43" s="4">
        <f t="shared" si="2"/>
        <v>1</v>
      </c>
      <c r="G43" s="4">
        <f t="shared" si="3"/>
        <v>26.04</v>
      </c>
      <c r="H43" s="4">
        <f t="shared" si="4"/>
        <v>27.2935</v>
      </c>
      <c r="I43" s="4">
        <f t="shared" si="5"/>
        <v>1.2535</v>
      </c>
      <c r="K43" s="4">
        <v>14.9</v>
      </c>
      <c r="L43" s="4">
        <f t="shared" si="6"/>
        <v>3</v>
      </c>
      <c r="M43" s="4">
        <f t="shared" si="7"/>
        <v>1</v>
      </c>
      <c r="N43" s="4">
        <f t="shared" si="8"/>
        <v>8.5754</v>
      </c>
      <c r="O43" s="4" t="str">
        <f t="shared" si="9"/>
        <v/>
      </c>
      <c r="P43" s="4">
        <f t="shared" si="10"/>
        <v>14.9</v>
      </c>
    </row>
    <row r="44" ht="15.75" customHeight="1">
      <c r="A44" s="4">
        <v>1993.0</v>
      </c>
      <c r="B44" s="4">
        <v>194.0</v>
      </c>
      <c r="C44" s="4">
        <v>10.4</v>
      </c>
      <c r="D44" s="4">
        <v>20.4</v>
      </c>
      <c r="E44" s="4">
        <f t="shared" si="1"/>
        <v>1</v>
      </c>
      <c r="F44" s="4">
        <f t="shared" si="2"/>
        <v>1</v>
      </c>
      <c r="G44" s="4">
        <f t="shared" si="3"/>
        <v>31.772</v>
      </c>
      <c r="H44" s="4">
        <f t="shared" si="4"/>
        <v>34.5795</v>
      </c>
      <c r="I44" s="4">
        <f t="shared" si="5"/>
        <v>2.8075</v>
      </c>
      <c r="J44" s="4">
        <v>0.2</v>
      </c>
      <c r="K44" s="4">
        <v>15.3</v>
      </c>
      <c r="L44" s="4">
        <f t="shared" si="6"/>
        <v>8</v>
      </c>
      <c r="M44" s="4">
        <f t="shared" si="7"/>
        <v>1</v>
      </c>
      <c r="N44" s="4">
        <f t="shared" si="8"/>
        <v>9.8043</v>
      </c>
      <c r="O44" s="4">
        <f t="shared" si="9"/>
        <v>0.2</v>
      </c>
      <c r="P44" s="4">
        <f t="shared" si="10"/>
        <v>15.3</v>
      </c>
    </row>
    <row r="45" ht="15.75" customHeight="1">
      <c r="A45" s="4">
        <v>1993.0</v>
      </c>
      <c r="B45" s="4">
        <v>195.0</v>
      </c>
      <c r="C45" s="4">
        <v>13.2</v>
      </c>
      <c r="D45" s="4">
        <v>18.2</v>
      </c>
      <c r="E45" s="4">
        <f t="shared" si="1"/>
        <v>1</v>
      </c>
      <c r="F45" s="4">
        <f t="shared" si="2"/>
        <v>1</v>
      </c>
      <c r="G45" s="4">
        <f t="shared" si="3"/>
        <v>31.528</v>
      </c>
      <c r="H45" s="4">
        <f t="shared" si="4"/>
        <v>34.491</v>
      </c>
      <c r="I45" s="4">
        <f t="shared" si="5"/>
        <v>2.963</v>
      </c>
      <c r="J45" s="4">
        <v>4.5</v>
      </c>
      <c r="K45" s="4">
        <v>15.4</v>
      </c>
      <c r="L45" s="4">
        <f t="shared" si="6"/>
        <v>8</v>
      </c>
      <c r="M45" s="4">
        <f t="shared" si="7"/>
        <v>1</v>
      </c>
      <c r="N45" s="4">
        <f t="shared" si="8"/>
        <v>11.4827</v>
      </c>
      <c r="O45" s="4">
        <f t="shared" si="9"/>
        <v>4.5</v>
      </c>
      <c r="P45" s="4">
        <f t="shared" si="10"/>
        <v>15.4</v>
      </c>
    </row>
    <row r="46" ht="15.75" customHeight="1">
      <c r="A46" s="4">
        <v>1993.0</v>
      </c>
      <c r="B46" s="4">
        <v>196.0</v>
      </c>
      <c r="C46" s="4">
        <v>10.3</v>
      </c>
      <c r="D46" s="4">
        <v>20.1</v>
      </c>
      <c r="E46" s="4">
        <f t="shared" si="1"/>
        <v>1</v>
      </c>
      <c r="F46" s="4">
        <f t="shared" si="2"/>
        <v>1</v>
      </c>
      <c r="G46" s="4">
        <f t="shared" si="3"/>
        <v>33.271</v>
      </c>
      <c r="H46" s="4">
        <f t="shared" si="4"/>
        <v>36.031</v>
      </c>
      <c r="I46" s="4">
        <f t="shared" si="5"/>
        <v>2.76</v>
      </c>
      <c r="J46" s="4">
        <v>3.6</v>
      </c>
      <c r="K46" s="4">
        <v>14.9</v>
      </c>
      <c r="L46" s="4">
        <f t="shared" si="6"/>
        <v>8</v>
      </c>
      <c r="M46" s="4">
        <f t="shared" si="7"/>
        <v>1</v>
      </c>
      <c r="N46" s="4">
        <f t="shared" si="8"/>
        <v>10.4155</v>
      </c>
      <c r="O46" s="4">
        <f t="shared" si="9"/>
        <v>3.6</v>
      </c>
      <c r="P46" s="4">
        <f t="shared" si="10"/>
        <v>14.9</v>
      </c>
    </row>
    <row r="47" ht="15.75" customHeight="1">
      <c r="A47" s="4">
        <v>1993.0</v>
      </c>
      <c r="B47" s="4">
        <v>197.0</v>
      </c>
      <c r="C47" s="4">
        <v>12.1</v>
      </c>
      <c r="D47" s="4">
        <v>20.7</v>
      </c>
      <c r="E47" s="4">
        <f t="shared" si="1"/>
        <v>1</v>
      </c>
      <c r="F47" s="4">
        <f t="shared" si="2"/>
        <v>1</v>
      </c>
      <c r="G47" s="4">
        <f t="shared" si="3"/>
        <v>35.204</v>
      </c>
      <c r="H47" s="4">
        <f t="shared" si="4"/>
        <v>36.073</v>
      </c>
      <c r="I47" s="4">
        <f t="shared" si="5"/>
        <v>0.869</v>
      </c>
      <c r="J47" s="4">
        <v>0.5</v>
      </c>
      <c r="K47" s="4">
        <v>16.0</v>
      </c>
      <c r="L47" s="4">
        <f t="shared" si="6"/>
        <v>8</v>
      </c>
      <c r="M47" s="4">
        <f t="shared" si="7"/>
        <v>1</v>
      </c>
      <c r="N47" s="4">
        <f t="shared" si="8"/>
        <v>10.4866</v>
      </c>
      <c r="O47" s="4">
        <f t="shared" si="9"/>
        <v>0.5</v>
      </c>
      <c r="P47" s="4">
        <f t="shared" si="10"/>
        <v>16</v>
      </c>
    </row>
    <row r="48" ht="15.75" customHeight="1">
      <c r="A48" s="4">
        <v>1993.0</v>
      </c>
      <c r="B48" s="4">
        <v>198.0</v>
      </c>
      <c r="C48" s="4">
        <v>12.2</v>
      </c>
      <c r="D48" s="4">
        <v>23.1</v>
      </c>
      <c r="E48" s="4">
        <f t="shared" si="1"/>
        <v>1</v>
      </c>
      <c r="F48" s="4">
        <f t="shared" si="2"/>
        <v>1</v>
      </c>
      <c r="G48" s="4">
        <f t="shared" si="3"/>
        <v>34.75</v>
      </c>
      <c r="H48" s="4">
        <f t="shared" si="4"/>
        <v>36.407</v>
      </c>
      <c r="I48" s="4">
        <f t="shared" si="5"/>
        <v>1.657</v>
      </c>
      <c r="J48" s="4">
        <v>1.7</v>
      </c>
      <c r="K48" s="4">
        <v>16.2</v>
      </c>
      <c r="L48" s="4">
        <f t="shared" si="6"/>
        <v>8</v>
      </c>
      <c r="M48" s="4">
        <f t="shared" si="7"/>
        <v>1</v>
      </c>
      <c r="N48" s="4">
        <f t="shared" si="8"/>
        <v>9.1486</v>
      </c>
      <c r="O48" s="4">
        <f t="shared" si="9"/>
        <v>1.7</v>
      </c>
      <c r="P48" s="4">
        <f t="shared" si="10"/>
        <v>16.2</v>
      </c>
    </row>
    <row r="49" ht="15.75" customHeight="1">
      <c r="A49" s="4">
        <v>1993.0</v>
      </c>
      <c r="B49" s="4">
        <v>199.0</v>
      </c>
      <c r="C49" s="4">
        <v>13.0</v>
      </c>
      <c r="D49" s="4">
        <v>21.7</v>
      </c>
      <c r="E49" s="4">
        <f t="shared" si="1"/>
        <v>1</v>
      </c>
      <c r="F49" s="4">
        <f t="shared" si="2"/>
        <v>0</v>
      </c>
      <c r="G49" s="4">
        <f t="shared" si="3"/>
        <v>37.449</v>
      </c>
      <c r="H49" s="4">
        <f t="shared" si="4"/>
        <v>37.1715</v>
      </c>
      <c r="I49" s="4" t="str">
        <f t="shared" si="5"/>
        <v> </v>
      </c>
      <c r="J49" s="4">
        <v>19.5</v>
      </c>
      <c r="K49" s="4">
        <v>16.0</v>
      </c>
      <c r="L49" s="4">
        <f t="shared" si="6"/>
        <v>8</v>
      </c>
      <c r="M49" s="4">
        <f t="shared" si="7"/>
        <v>1</v>
      </c>
      <c r="N49" s="4">
        <f t="shared" si="8"/>
        <v>5.4705</v>
      </c>
      <c r="O49" s="4">
        <f t="shared" si="9"/>
        <v>19.5</v>
      </c>
      <c r="P49" s="4">
        <f t="shared" si="10"/>
        <v>16</v>
      </c>
    </row>
    <row r="50" ht="15.75" customHeight="1">
      <c r="A50" s="4">
        <v>1993.0</v>
      </c>
      <c r="B50" s="4">
        <v>200.0</v>
      </c>
      <c r="C50" s="4">
        <v>11.6</v>
      </c>
      <c r="D50" s="4">
        <v>22.3</v>
      </c>
      <c r="E50" s="4">
        <f t="shared" si="1"/>
        <v>1</v>
      </c>
      <c r="F50" s="4">
        <f t="shared" si="2"/>
        <v>0</v>
      </c>
      <c r="G50" s="4">
        <f t="shared" si="3"/>
        <v>37.518</v>
      </c>
      <c r="H50" s="4">
        <f t="shared" si="4"/>
        <v>36.4605</v>
      </c>
      <c r="I50" s="4" t="str">
        <f t="shared" si="5"/>
        <v> </v>
      </c>
      <c r="J50" s="4">
        <v>2.9</v>
      </c>
      <c r="K50" s="4">
        <v>17.3</v>
      </c>
      <c r="L50" s="4">
        <f t="shared" si="6"/>
        <v>8</v>
      </c>
      <c r="M50" s="4">
        <f t="shared" si="7"/>
        <v>1</v>
      </c>
      <c r="N50" s="4">
        <f t="shared" si="8"/>
        <v>0.5744</v>
      </c>
      <c r="O50" s="4">
        <f t="shared" si="9"/>
        <v>2.9</v>
      </c>
      <c r="P50" s="4">
        <f t="shared" si="10"/>
        <v>17.3</v>
      </c>
    </row>
    <row r="51" ht="15.75" customHeight="1">
      <c r="A51" s="4">
        <v>1993.0</v>
      </c>
      <c r="B51" s="4">
        <v>201.0</v>
      </c>
      <c r="C51" s="4">
        <v>12.6</v>
      </c>
      <c r="D51" s="4">
        <v>23.8</v>
      </c>
      <c r="E51" s="4">
        <f t="shared" si="1"/>
        <v>0</v>
      </c>
      <c r="F51" s="4">
        <f t="shared" si="2"/>
        <v>0</v>
      </c>
      <c r="G51" s="4">
        <f t="shared" si="3"/>
        <v>36.555</v>
      </c>
      <c r="H51" s="4">
        <f t="shared" si="4"/>
        <v>34.9815</v>
      </c>
      <c r="I51" s="4" t="str">
        <f t="shared" si="5"/>
        <v> </v>
      </c>
      <c r="K51" s="4">
        <v>18.3</v>
      </c>
      <c r="L51" s="4">
        <f t="shared" si="6"/>
        <v>3</v>
      </c>
      <c r="M51" s="4">
        <f t="shared" si="7"/>
        <v>1</v>
      </c>
      <c r="N51" s="4">
        <f t="shared" si="8"/>
        <v>4.2221</v>
      </c>
      <c r="O51" s="4" t="str">
        <f t="shared" si="9"/>
        <v/>
      </c>
      <c r="P51" s="4">
        <f t="shared" si="10"/>
        <v>18.3</v>
      </c>
    </row>
    <row r="52" ht="15.75" customHeight="1">
      <c r="A52" s="4">
        <v>1993.0</v>
      </c>
      <c r="B52" s="4">
        <v>202.0</v>
      </c>
      <c r="C52" s="4">
        <v>12.9</v>
      </c>
      <c r="D52" s="4">
        <v>22.0</v>
      </c>
      <c r="E52" s="4">
        <f t="shared" si="1"/>
        <v>1</v>
      </c>
      <c r="F52" s="4">
        <f t="shared" si="2"/>
        <v>1</v>
      </c>
      <c r="G52" s="4">
        <f t="shared" si="3"/>
        <v>32.79</v>
      </c>
      <c r="H52" s="4">
        <f t="shared" si="4"/>
        <v>34.021</v>
      </c>
      <c r="I52" s="4">
        <f t="shared" si="5"/>
        <v>1.231</v>
      </c>
      <c r="J52" s="4">
        <v>1.1</v>
      </c>
      <c r="K52" s="4">
        <v>18.0</v>
      </c>
      <c r="L52" s="4">
        <f t="shared" si="6"/>
        <v>8</v>
      </c>
      <c r="M52" s="4">
        <f t="shared" si="7"/>
        <v>1</v>
      </c>
      <c r="N52" s="4">
        <f t="shared" si="8"/>
        <v>0.6289</v>
      </c>
      <c r="O52" s="4">
        <f t="shared" si="9"/>
        <v>1.1</v>
      </c>
      <c r="P52" s="4">
        <f t="shared" si="10"/>
        <v>18</v>
      </c>
    </row>
    <row r="53" ht="15.75" customHeight="1">
      <c r="A53" s="4">
        <v>1993.0</v>
      </c>
      <c r="B53" s="4">
        <v>203.0</v>
      </c>
      <c r="C53" s="4">
        <v>17.9</v>
      </c>
      <c r="D53" s="4">
        <v>27.2</v>
      </c>
      <c r="E53" s="4">
        <f t="shared" si="1"/>
        <v>0</v>
      </c>
      <c r="F53" s="4">
        <f t="shared" si="2"/>
        <v>0</v>
      </c>
      <c r="G53" s="4">
        <f t="shared" si="3"/>
        <v>40.679</v>
      </c>
      <c r="H53" s="4">
        <f t="shared" si="4"/>
        <v>40.514</v>
      </c>
      <c r="I53" s="4" t="str">
        <f t="shared" si="5"/>
        <v> </v>
      </c>
      <c r="K53" s="4">
        <v>21.9</v>
      </c>
      <c r="L53" s="4">
        <f t="shared" si="6"/>
        <v>3</v>
      </c>
      <c r="M53" s="4">
        <f t="shared" si="7"/>
        <v>1</v>
      </c>
      <c r="N53" s="4">
        <f t="shared" si="8"/>
        <v>4.63</v>
      </c>
      <c r="O53" s="4" t="str">
        <f t="shared" si="9"/>
        <v/>
      </c>
      <c r="P53" s="4">
        <f t="shared" si="10"/>
        <v>21.9</v>
      </c>
    </row>
    <row r="54" ht="15.75" customHeight="1">
      <c r="A54" s="4">
        <v>1993.0</v>
      </c>
      <c r="B54" s="4">
        <v>204.0</v>
      </c>
      <c r="C54" s="4">
        <v>16.3</v>
      </c>
      <c r="D54" s="4">
        <v>27.0</v>
      </c>
      <c r="E54" s="4">
        <f t="shared" si="1"/>
        <v>1</v>
      </c>
      <c r="F54" s="4">
        <f t="shared" si="2"/>
        <v>0</v>
      </c>
      <c r="G54" s="4">
        <f t="shared" si="3"/>
        <v>39</v>
      </c>
      <c r="H54" s="4">
        <f t="shared" si="4"/>
        <v>38.2955</v>
      </c>
      <c r="I54" s="4" t="str">
        <f t="shared" si="5"/>
        <v> </v>
      </c>
      <c r="J54" s="4">
        <v>6.6</v>
      </c>
      <c r="K54" s="4">
        <v>21.2</v>
      </c>
      <c r="L54" s="4">
        <f t="shared" si="6"/>
        <v>8</v>
      </c>
      <c r="M54" s="4">
        <f t="shared" si="7"/>
        <v>1</v>
      </c>
      <c r="N54" s="4">
        <f t="shared" si="8"/>
        <v>8.7861</v>
      </c>
      <c r="O54" s="4">
        <f t="shared" si="9"/>
        <v>6.6</v>
      </c>
      <c r="P54" s="4">
        <f t="shared" si="10"/>
        <v>21.2</v>
      </c>
    </row>
    <row r="55" ht="15.75" customHeight="1">
      <c r="A55" s="4">
        <v>1993.0</v>
      </c>
      <c r="B55" s="4">
        <v>205.0</v>
      </c>
      <c r="C55" s="4">
        <v>14.4</v>
      </c>
      <c r="D55" s="4">
        <v>24.7</v>
      </c>
      <c r="E55" s="4">
        <f t="shared" si="1"/>
        <v>1</v>
      </c>
      <c r="F55" s="4">
        <f t="shared" si="2"/>
        <v>1</v>
      </c>
      <c r="G55" s="4">
        <f t="shared" si="3"/>
        <v>36.725</v>
      </c>
      <c r="H55" s="4">
        <f t="shared" si="4"/>
        <v>38.5015</v>
      </c>
      <c r="I55" s="4">
        <f t="shared" si="5"/>
        <v>1.7765</v>
      </c>
      <c r="J55" s="4">
        <v>0.3</v>
      </c>
      <c r="K55" s="4">
        <v>21.1</v>
      </c>
      <c r="L55" s="4">
        <f t="shared" si="6"/>
        <v>8</v>
      </c>
      <c r="M55" s="4">
        <f t="shared" si="7"/>
        <v>1</v>
      </c>
      <c r="N55" s="4">
        <f t="shared" si="8"/>
        <v>10.8352</v>
      </c>
      <c r="O55" s="4">
        <f t="shared" si="9"/>
        <v>0.3</v>
      </c>
      <c r="P55" s="4">
        <f t="shared" si="10"/>
        <v>21.1</v>
      </c>
    </row>
    <row r="56" ht="15.75" customHeight="1">
      <c r="A56" s="4">
        <v>1993.0</v>
      </c>
      <c r="B56" s="4">
        <v>206.0</v>
      </c>
      <c r="C56" s="4">
        <v>12.4</v>
      </c>
      <c r="D56" s="4">
        <v>15.8</v>
      </c>
      <c r="E56" s="4">
        <f t="shared" si="1"/>
        <v>1</v>
      </c>
      <c r="F56" s="4">
        <f t="shared" si="2"/>
        <v>1</v>
      </c>
      <c r="G56" s="4">
        <f t="shared" si="3"/>
        <v>30.176</v>
      </c>
      <c r="H56" s="4">
        <f t="shared" si="4"/>
        <v>31.3955</v>
      </c>
      <c r="I56" s="4">
        <f t="shared" si="5"/>
        <v>1.2195</v>
      </c>
      <c r="J56" s="4">
        <v>1.1</v>
      </c>
      <c r="K56" s="4">
        <v>13.9</v>
      </c>
      <c r="L56" s="4">
        <f t="shared" si="6"/>
        <v>8</v>
      </c>
      <c r="M56" s="4">
        <f t="shared" si="7"/>
        <v>1</v>
      </c>
      <c r="N56" s="4">
        <f t="shared" si="8"/>
        <v>7.3842</v>
      </c>
      <c r="O56" s="4">
        <f t="shared" si="9"/>
        <v>1.1</v>
      </c>
      <c r="P56" s="4">
        <f t="shared" si="10"/>
        <v>13.9</v>
      </c>
    </row>
    <row r="57" ht="15.75" customHeight="1">
      <c r="A57" s="4">
        <v>1993.0</v>
      </c>
      <c r="B57" s="4">
        <v>207.0</v>
      </c>
      <c r="C57" s="4">
        <v>13.3</v>
      </c>
      <c r="D57" s="4">
        <v>24.6</v>
      </c>
      <c r="E57" s="4">
        <f t="shared" si="1"/>
        <v>1</v>
      </c>
      <c r="F57" s="4">
        <f t="shared" si="2"/>
        <v>0</v>
      </c>
      <c r="G57" s="4">
        <f t="shared" si="3"/>
        <v>34.822</v>
      </c>
      <c r="H57" s="4">
        <f t="shared" si="4"/>
        <v>34.042</v>
      </c>
      <c r="I57" s="4" t="str">
        <f t="shared" si="5"/>
        <v> </v>
      </c>
      <c r="J57" s="4">
        <v>18.0</v>
      </c>
      <c r="K57" s="4">
        <v>18.1</v>
      </c>
      <c r="L57" s="4">
        <f t="shared" si="6"/>
        <v>8</v>
      </c>
      <c r="M57" s="4">
        <f t="shared" si="7"/>
        <v>1</v>
      </c>
      <c r="N57" s="4">
        <f t="shared" si="8"/>
        <v>2.2248</v>
      </c>
      <c r="O57" s="4">
        <f t="shared" si="9"/>
        <v>18</v>
      </c>
      <c r="P57" s="4">
        <f t="shared" si="10"/>
        <v>18.1</v>
      </c>
    </row>
    <row r="58" ht="15.75" customHeight="1">
      <c r="A58" s="4">
        <v>1993.0</v>
      </c>
      <c r="B58" s="4">
        <v>208.0</v>
      </c>
      <c r="C58" s="4">
        <v>14.5</v>
      </c>
      <c r="D58" s="4">
        <v>22.3</v>
      </c>
      <c r="E58" s="4">
        <f t="shared" si="1"/>
        <v>0</v>
      </c>
      <c r="F58" s="4">
        <f t="shared" si="2"/>
        <v>0</v>
      </c>
      <c r="G58" s="4">
        <f t="shared" si="3"/>
        <v>30.305</v>
      </c>
      <c r="H58" s="4">
        <f t="shared" si="4"/>
        <v>29.7225</v>
      </c>
      <c r="I58" s="4" t="str">
        <f t="shared" si="5"/>
        <v> </v>
      </c>
      <c r="K58" s="4">
        <v>19.0</v>
      </c>
      <c r="L58" s="4">
        <f t="shared" si="6"/>
        <v>3</v>
      </c>
      <c r="M58" s="4">
        <f t="shared" si="7"/>
        <v>1</v>
      </c>
      <c r="N58" s="4">
        <f t="shared" si="8"/>
        <v>6.7262</v>
      </c>
      <c r="O58" s="4" t="str">
        <f t="shared" si="9"/>
        <v/>
      </c>
      <c r="P58" s="4">
        <f t="shared" si="10"/>
        <v>19</v>
      </c>
    </row>
    <row r="59" ht="15.75" customHeight="1">
      <c r="A59" s="4">
        <v>1993.0</v>
      </c>
      <c r="B59" s="4">
        <v>209.0</v>
      </c>
      <c r="C59" s="4">
        <v>16.9</v>
      </c>
      <c r="D59" s="4">
        <v>24.8</v>
      </c>
      <c r="E59" s="4">
        <f t="shared" si="1"/>
        <v>1</v>
      </c>
      <c r="F59" s="4">
        <f t="shared" si="2"/>
        <v>1</v>
      </c>
      <c r="G59" s="4">
        <f t="shared" si="3"/>
        <v>34.343</v>
      </c>
      <c r="H59" s="4">
        <f t="shared" si="4"/>
        <v>34.947</v>
      </c>
      <c r="I59" s="4">
        <f t="shared" si="5"/>
        <v>0.604</v>
      </c>
      <c r="J59" s="4">
        <v>5.0</v>
      </c>
      <c r="K59" s="4">
        <v>20.1</v>
      </c>
      <c r="L59" s="4">
        <f t="shared" si="6"/>
        <v>8</v>
      </c>
      <c r="M59" s="4">
        <f t="shared" si="7"/>
        <v>1</v>
      </c>
      <c r="N59" s="4">
        <f t="shared" si="8"/>
        <v>6.9827</v>
      </c>
      <c r="O59" s="4">
        <f t="shared" si="9"/>
        <v>5</v>
      </c>
      <c r="P59" s="4">
        <f t="shared" si="10"/>
        <v>20.1</v>
      </c>
    </row>
    <row r="60" ht="15.75" customHeight="1">
      <c r="A60" s="4">
        <v>1993.0</v>
      </c>
      <c r="B60" s="4">
        <v>210.0</v>
      </c>
      <c r="C60" s="4">
        <v>15.0</v>
      </c>
      <c r="D60" s="4">
        <v>21.7</v>
      </c>
      <c r="E60" s="4">
        <f t="shared" si="1"/>
        <v>1</v>
      </c>
      <c r="F60" s="4">
        <f t="shared" si="2"/>
        <v>1</v>
      </c>
      <c r="G60" s="4">
        <f t="shared" si="3"/>
        <v>31.71</v>
      </c>
      <c r="H60" s="4">
        <f t="shared" si="4"/>
        <v>32.2755</v>
      </c>
      <c r="I60" s="4">
        <f t="shared" si="5"/>
        <v>0.5655</v>
      </c>
      <c r="J60" s="4">
        <v>6.6</v>
      </c>
      <c r="K60" s="4">
        <v>18.0</v>
      </c>
      <c r="L60" s="4">
        <f t="shared" si="6"/>
        <v>8</v>
      </c>
      <c r="M60" s="4">
        <f t="shared" si="7"/>
        <v>1</v>
      </c>
      <c r="N60" s="4">
        <f t="shared" si="8"/>
        <v>2.252</v>
      </c>
      <c r="O60" s="4">
        <f t="shared" si="9"/>
        <v>6.6</v>
      </c>
      <c r="P60" s="4">
        <f t="shared" si="10"/>
        <v>18</v>
      </c>
    </row>
    <row r="61" ht="15.75" customHeight="1">
      <c r="A61" s="4">
        <v>1993.0</v>
      </c>
      <c r="B61" s="4">
        <v>211.0</v>
      </c>
      <c r="C61" s="4">
        <v>16.3</v>
      </c>
      <c r="D61" s="4">
        <v>21.2</v>
      </c>
      <c r="E61" s="4">
        <f t="shared" si="1"/>
        <v>0</v>
      </c>
      <c r="F61" s="4">
        <f t="shared" si="2"/>
        <v>1</v>
      </c>
      <c r="G61" s="4">
        <f t="shared" si="3"/>
        <v>29.116</v>
      </c>
      <c r="H61" s="4">
        <f t="shared" si="4"/>
        <v>29.5965</v>
      </c>
      <c r="I61" s="4">
        <f t="shared" si="5"/>
        <v>0.4805</v>
      </c>
      <c r="K61" s="4">
        <v>18.1</v>
      </c>
      <c r="L61" s="4">
        <f t="shared" si="6"/>
        <v>3</v>
      </c>
      <c r="M61" s="4">
        <f t="shared" si="7"/>
        <v>1</v>
      </c>
      <c r="N61" s="4">
        <f t="shared" si="8"/>
        <v>8.4311</v>
      </c>
      <c r="O61" s="4" t="str">
        <f t="shared" si="9"/>
        <v/>
      </c>
      <c r="P61" s="4">
        <f t="shared" si="10"/>
        <v>18.1</v>
      </c>
    </row>
    <row r="62" ht="15.75" customHeight="1">
      <c r="A62" s="4">
        <v>1993.0</v>
      </c>
      <c r="B62" s="4">
        <v>212.0</v>
      </c>
      <c r="C62" s="4">
        <v>15.2</v>
      </c>
      <c r="D62" s="4">
        <v>20.1</v>
      </c>
      <c r="E62" s="4">
        <f t="shared" si="1"/>
        <v>1</v>
      </c>
      <c r="F62" s="4">
        <f t="shared" si="2"/>
        <v>1</v>
      </c>
      <c r="G62" s="4">
        <f t="shared" si="3"/>
        <v>32.411</v>
      </c>
      <c r="H62" s="4">
        <f t="shared" si="4"/>
        <v>33.2795</v>
      </c>
      <c r="I62" s="4">
        <f t="shared" si="5"/>
        <v>0.8685</v>
      </c>
      <c r="J62" s="4">
        <v>12.2</v>
      </c>
      <c r="K62" s="4">
        <v>17.1</v>
      </c>
      <c r="L62" s="4">
        <f t="shared" si="6"/>
        <v>8</v>
      </c>
      <c r="M62" s="4">
        <f t="shared" si="7"/>
        <v>1</v>
      </c>
      <c r="N62" s="4">
        <f t="shared" si="8"/>
        <v>11.4297</v>
      </c>
      <c r="O62" s="4">
        <f t="shared" si="9"/>
        <v>12.2</v>
      </c>
      <c r="P62" s="4">
        <f t="shared" si="10"/>
        <v>17.1</v>
      </c>
    </row>
    <row r="63" ht="15.75" customHeight="1">
      <c r="A63" s="4">
        <v>1993.0</v>
      </c>
      <c r="B63" s="4">
        <v>213.0</v>
      </c>
      <c r="C63" s="4">
        <v>15.3</v>
      </c>
      <c r="D63" s="4">
        <v>21.0</v>
      </c>
      <c r="E63" s="4">
        <f t="shared" si="1"/>
        <v>1</v>
      </c>
      <c r="F63" s="4">
        <f t="shared" si="2"/>
        <v>0</v>
      </c>
      <c r="G63" s="4">
        <f t="shared" si="3"/>
        <v>33.243</v>
      </c>
      <c r="H63" s="4">
        <f t="shared" si="4"/>
        <v>32.606</v>
      </c>
      <c r="I63" s="4" t="str">
        <f t="shared" si="5"/>
        <v> </v>
      </c>
      <c r="J63" s="4">
        <v>5.5</v>
      </c>
      <c r="K63" s="4">
        <v>17.1</v>
      </c>
      <c r="L63" s="4">
        <f t="shared" si="6"/>
        <v>8</v>
      </c>
      <c r="M63" s="4">
        <f t="shared" si="7"/>
        <v>1</v>
      </c>
      <c r="N63" s="4">
        <f t="shared" si="8"/>
        <v>11.1404</v>
      </c>
      <c r="O63" s="4">
        <f t="shared" si="9"/>
        <v>5.5</v>
      </c>
      <c r="P63" s="4">
        <f t="shared" si="10"/>
        <v>17.1</v>
      </c>
    </row>
    <row r="64" ht="15.75" customHeight="1">
      <c r="A64" s="4">
        <v>1993.0</v>
      </c>
      <c r="B64" s="4">
        <v>214.0</v>
      </c>
      <c r="C64" s="4">
        <v>14.5</v>
      </c>
      <c r="D64" s="4">
        <v>21.8</v>
      </c>
      <c r="E64" s="4">
        <f t="shared" si="1"/>
        <v>1</v>
      </c>
      <c r="F64" s="4">
        <f t="shared" si="2"/>
        <v>0</v>
      </c>
      <c r="G64" s="4">
        <f t="shared" si="3"/>
        <v>32.018</v>
      </c>
      <c r="H64" s="4">
        <f t="shared" si="4"/>
        <v>30.3305</v>
      </c>
      <c r="I64" s="4" t="str">
        <f t="shared" si="5"/>
        <v> </v>
      </c>
      <c r="J64" s="4">
        <v>3.7</v>
      </c>
      <c r="K64" s="4">
        <v>16.9</v>
      </c>
      <c r="L64" s="4">
        <f t="shared" si="6"/>
        <v>8</v>
      </c>
      <c r="M64" s="4">
        <f t="shared" si="7"/>
        <v>1</v>
      </c>
      <c r="N64" s="4">
        <f t="shared" si="8"/>
        <v>6.3512</v>
      </c>
      <c r="O64" s="4">
        <f t="shared" si="9"/>
        <v>3.7</v>
      </c>
      <c r="P64" s="4">
        <f t="shared" si="10"/>
        <v>16.9</v>
      </c>
    </row>
    <row r="65" ht="15.75" customHeight="1">
      <c r="A65" s="4">
        <v>1993.0</v>
      </c>
      <c r="B65" s="4">
        <v>215.0</v>
      </c>
      <c r="C65" s="4">
        <v>13.9</v>
      </c>
      <c r="D65" s="4">
        <v>19.3</v>
      </c>
      <c r="E65" s="4">
        <f t="shared" si="1"/>
        <v>1</v>
      </c>
      <c r="F65" s="4">
        <f t="shared" si="2"/>
        <v>0</v>
      </c>
      <c r="G65" s="4">
        <f t="shared" si="3"/>
        <v>32.468</v>
      </c>
      <c r="H65" s="4">
        <f t="shared" si="4"/>
        <v>31.833</v>
      </c>
      <c r="I65" s="4" t="str">
        <f t="shared" si="5"/>
        <v> </v>
      </c>
      <c r="J65" s="4">
        <v>0.6</v>
      </c>
      <c r="K65" s="4">
        <v>15.9</v>
      </c>
      <c r="L65" s="4">
        <f t="shared" si="6"/>
        <v>8</v>
      </c>
      <c r="M65" s="4">
        <f t="shared" si="7"/>
        <v>0</v>
      </c>
      <c r="N65" s="4">
        <f t="shared" si="8"/>
        <v>-3.9074</v>
      </c>
      <c r="O65" s="4">
        <f t="shared" si="9"/>
        <v>0.6</v>
      </c>
      <c r="P65" s="4">
        <f t="shared" si="10"/>
        <v>15.9</v>
      </c>
    </row>
    <row r="66" ht="15.75" customHeight="1">
      <c r="A66" s="4">
        <v>1993.0</v>
      </c>
      <c r="B66" s="4">
        <v>216.0</v>
      </c>
      <c r="C66" s="4">
        <v>13.4</v>
      </c>
      <c r="D66" s="4">
        <v>22.0</v>
      </c>
      <c r="E66" s="4">
        <f t="shared" si="1"/>
        <v>0</v>
      </c>
      <c r="F66" s="4">
        <f t="shared" si="2"/>
        <v>0</v>
      </c>
      <c r="G66" s="4">
        <f t="shared" si="3"/>
        <v>32.15</v>
      </c>
      <c r="H66" s="4">
        <f t="shared" si="4"/>
        <v>29.224</v>
      </c>
      <c r="I66" s="4" t="str">
        <f t="shared" si="5"/>
        <v> </v>
      </c>
      <c r="K66" s="4">
        <v>17.3</v>
      </c>
      <c r="L66" s="4">
        <f t="shared" si="6"/>
        <v>3</v>
      </c>
      <c r="M66" s="4">
        <f t="shared" si="7"/>
        <v>0</v>
      </c>
      <c r="N66" s="4">
        <f t="shared" si="8"/>
        <v>-8.7864</v>
      </c>
      <c r="O66" s="4" t="str">
        <f t="shared" si="9"/>
        <v/>
      </c>
      <c r="P66" s="4">
        <f t="shared" si="10"/>
        <v>17.3</v>
      </c>
    </row>
    <row r="67" ht="15.75" customHeight="1">
      <c r="A67" s="4">
        <v>1993.0</v>
      </c>
      <c r="B67" s="4">
        <v>217.0</v>
      </c>
      <c r="C67" s="4">
        <v>12.1</v>
      </c>
      <c r="D67" s="4">
        <v>24.4</v>
      </c>
      <c r="E67" s="4">
        <f t="shared" si="1"/>
        <v>0</v>
      </c>
      <c r="F67" s="4">
        <f t="shared" si="2"/>
        <v>0</v>
      </c>
      <c r="G67" s="4">
        <f t="shared" si="3"/>
        <v>33.417</v>
      </c>
      <c r="H67" s="4">
        <f t="shared" si="4"/>
        <v>30.3455</v>
      </c>
      <c r="I67" s="4" t="str">
        <f t="shared" si="5"/>
        <v> </v>
      </c>
      <c r="K67" s="4">
        <v>17.8</v>
      </c>
      <c r="L67" s="4">
        <f t="shared" si="6"/>
        <v>3</v>
      </c>
      <c r="M67" s="4">
        <f t="shared" si="7"/>
        <v>0</v>
      </c>
      <c r="N67" s="4">
        <f t="shared" si="8"/>
        <v>-2.653</v>
      </c>
      <c r="O67" s="4" t="str">
        <f t="shared" si="9"/>
        <v/>
      </c>
      <c r="P67" s="4">
        <f t="shared" si="10"/>
        <v>17.8</v>
      </c>
    </row>
    <row r="68" ht="15.75" customHeight="1">
      <c r="A68" s="4">
        <v>1993.0</v>
      </c>
      <c r="B68" s="4">
        <v>218.0</v>
      </c>
      <c r="C68" s="4">
        <v>11.2</v>
      </c>
      <c r="D68" s="4">
        <v>23.9</v>
      </c>
      <c r="E68" s="4">
        <f t="shared" si="1"/>
        <v>0</v>
      </c>
      <c r="F68" s="4">
        <f t="shared" si="2"/>
        <v>0</v>
      </c>
      <c r="G68" s="4">
        <f t="shared" si="3"/>
        <v>32.263</v>
      </c>
      <c r="H68" s="4">
        <f t="shared" si="4"/>
        <v>29.808</v>
      </c>
      <c r="I68" s="4" t="str">
        <f t="shared" si="5"/>
        <v> </v>
      </c>
      <c r="K68" s="4">
        <v>18.7</v>
      </c>
      <c r="L68" s="4">
        <f t="shared" si="6"/>
        <v>3</v>
      </c>
      <c r="M68" s="4">
        <f t="shared" si="7"/>
        <v>1</v>
      </c>
      <c r="N68" s="4">
        <f t="shared" si="8"/>
        <v>5.5864</v>
      </c>
      <c r="O68" s="4" t="str">
        <f t="shared" si="9"/>
        <v/>
      </c>
      <c r="P68" s="4">
        <f t="shared" si="10"/>
        <v>18.7</v>
      </c>
    </row>
    <row r="69" ht="15.75" customHeight="1">
      <c r="A69" s="4">
        <v>1993.0</v>
      </c>
      <c r="B69" s="4">
        <v>219.0</v>
      </c>
      <c r="C69" s="4">
        <v>14.6</v>
      </c>
      <c r="D69" s="4">
        <v>26.3</v>
      </c>
      <c r="E69" s="4">
        <f t="shared" si="1"/>
        <v>1</v>
      </c>
      <c r="F69" s="4">
        <f t="shared" si="2"/>
        <v>0</v>
      </c>
      <c r="G69" s="4">
        <f t="shared" si="3"/>
        <v>35.948</v>
      </c>
      <c r="H69" s="4">
        <f t="shared" si="4"/>
        <v>34.1005</v>
      </c>
      <c r="I69" s="4" t="str">
        <f t="shared" si="5"/>
        <v> </v>
      </c>
      <c r="J69" s="4">
        <v>5.2</v>
      </c>
      <c r="K69" s="4">
        <v>20.6</v>
      </c>
      <c r="L69" s="4">
        <f t="shared" si="6"/>
        <v>8</v>
      </c>
      <c r="M69" s="4">
        <f t="shared" si="7"/>
        <v>1</v>
      </c>
      <c r="N69" s="4">
        <f t="shared" si="8"/>
        <v>4.0449</v>
      </c>
      <c r="O69" s="4">
        <f t="shared" si="9"/>
        <v>5.2</v>
      </c>
      <c r="P69" s="4">
        <f t="shared" si="10"/>
        <v>20.6</v>
      </c>
    </row>
    <row r="70" ht="15.75" customHeight="1">
      <c r="A70" s="4">
        <v>1993.0</v>
      </c>
      <c r="B70" s="4">
        <v>220.0</v>
      </c>
      <c r="C70" s="4">
        <v>13.7</v>
      </c>
      <c r="D70" s="4">
        <v>22.3</v>
      </c>
      <c r="E70" s="4">
        <f t="shared" si="1"/>
        <v>1</v>
      </c>
      <c r="F70" s="4">
        <f t="shared" si="2"/>
        <v>0</v>
      </c>
      <c r="G70" s="4">
        <f t="shared" si="3"/>
        <v>30.795</v>
      </c>
      <c r="H70" s="4">
        <f t="shared" si="4"/>
        <v>27.7035</v>
      </c>
      <c r="I70" s="4" t="str">
        <f t="shared" si="5"/>
        <v> </v>
      </c>
      <c r="J70" s="4">
        <v>2.6</v>
      </c>
      <c r="K70" s="4">
        <v>17.6</v>
      </c>
      <c r="L70" s="4">
        <f t="shared" si="6"/>
        <v>8</v>
      </c>
      <c r="M70" s="4">
        <f t="shared" si="7"/>
        <v>0</v>
      </c>
      <c r="N70" s="4">
        <f t="shared" si="8"/>
        <v>-5.2672</v>
      </c>
      <c r="O70" s="4">
        <f t="shared" si="9"/>
        <v>2.6</v>
      </c>
      <c r="P70" s="4">
        <f t="shared" si="10"/>
        <v>17.6</v>
      </c>
    </row>
    <row r="71" ht="15.75" customHeight="1">
      <c r="A71" s="4">
        <v>1993.0</v>
      </c>
      <c r="B71" s="4">
        <v>221.0</v>
      </c>
      <c r="C71" s="4">
        <v>12.0</v>
      </c>
      <c r="D71" s="4">
        <v>21.3</v>
      </c>
      <c r="E71" s="4">
        <f t="shared" si="1"/>
        <v>0</v>
      </c>
      <c r="F71" s="4">
        <f t="shared" si="2"/>
        <v>0</v>
      </c>
      <c r="G71" s="4">
        <f t="shared" si="3"/>
        <v>29.101</v>
      </c>
      <c r="H71" s="4">
        <f t="shared" si="4"/>
        <v>25.8785</v>
      </c>
      <c r="I71" s="4" t="str">
        <f t="shared" si="5"/>
        <v> </v>
      </c>
      <c r="K71" s="4">
        <v>15.8</v>
      </c>
      <c r="L71" s="4">
        <f t="shared" si="6"/>
        <v>3</v>
      </c>
      <c r="M71" s="4">
        <f t="shared" si="7"/>
        <v>0</v>
      </c>
      <c r="N71" s="4">
        <f t="shared" si="8"/>
        <v>-7.6225</v>
      </c>
      <c r="O71" s="4" t="str">
        <f t="shared" si="9"/>
        <v/>
      </c>
      <c r="P71" s="4">
        <f t="shared" si="10"/>
        <v>15.8</v>
      </c>
    </row>
    <row r="72" ht="15.75" customHeight="1">
      <c r="A72" s="4">
        <v>1993.0</v>
      </c>
      <c r="B72" s="4">
        <v>222.0</v>
      </c>
      <c r="C72" s="4">
        <v>9.9</v>
      </c>
      <c r="D72" s="4">
        <v>21.9</v>
      </c>
      <c r="E72" s="4">
        <f t="shared" si="1"/>
        <v>0</v>
      </c>
      <c r="F72" s="4">
        <f t="shared" si="2"/>
        <v>0</v>
      </c>
      <c r="G72" s="4">
        <f t="shared" si="3"/>
        <v>29.769</v>
      </c>
      <c r="H72" s="4">
        <f t="shared" si="4"/>
        <v>25.569</v>
      </c>
      <c r="I72" s="4" t="str">
        <f t="shared" si="5"/>
        <v> </v>
      </c>
      <c r="K72" s="4">
        <v>16.6</v>
      </c>
      <c r="L72" s="4">
        <f t="shared" si="6"/>
        <v>3</v>
      </c>
      <c r="M72" s="4">
        <f t="shared" si="7"/>
        <v>0</v>
      </c>
      <c r="N72" s="4">
        <f t="shared" si="8"/>
        <v>-8.0603</v>
      </c>
      <c r="O72" s="4" t="str">
        <f t="shared" si="9"/>
        <v/>
      </c>
      <c r="P72" s="4">
        <f t="shared" si="10"/>
        <v>16.6</v>
      </c>
    </row>
    <row r="73" ht="15.75" customHeight="1">
      <c r="A73" s="4">
        <v>1993.0</v>
      </c>
      <c r="B73" s="4">
        <v>223.0</v>
      </c>
      <c r="C73" s="4">
        <v>11.5</v>
      </c>
      <c r="D73" s="4">
        <v>24.1</v>
      </c>
      <c r="E73" s="4">
        <f t="shared" si="1"/>
        <v>0</v>
      </c>
      <c r="F73" s="4">
        <f t="shared" si="2"/>
        <v>0</v>
      </c>
      <c r="G73" s="4">
        <f t="shared" si="3"/>
        <v>30.162</v>
      </c>
      <c r="H73" s="4">
        <f t="shared" si="4"/>
        <v>26.417</v>
      </c>
      <c r="I73" s="4" t="str">
        <f t="shared" si="5"/>
        <v> </v>
      </c>
      <c r="K73" s="4">
        <v>18.4</v>
      </c>
      <c r="L73" s="4">
        <f t="shared" si="6"/>
        <v>3</v>
      </c>
      <c r="M73" s="4">
        <f t="shared" si="7"/>
        <v>0</v>
      </c>
      <c r="N73" s="4">
        <f t="shared" si="8"/>
        <v>-4.4403</v>
      </c>
      <c r="O73" s="4" t="str">
        <f t="shared" si="9"/>
        <v/>
      </c>
      <c r="P73" s="4">
        <f t="shared" si="10"/>
        <v>18.4</v>
      </c>
    </row>
    <row r="74" ht="15.75" customHeight="1">
      <c r="A74" s="4">
        <v>1993.0</v>
      </c>
      <c r="B74" s="4">
        <v>224.0</v>
      </c>
      <c r="C74" s="4">
        <v>11.9</v>
      </c>
      <c r="D74" s="4">
        <v>22.9</v>
      </c>
      <c r="E74" s="4">
        <f t="shared" si="1"/>
        <v>0</v>
      </c>
      <c r="F74" s="4">
        <f t="shared" si="2"/>
        <v>0</v>
      </c>
      <c r="G74" s="4">
        <f t="shared" si="3"/>
        <v>29.852</v>
      </c>
      <c r="H74" s="4">
        <f t="shared" si="4"/>
        <v>26.6905</v>
      </c>
      <c r="I74" s="4" t="str">
        <f t="shared" si="5"/>
        <v> </v>
      </c>
      <c r="K74" s="4">
        <v>17.7</v>
      </c>
      <c r="L74" s="4">
        <f t="shared" si="6"/>
        <v>3</v>
      </c>
      <c r="M74" s="4">
        <f t="shared" si="7"/>
        <v>1</v>
      </c>
      <c r="N74" s="4">
        <f t="shared" si="8"/>
        <v>0.5072</v>
      </c>
      <c r="O74" s="4" t="str">
        <f t="shared" si="9"/>
        <v/>
      </c>
      <c r="P74" s="4">
        <f t="shared" si="10"/>
        <v>17.7</v>
      </c>
    </row>
    <row r="75" ht="15.75" customHeight="1">
      <c r="A75" s="4">
        <v>1993.0</v>
      </c>
      <c r="B75" s="4">
        <v>225.0</v>
      </c>
      <c r="C75" s="4">
        <v>11.2</v>
      </c>
      <c r="D75" s="4">
        <v>24.5</v>
      </c>
      <c r="E75" s="4">
        <f t="shared" si="1"/>
        <v>1</v>
      </c>
      <c r="F75" s="4">
        <f t="shared" si="2"/>
        <v>0</v>
      </c>
      <c r="G75" s="4">
        <f t="shared" si="3"/>
        <v>34.225</v>
      </c>
      <c r="H75" s="4">
        <f t="shared" si="4"/>
        <v>32.676</v>
      </c>
      <c r="I75" s="4" t="str">
        <f t="shared" si="5"/>
        <v> </v>
      </c>
      <c r="J75" s="4">
        <v>5.6</v>
      </c>
      <c r="K75" s="4">
        <v>18.6</v>
      </c>
      <c r="L75" s="4">
        <f t="shared" si="6"/>
        <v>8</v>
      </c>
      <c r="M75" s="4">
        <f t="shared" si="7"/>
        <v>0</v>
      </c>
      <c r="N75" s="4">
        <f t="shared" si="8"/>
        <v>-6.319</v>
      </c>
      <c r="O75" s="4">
        <f t="shared" si="9"/>
        <v>5.6</v>
      </c>
      <c r="P75" s="4">
        <f t="shared" si="10"/>
        <v>18.6</v>
      </c>
    </row>
    <row r="76" ht="15.75" customHeight="1">
      <c r="A76" s="4">
        <v>1993.0</v>
      </c>
      <c r="B76" s="4">
        <v>226.0</v>
      </c>
      <c r="C76" s="4">
        <v>11.2</v>
      </c>
      <c r="D76" s="4">
        <v>23.1</v>
      </c>
      <c r="E76" s="4">
        <f t="shared" si="1"/>
        <v>0</v>
      </c>
      <c r="F76" s="4">
        <f t="shared" si="2"/>
        <v>0</v>
      </c>
      <c r="G76" s="4">
        <f t="shared" si="3"/>
        <v>29.198</v>
      </c>
      <c r="H76" s="4">
        <f t="shared" si="4"/>
        <v>26.717</v>
      </c>
      <c r="I76" s="4" t="str">
        <f t="shared" si="5"/>
        <v> </v>
      </c>
      <c r="K76" s="4">
        <v>17.5</v>
      </c>
      <c r="L76" s="4">
        <f t="shared" si="6"/>
        <v>3</v>
      </c>
      <c r="M76" s="4">
        <f t="shared" si="7"/>
        <v>0</v>
      </c>
      <c r="N76" s="4">
        <f t="shared" si="8"/>
        <v>-8.7412</v>
      </c>
      <c r="O76" s="4" t="str">
        <f t="shared" si="9"/>
        <v/>
      </c>
      <c r="P76" s="4">
        <f t="shared" si="10"/>
        <v>17.5</v>
      </c>
    </row>
    <row r="77" ht="15.75" customHeight="1">
      <c r="A77" s="4">
        <v>1993.0</v>
      </c>
      <c r="B77" s="4">
        <v>227.0</v>
      </c>
      <c r="C77" s="4">
        <v>9.1</v>
      </c>
      <c r="D77" s="4">
        <v>20.7</v>
      </c>
      <c r="E77" s="4">
        <f t="shared" si="1"/>
        <v>0</v>
      </c>
      <c r="F77" s="4">
        <f t="shared" si="2"/>
        <v>0</v>
      </c>
      <c r="G77" s="4">
        <f t="shared" si="3"/>
        <v>27.266</v>
      </c>
      <c r="H77" s="4">
        <f t="shared" si="4"/>
        <v>27.011</v>
      </c>
      <c r="I77" s="4" t="str">
        <f t="shared" si="5"/>
        <v> </v>
      </c>
      <c r="K77" s="4">
        <v>14.7</v>
      </c>
      <c r="L77" s="4">
        <f t="shared" si="6"/>
        <v>3</v>
      </c>
      <c r="M77" s="4">
        <f t="shared" si="7"/>
        <v>0</v>
      </c>
      <c r="N77" s="4">
        <f t="shared" si="8"/>
        <v>-3.5721</v>
      </c>
      <c r="O77" s="4" t="str">
        <f t="shared" si="9"/>
        <v/>
      </c>
      <c r="P77" s="4">
        <f t="shared" si="10"/>
        <v>14.7</v>
      </c>
    </row>
    <row r="78" ht="15.75" customHeight="1">
      <c r="A78" s="4">
        <v>1993.0</v>
      </c>
      <c r="B78" s="4">
        <v>228.0</v>
      </c>
      <c r="C78" s="4">
        <v>9.4</v>
      </c>
      <c r="D78" s="4">
        <v>22.2</v>
      </c>
      <c r="E78" s="4">
        <f t="shared" si="1"/>
        <v>0</v>
      </c>
      <c r="F78" s="4">
        <f t="shared" si="2"/>
        <v>1</v>
      </c>
      <c r="G78" s="4">
        <f t="shared" si="3"/>
        <v>27.432</v>
      </c>
      <c r="H78" s="4">
        <f t="shared" si="4"/>
        <v>28.9025</v>
      </c>
      <c r="I78" s="4">
        <f t="shared" si="5"/>
        <v>1.4705</v>
      </c>
      <c r="K78" s="4">
        <v>15.4</v>
      </c>
      <c r="L78" s="4">
        <f t="shared" si="6"/>
        <v>3</v>
      </c>
      <c r="M78" s="4">
        <f t="shared" si="7"/>
        <v>1</v>
      </c>
      <c r="N78" s="4">
        <f t="shared" si="8"/>
        <v>5.018</v>
      </c>
      <c r="O78" s="4" t="str">
        <f t="shared" si="9"/>
        <v/>
      </c>
      <c r="P78" s="4">
        <f t="shared" si="10"/>
        <v>15.4</v>
      </c>
    </row>
    <row r="79" ht="15.75" customHeight="1">
      <c r="A79" s="4">
        <v>1993.0</v>
      </c>
      <c r="B79" s="4">
        <v>229.0</v>
      </c>
      <c r="C79" s="4">
        <v>10.8</v>
      </c>
      <c r="D79" s="4">
        <v>25.9</v>
      </c>
      <c r="E79" s="4">
        <f t="shared" si="1"/>
        <v>1</v>
      </c>
      <c r="F79" s="4">
        <f t="shared" si="2"/>
        <v>1</v>
      </c>
      <c r="G79" s="4">
        <f t="shared" si="3"/>
        <v>30.475</v>
      </c>
      <c r="H79" s="4">
        <f t="shared" si="4"/>
        <v>31.496</v>
      </c>
      <c r="I79" s="4">
        <f t="shared" si="5"/>
        <v>1.021</v>
      </c>
      <c r="J79" s="4">
        <v>3.4</v>
      </c>
      <c r="K79" s="4">
        <v>19.0</v>
      </c>
      <c r="L79" s="4">
        <f t="shared" si="6"/>
        <v>8</v>
      </c>
      <c r="M79" s="4">
        <f t="shared" si="7"/>
        <v>1</v>
      </c>
      <c r="N79" s="4">
        <f t="shared" si="8"/>
        <v>7.7339</v>
      </c>
      <c r="O79" s="4">
        <f t="shared" si="9"/>
        <v>3.4</v>
      </c>
      <c r="P79" s="4">
        <f t="shared" si="10"/>
        <v>19</v>
      </c>
    </row>
    <row r="80" ht="15.75" customHeight="1">
      <c r="A80" s="4">
        <v>1993.0</v>
      </c>
      <c r="B80" s="4">
        <v>230.0</v>
      </c>
      <c r="C80" s="4">
        <v>10.8</v>
      </c>
      <c r="D80" s="4">
        <v>20.9</v>
      </c>
      <c r="E80" s="4">
        <f t="shared" si="1"/>
        <v>1</v>
      </c>
      <c r="F80" s="4">
        <f t="shared" si="2"/>
        <v>1</v>
      </c>
      <c r="G80" s="4">
        <f t="shared" si="3"/>
        <v>22.309</v>
      </c>
      <c r="H80" s="4">
        <f t="shared" si="4"/>
        <v>24.75</v>
      </c>
      <c r="I80" s="4">
        <f t="shared" si="5"/>
        <v>2.441</v>
      </c>
      <c r="J80" s="4">
        <v>7.5</v>
      </c>
      <c r="K80" s="4">
        <v>15.9</v>
      </c>
      <c r="L80" s="4">
        <f t="shared" si="6"/>
        <v>8</v>
      </c>
      <c r="M80" s="4">
        <f t="shared" si="7"/>
        <v>1</v>
      </c>
      <c r="N80" s="4">
        <f t="shared" si="8"/>
        <v>10.6294</v>
      </c>
      <c r="O80" s="4">
        <f t="shared" si="9"/>
        <v>7.5</v>
      </c>
      <c r="P80" s="4">
        <f t="shared" si="10"/>
        <v>15.9</v>
      </c>
    </row>
    <row r="81" ht="15.75" customHeight="1">
      <c r="A81" s="4">
        <v>1993.0</v>
      </c>
      <c r="B81" s="4">
        <v>231.0</v>
      </c>
      <c r="C81" s="4">
        <v>8.7</v>
      </c>
      <c r="D81" s="4">
        <v>18.2</v>
      </c>
      <c r="E81" s="4">
        <f t="shared" si="1"/>
        <v>1</v>
      </c>
      <c r="F81" s="4">
        <f t="shared" si="2"/>
        <v>1</v>
      </c>
      <c r="G81" s="4">
        <f t="shared" si="3"/>
        <v>21.222</v>
      </c>
      <c r="H81" s="4">
        <f t="shared" si="4"/>
        <v>23.528</v>
      </c>
      <c r="I81" s="4">
        <f t="shared" si="5"/>
        <v>2.306</v>
      </c>
      <c r="J81" s="4">
        <v>7.3</v>
      </c>
      <c r="K81" s="4">
        <v>12.3</v>
      </c>
      <c r="L81" s="4">
        <f t="shared" si="6"/>
        <v>8</v>
      </c>
      <c r="M81" s="4">
        <f t="shared" si="7"/>
        <v>1</v>
      </c>
      <c r="N81" s="4">
        <f t="shared" si="8"/>
        <v>7.1051</v>
      </c>
      <c r="O81" s="4">
        <f t="shared" si="9"/>
        <v>7.3</v>
      </c>
      <c r="P81" s="4">
        <f t="shared" si="10"/>
        <v>12.3</v>
      </c>
    </row>
    <row r="82" ht="15.75" customHeight="1">
      <c r="A82" s="4">
        <v>1993.0</v>
      </c>
      <c r="B82" s="4">
        <v>232.0</v>
      </c>
      <c r="C82" s="4">
        <v>9.8</v>
      </c>
      <c r="D82" s="4">
        <v>16.1</v>
      </c>
      <c r="E82" s="4">
        <f t="shared" si="1"/>
        <v>1</v>
      </c>
      <c r="F82" s="4">
        <f t="shared" si="2"/>
        <v>1</v>
      </c>
      <c r="G82" s="4">
        <f t="shared" si="3"/>
        <v>19.028</v>
      </c>
      <c r="H82" s="4">
        <f t="shared" si="4"/>
        <v>21.3645</v>
      </c>
      <c r="I82" s="4">
        <f t="shared" si="5"/>
        <v>2.3365</v>
      </c>
      <c r="J82" s="4">
        <v>0.6</v>
      </c>
      <c r="K82" s="4">
        <v>12.2</v>
      </c>
      <c r="L82" s="4">
        <f t="shared" si="6"/>
        <v>8</v>
      </c>
      <c r="M82" s="4">
        <f t="shared" si="7"/>
        <v>1</v>
      </c>
      <c r="N82" s="4">
        <f t="shared" si="8"/>
        <v>2.0288</v>
      </c>
      <c r="O82" s="4">
        <f t="shared" si="9"/>
        <v>0.6</v>
      </c>
      <c r="P82" s="4">
        <f t="shared" si="10"/>
        <v>12.2</v>
      </c>
    </row>
    <row r="83" ht="15.75" customHeight="1">
      <c r="A83" s="4">
        <v>1993.0</v>
      </c>
      <c r="B83" s="4">
        <v>233.0</v>
      </c>
      <c r="C83" s="4">
        <v>10.4</v>
      </c>
      <c r="D83" s="4">
        <v>17.2</v>
      </c>
      <c r="E83" s="4">
        <f t="shared" si="1"/>
        <v>0</v>
      </c>
      <c r="F83" s="4">
        <f t="shared" si="2"/>
        <v>1</v>
      </c>
      <c r="G83" s="4">
        <f t="shared" si="3"/>
        <v>19.146</v>
      </c>
      <c r="H83" s="4">
        <f t="shared" si="4"/>
        <v>19.1575</v>
      </c>
      <c r="I83" s="4">
        <f t="shared" si="5"/>
        <v>0.0115</v>
      </c>
      <c r="K83" s="4">
        <v>12.4</v>
      </c>
      <c r="L83" s="4">
        <f t="shared" si="6"/>
        <v>3</v>
      </c>
      <c r="M83" s="4">
        <f t="shared" si="7"/>
        <v>1</v>
      </c>
      <c r="N83" s="4">
        <f t="shared" si="8"/>
        <v>7.1772</v>
      </c>
      <c r="O83" s="4" t="str">
        <f t="shared" si="9"/>
        <v/>
      </c>
      <c r="P83" s="4">
        <f t="shared" si="10"/>
        <v>12.4</v>
      </c>
    </row>
    <row r="84" ht="15.75" customHeight="1">
      <c r="A84" s="4">
        <v>1993.0</v>
      </c>
      <c r="B84" s="4">
        <v>234.0</v>
      </c>
      <c r="C84" s="4">
        <v>9.2</v>
      </c>
      <c r="D84" s="4">
        <v>15.2</v>
      </c>
      <c r="E84" s="4">
        <f t="shared" si="1"/>
        <v>1</v>
      </c>
      <c r="F84" s="4">
        <f t="shared" si="2"/>
        <v>1</v>
      </c>
      <c r="G84" s="4">
        <f t="shared" si="3"/>
        <v>17.64</v>
      </c>
      <c r="H84" s="4">
        <f t="shared" si="4"/>
        <v>21.348</v>
      </c>
      <c r="I84" s="4">
        <f t="shared" si="5"/>
        <v>3.708</v>
      </c>
      <c r="J84" s="4">
        <v>3.6</v>
      </c>
      <c r="K84" s="4">
        <v>11.4</v>
      </c>
      <c r="L84" s="4">
        <f t="shared" si="6"/>
        <v>8</v>
      </c>
      <c r="M84" s="4">
        <f t="shared" si="7"/>
        <v>1</v>
      </c>
      <c r="N84" s="4">
        <f t="shared" si="8"/>
        <v>11.3001</v>
      </c>
      <c r="O84" s="4">
        <f t="shared" si="9"/>
        <v>3.6</v>
      </c>
      <c r="P84" s="4">
        <f t="shared" si="10"/>
        <v>11.4</v>
      </c>
    </row>
    <row r="85" ht="15.75" customHeight="1">
      <c r="A85" s="4">
        <v>1993.0</v>
      </c>
      <c r="B85" s="4">
        <v>235.0</v>
      </c>
      <c r="C85" s="4">
        <v>8.5</v>
      </c>
      <c r="D85" s="4">
        <v>19.2</v>
      </c>
      <c r="E85" s="4">
        <f t="shared" si="1"/>
        <v>1</v>
      </c>
      <c r="F85" s="4">
        <f t="shared" si="2"/>
        <v>1</v>
      </c>
      <c r="G85" s="4">
        <f t="shared" si="3"/>
        <v>19.856</v>
      </c>
      <c r="H85" s="4">
        <f t="shared" si="4"/>
        <v>20.3865</v>
      </c>
      <c r="I85" s="4">
        <f t="shared" si="5"/>
        <v>0.5305</v>
      </c>
      <c r="J85" s="4">
        <v>0.2</v>
      </c>
      <c r="K85" s="4">
        <v>12.9</v>
      </c>
      <c r="L85" s="4">
        <f t="shared" si="6"/>
        <v>8</v>
      </c>
      <c r="M85" s="4">
        <f t="shared" si="7"/>
        <v>1</v>
      </c>
      <c r="N85" s="4">
        <f t="shared" si="8"/>
        <v>4.8543</v>
      </c>
      <c r="O85" s="4">
        <f t="shared" si="9"/>
        <v>0.2</v>
      </c>
      <c r="P85" s="4">
        <f t="shared" si="10"/>
        <v>12.9</v>
      </c>
    </row>
    <row r="86" ht="15.75" customHeight="1">
      <c r="A86" s="4">
        <v>1993.0</v>
      </c>
      <c r="B86" s="4">
        <v>236.0</v>
      </c>
      <c r="C86" s="4">
        <v>9.3</v>
      </c>
      <c r="D86" s="4">
        <v>16.8</v>
      </c>
      <c r="E86" s="4">
        <f t="shared" si="1"/>
        <v>1</v>
      </c>
      <c r="F86" s="4">
        <f t="shared" si="2"/>
        <v>1</v>
      </c>
      <c r="G86" s="4">
        <f t="shared" si="3"/>
        <v>13.989</v>
      </c>
      <c r="H86" s="4">
        <f t="shared" si="4"/>
        <v>14.1285</v>
      </c>
      <c r="I86" s="4">
        <f t="shared" si="5"/>
        <v>0.1395</v>
      </c>
      <c r="J86" s="4">
        <v>0.8</v>
      </c>
      <c r="K86" s="4">
        <v>12.8</v>
      </c>
      <c r="L86" s="4">
        <f t="shared" si="6"/>
        <v>8</v>
      </c>
      <c r="M86" s="4">
        <f t="shared" si="7"/>
        <v>1</v>
      </c>
      <c r="N86" s="4">
        <f t="shared" si="8"/>
        <v>1.5904</v>
      </c>
      <c r="O86" s="4">
        <f t="shared" si="9"/>
        <v>0.8</v>
      </c>
      <c r="P86" s="4">
        <f t="shared" si="10"/>
        <v>12.8</v>
      </c>
    </row>
    <row r="87" ht="15.75" customHeight="1">
      <c r="A87" s="4">
        <v>1993.0</v>
      </c>
      <c r="B87" s="4">
        <v>237.0</v>
      </c>
      <c r="C87" s="4">
        <v>7.2</v>
      </c>
      <c r="D87" s="4">
        <v>17.0</v>
      </c>
      <c r="E87" s="4">
        <f t="shared" si="1"/>
        <v>0</v>
      </c>
      <c r="F87" s="4">
        <f t="shared" si="2"/>
        <v>1</v>
      </c>
      <c r="G87" s="4">
        <f t="shared" si="3"/>
        <v>11.388</v>
      </c>
      <c r="H87" s="4">
        <f t="shared" si="4"/>
        <v>12.413</v>
      </c>
      <c r="I87" s="4">
        <f t="shared" si="5"/>
        <v>1.025</v>
      </c>
      <c r="K87" s="4">
        <v>11.7</v>
      </c>
      <c r="L87" s="4">
        <f t="shared" si="6"/>
        <v>3</v>
      </c>
      <c r="M87" s="4">
        <f t="shared" si="7"/>
        <v>1</v>
      </c>
      <c r="N87" s="4">
        <f t="shared" si="8"/>
        <v>1.5836</v>
      </c>
      <c r="O87" s="4" t="str">
        <f t="shared" si="9"/>
        <v/>
      </c>
      <c r="P87" s="4">
        <f t="shared" si="10"/>
        <v>11.7</v>
      </c>
    </row>
    <row r="88" ht="15.75" customHeight="1">
      <c r="A88" s="4">
        <v>1993.0</v>
      </c>
      <c r="B88" s="4">
        <v>238.0</v>
      </c>
      <c r="C88" s="4">
        <v>7.7</v>
      </c>
      <c r="D88" s="4">
        <v>14.6</v>
      </c>
      <c r="E88" s="4">
        <f t="shared" si="1"/>
        <v>1</v>
      </c>
      <c r="J88" s="4">
        <v>0.3</v>
      </c>
      <c r="K88" s="4">
        <v>10.6</v>
      </c>
      <c r="L88" s="4">
        <f t="shared" si="6"/>
        <v>8</v>
      </c>
      <c r="O88" s="4">
        <f t="shared" si="9"/>
        <v>0.3</v>
      </c>
      <c r="P88" s="4">
        <f t="shared" si="10"/>
        <v>10.6</v>
      </c>
    </row>
    <row r="89" ht="15.75" customHeight="1">
      <c r="A89" s="4">
        <v>1993.0</v>
      </c>
      <c r="B89" s="4">
        <v>239.0</v>
      </c>
      <c r="C89" s="4">
        <v>5.7</v>
      </c>
      <c r="D89" s="4">
        <v>16.5</v>
      </c>
      <c r="E89" s="4">
        <f t="shared" si="1"/>
        <v>0</v>
      </c>
      <c r="K89" s="4">
        <v>10.3</v>
      </c>
      <c r="L89" s="4">
        <f t="shared" si="6"/>
        <v>3</v>
      </c>
      <c r="O89" s="4" t="str">
        <f t="shared" si="9"/>
        <v/>
      </c>
      <c r="P89" s="4">
        <f t="shared" si="10"/>
        <v>10.3</v>
      </c>
    </row>
    <row r="90" ht="15.75" customHeight="1">
      <c r="A90" s="4">
        <v>1993.0</v>
      </c>
      <c r="B90" s="4">
        <v>240.0</v>
      </c>
      <c r="C90" s="4">
        <v>5.4</v>
      </c>
      <c r="D90" s="4">
        <v>13.7</v>
      </c>
      <c r="E90" s="4">
        <f t="shared" si="1"/>
        <v>0</v>
      </c>
      <c r="K90" s="4">
        <v>10.1</v>
      </c>
      <c r="L90" s="4">
        <f t="shared" si="6"/>
        <v>3</v>
      </c>
      <c r="O90" s="4" t="str">
        <f t="shared" si="9"/>
        <v/>
      </c>
      <c r="P90" s="4">
        <f t="shared" si="10"/>
        <v>10.1</v>
      </c>
    </row>
    <row r="91" ht="15.75" customHeight="1">
      <c r="A91" s="4">
        <v>1993.0</v>
      </c>
      <c r="B91" s="4">
        <v>241.0</v>
      </c>
      <c r="C91" s="4">
        <v>8.9</v>
      </c>
      <c r="D91" s="4">
        <v>14.9</v>
      </c>
      <c r="E91" s="4">
        <f t="shared" si="1"/>
        <v>1</v>
      </c>
      <c r="J91" s="4">
        <v>0.2</v>
      </c>
      <c r="K91" s="4">
        <v>11.0</v>
      </c>
      <c r="L91" s="4">
        <f t="shared" si="6"/>
        <v>8</v>
      </c>
      <c r="O91" s="4">
        <f t="shared" si="9"/>
        <v>0.2</v>
      </c>
      <c r="P91" s="4">
        <f t="shared" si="10"/>
        <v>11</v>
      </c>
    </row>
    <row r="92" ht="15.75" customHeight="1">
      <c r="A92" s="4">
        <v>1993.0</v>
      </c>
      <c r="B92" s="4">
        <v>242.0</v>
      </c>
      <c r="C92" s="4">
        <v>4.9</v>
      </c>
      <c r="D92" s="4">
        <v>13.3</v>
      </c>
      <c r="E92" s="4">
        <f t="shared" si="1"/>
        <v>1</v>
      </c>
      <c r="J92" s="4">
        <v>1.9</v>
      </c>
      <c r="K92" s="4">
        <v>9.3</v>
      </c>
      <c r="L92" s="4">
        <f t="shared" si="6"/>
        <v>8</v>
      </c>
      <c r="O92" s="4">
        <f t="shared" si="9"/>
        <v>0</v>
      </c>
      <c r="P92" s="4">
        <f t="shared" si="10"/>
        <v>0</v>
      </c>
    </row>
    <row r="93" ht="15.75" customHeight="1">
      <c r="A93" s="4">
        <v>1993.0</v>
      </c>
      <c r="B93" s="4">
        <v>243.0</v>
      </c>
      <c r="C93" s="4">
        <v>4.5</v>
      </c>
      <c r="D93" s="4">
        <v>14.1</v>
      </c>
      <c r="E93" s="4">
        <f t="shared" si="1"/>
        <v>0</v>
      </c>
      <c r="K93" s="4">
        <v>8.5</v>
      </c>
      <c r="L93" s="4">
        <f t="shared" si="6"/>
        <v>3</v>
      </c>
      <c r="O93" s="4">
        <f t="shared" si="9"/>
        <v>0</v>
      </c>
      <c r="P93" s="4">
        <f t="shared" si="10"/>
        <v>0</v>
      </c>
    </row>
    <row r="94" ht="15.75" customHeight="1"/>
    <row r="95" ht="15.75" customHeight="1"/>
    <row r="96" ht="15.75" customHeight="1">
      <c r="O96" s="4">
        <f>SUM(O2:O93)</f>
        <v>220.6</v>
      </c>
      <c r="P96" s="4">
        <f>SUMIF(P2:P93,"&gt;0")/10</f>
        <v>131.17</v>
      </c>
    </row>
    <row r="97" ht="15.75" customHeight="1"/>
    <row r="98" ht="15.75" customHeight="1">
      <c r="I98" s="4">
        <f>SUM(I2:I87)</f>
        <v>59.466</v>
      </c>
      <c r="O98" s="4" t="s">
        <v>15</v>
      </c>
      <c r="P98" s="4">
        <f>O96/P96</f>
        <v>1.681786994</v>
      </c>
    </row>
    <row r="99" ht="15.75" customHeight="1">
      <c r="I99" s="4">
        <f>SUM(I2:I31)</f>
        <v>24.0435</v>
      </c>
      <c r="O99" s="4" t="s">
        <v>16</v>
      </c>
      <c r="P99" s="4">
        <f>SUM(O2:O31)/(SUM(P2:P31)/10)</f>
        <v>2.261137574</v>
      </c>
    </row>
    <row r="100" ht="15.75" customHeight="1">
      <c r="I100" s="4">
        <f>SUM(I32:I62)</f>
        <v>20.433</v>
      </c>
      <c r="O100" s="4" t="s">
        <v>17</v>
      </c>
      <c r="P100" s="4">
        <f>SUM(O33:O62)/(SUM(P33:P62)/10)</f>
        <v>1.842525979</v>
      </c>
    </row>
    <row r="101" ht="15.75" customHeight="1">
      <c r="I101" s="4">
        <f>SUM(I63:I93)</f>
        <v>14.9895</v>
      </c>
      <c r="O101" s="4" t="s">
        <v>18</v>
      </c>
      <c r="P101" s="4">
        <f>SUM(O63:O93)/(SUM(P63:P93)/10)</f>
        <v>1.072404372</v>
      </c>
    </row>
    <row r="102" ht="15.75" customHeight="1">
      <c r="I102" s="4">
        <f>SUMIF(I2:I87,"&gt;0")</f>
        <v>59.466</v>
      </c>
    </row>
    <row r="103" ht="15.75" customHeight="1">
      <c r="I103" s="4">
        <f>SUMIF(I2:I31,"&gt;0")</f>
        <v>24.0435</v>
      </c>
    </row>
    <row r="104" ht="15.75" customHeight="1">
      <c r="I104" s="4">
        <f>SUMIF(I32:I62,"&gt;0")</f>
        <v>20.433</v>
      </c>
      <c r="P104" s="4">
        <f>SUM(O16:O35)/(SUM(P16:P35)/10)</f>
        <v>1.847708409</v>
      </c>
    </row>
    <row r="105" ht="15.75" customHeight="1">
      <c r="I105" s="4">
        <f>SUMIF(I63:I87,"&gt;0")</f>
        <v>14.9895</v>
      </c>
      <c r="P105" s="4">
        <f>SUM(O36:O55)/(SUM(P36:P55)/10)</f>
        <v>1.361844101</v>
      </c>
    </row>
    <row r="106" ht="15.75" customHeight="1">
      <c r="P106" s="4">
        <f>SUM(O56:O77)/(SUM(P56:P77)/10)</f>
        <v>1.714656291</v>
      </c>
    </row>
    <row r="107" ht="15.75" customHeight="1">
      <c r="P107" s="4">
        <f>SUM(O16:O77)/(SUM(P16:P77)/10)</f>
        <v>1.634586315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1" t="s">
        <v>8</v>
      </c>
      <c r="K1" s="1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1994.0</v>
      </c>
      <c r="B2" s="4">
        <v>152.0</v>
      </c>
      <c r="C2" s="5">
        <v>8.5</v>
      </c>
      <c r="D2" s="5">
        <v>10.6</v>
      </c>
      <c r="E2" s="4">
        <f t="shared" ref="E2:E93" si="1">IF(J2&gt;0,1,0)</f>
        <v>1</v>
      </c>
      <c r="F2" s="4">
        <f t="shared" ref="F2:F87" si="2">IF(H2&gt;G2,1,0)</f>
        <v>1</v>
      </c>
      <c r="G2" s="4">
        <f t="shared" ref="G2:G87" si="3"> 0.75 * D2 + 0.41 * D3 + 0.41 * D4 + 0.27 * D5 + 0.74 *D6 + 0.3 *C2 - 0.07 * C3 - 0.16 * C4 + 0.06 * C5 + 0.01 * C6 + 2.88 * E2 + 1.98 * E3 + 1.98 * E4 + 1.79 * E5 + 0.53 * E6-32.47</f>
        <v>16.802</v>
      </c>
      <c r="H2" s="4">
        <f t="shared" ref="H2:H87" si="4">0.63 * D2 + 0.37 * D3 + 0.49 * D4 + 0.22 * D5 + 0.65 * D6 + 0.24 *C2 - 0.06 * C3- 0.15 * C4 - 0.135 * C5 + 0.15 * C6 + 4.88 * E2 + 3.55 * E3 + 3.34 *E4 + 2.5 * E5 + 2.29 *E6-31.34</f>
        <v>18.9535</v>
      </c>
      <c r="I2" s="4">
        <f t="shared" ref="I2:I87" si="5">IF((H2-G2)&gt;0,H2-G2," ")</f>
        <v>2.1515</v>
      </c>
      <c r="J2" s="5">
        <v>16.3</v>
      </c>
      <c r="K2" s="5">
        <v>9.3</v>
      </c>
      <c r="L2" s="4">
        <f t="shared" ref="L2:L93" si="6">IF(E2&gt;0,8,3)</f>
        <v>8</v>
      </c>
      <c r="M2" s="4">
        <f t="shared" ref="M2:M87" si="7">IF(N2&gt;=0,1,0)</f>
        <v>1</v>
      </c>
      <c r="N2" s="4">
        <f t="shared" ref="N2:N87" si="8">-0.216*D2-0.191*D3-0.119*D4+0.004*C2-0.171*C3+0.628*C4-0.479*L2+0.513*L3+0.046*L4+5.947*E2+6.699*E3+4.328*E4-1.788</f>
        <v>12.4649</v>
      </c>
      <c r="O2" s="4">
        <f t="shared" ref="O2:O93" si="9">IF(K2&gt;10,J2,0)</f>
        <v>0</v>
      </c>
      <c r="P2" s="4">
        <f t="shared" ref="P2:P93" si="10">IF(K2&gt;10,K2,0)</f>
        <v>0</v>
      </c>
    </row>
    <row r="3">
      <c r="A3" s="4">
        <v>1994.0</v>
      </c>
      <c r="B3" s="4">
        <v>153.0</v>
      </c>
      <c r="C3" s="5">
        <v>6.7</v>
      </c>
      <c r="D3" s="5">
        <v>15.1</v>
      </c>
      <c r="E3" s="4">
        <f t="shared" si="1"/>
        <v>1</v>
      </c>
      <c r="F3" s="4">
        <f t="shared" si="2"/>
        <v>0</v>
      </c>
      <c r="G3" s="4">
        <f t="shared" si="3"/>
        <v>19.807</v>
      </c>
      <c r="H3" s="4">
        <f t="shared" si="4"/>
        <v>19.4895</v>
      </c>
      <c r="I3" s="4" t="str">
        <f t="shared" si="5"/>
        <v> </v>
      </c>
      <c r="J3" s="5">
        <v>5.9</v>
      </c>
      <c r="K3" s="5">
        <v>10.1</v>
      </c>
      <c r="L3" s="4">
        <f t="shared" si="6"/>
        <v>8</v>
      </c>
      <c r="M3" s="4">
        <f t="shared" si="7"/>
        <v>1</v>
      </c>
      <c r="N3" s="4">
        <f t="shared" si="8"/>
        <v>8.3773</v>
      </c>
      <c r="O3" s="4">
        <f t="shared" si="9"/>
        <v>5.9</v>
      </c>
      <c r="P3" s="4">
        <f t="shared" si="10"/>
        <v>10.1</v>
      </c>
    </row>
    <row r="4">
      <c r="A4" s="4">
        <v>1994.0</v>
      </c>
      <c r="B4" s="4">
        <v>154.0</v>
      </c>
      <c r="C4" s="5">
        <v>8.2</v>
      </c>
      <c r="D4" s="5">
        <v>18.7</v>
      </c>
      <c r="E4" s="4">
        <f t="shared" si="1"/>
        <v>1</v>
      </c>
      <c r="F4" s="4">
        <f t="shared" si="2"/>
        <v>1</v>
      </c>
      <c r="G4" s="4">
        <f t="shared" si="3"/>
        <v>21.282</v>
      </c>
      <c r="H4" s="4">
        <f t="shared" si="4"/>
        <v>21.355</v>
      </c>
      <c r="I4" s="4">
        <f t="shared" si="5"/>
        <v>0.073</v>
      </c>
      <c r="J4" s="5">
        <v>0.4</v>
      </c>
      <c r="K4" s="5">
        <v>14.2</v>
      </c>
      <c r="L4" s="4">
        <f t="shared" si="6"/>
        <v>8</v>
      </c>
      <c r="M4" s="4">
        <f t="shared" si="7"/>
        <v>0</v>
      </c>
      <c r="N4" s="4">
        <f t="shared" si="8"/>
        <v>-1.9198</v>
      </c>
      <c r="O4" s="4">
        <f t="shared" si="9"/>
        <v>0.4</v>
      </c>
      <c r="P4" s="4">
        <f t="shared" si="10"/>
        <v>14.2</v>
      </c>
    </row>
    <row r="5">
      <c r="A5" s="4">
        <v>1994.0</v>
      </c>
      <c r="B5" s="4">
        <v>155.0</v>
      </c>
      <c r="C5" s="5">
        <v>11.5</v>
      </c>
      <c r="D5" s="5">
        <v>16.0</v>
      </c>
      <c r="E5" s="4">
        <f t="shared" si="1"/>
        <v>0</v>
      </c>
      <c r="F5" s="4">
        <f t="shared" si="2"/>
        <v>0</v>
      </c>
      <c r="G5" s="4">
        <f t="shared" si="3"/>
        <v>18.777</v>
      </c>
      <c r="H5" s="4">
        <f t="shared" si="4"/>
        <v>17.092</v>
      </c>
      <c r="I5" s="4" t="str">
        <f t="shared" si="5"/>
        <v> </v>
      </c>
      <c r="J5" s="5">
        <v>0.0</v>
      </c>
      <c r="K5" s="5">
        <v>13.5</v>
      </c>
      <c r="L5" s="4">
        <f t="shared" si="6"/>
        <v>3</v>
      </c>
      <c r="M5" s="4">
        <f t="shared" si="7"/>
        <v>0</v>
      </c>
      <c r="N5" s="4">
        <f t="shared" si="8"/>
        <v>-5.5889</v>
      </c>
      <c r="O5" s="4">
        <f t="shared" si="9"/>
        <v>0</v>
      </c>
      <c r="P5" s="4">
        <f t="shared" si="10"/>
        <v>13.5</v>
      </c>
    </row>
    <row r="6">
      <c r="A6" s="4">
        <v>1994.0</v>
      </c>
      <c r="B6" s="4">
        <v>156.0</v>
      </c>
      <c r="C6" s="5">
        <v>11.9</v>
      </c>
      <c r="D6" s="5">
        <v>19.9</v>
      </c>
      <c r="E6" s="4">
        <f t="shared" si="1"/>
        <v>0</v>
      </c>
      <c r="F6" s="4">
        <f t="shared" si="2"/>
        <v>0</v>
      </c>
      <c r="G6" s="4">
        <f t="shared" si="3"/>
        <v>26.793</v>
      </c>
      <c r="H6" s="4">
        <f t="shared" si="4"/>
        <v>25.864</v>
      </c>
      <c r="I6" s="4" t="str">
        <f t="shared" si="5"/>
        <v> </v>
      </c>
      <c r="J6" s="5"/>
      <c r="K6" s="5">
        <v>15.6</v>
      </c>
      <c r="L6" s="4">
        <f t="shared" si="6"/>
        <v>3</v>
      </c>
      <c r="M6" s="4">
        <f t="shared" si="7"/>
        <v>0</v>
      </c>
      <c r="N6" s="4">
        <f t="shared" si="8"/>
        <v>-0.6391</v>
      </c>
      <c r="O6" s="4" t="str">
        <f t="shared" si="9"/>
        <v/>
      </c>
      <c r="P6" s="4">
        <f t="shared" si="10"/>
        <v>15.6</v>
      </c>
    </row>
    <row r="7">
      <c r="A7" s="4">
        <v>1994.0</v>
      </c>
      <c r="B7" s="4">
        <v>157.0</v>
      </c>
      <c r="C7" s="5">
        <v>12.4</v>
      </c>
      <c r="D7" s="5">
        <v>21.7</v>
      </c>
      <c r="E7" s="4">
        <f t="shared" si="1"/>
        <v>0</v>
      </c>
      <c r="F7" s="4">
        <f t="shared" si="2"/>
        <v>0</v>
      </c>
      <c r="G7" s="4">
        <f t="shared" si="3"/>
        <v>30.168</v>
      </c>
      <c r="H7" s="4">
        <f t="shared" si="4"/>
        <v>28.5875</v>
      </c>
      <c r="I7" s="4" t="str">
        <f t="shared" si="5"/>
        <v> </v>
      </c>
      <c r="J7" s="5"/>
      <c r="K7" s="5">
        <v>18.1</v>
      </c>
      <c r="L7" s="4">
        <f t="shared" si="6"/>
        <v>3</v>
      </c>
      <c r="M7" s="4">
        <f t="shared" si="7"/>
        <v>1</v>
      </c>
      <c r="N7" s="4">
        <f t="shared" si="8"/>
        <v>6.3216</v>
      </c>
      <c r="O7" s="4" t="str">
        <f t="shared" si="9"/>
        <v/>
      </c>
      <c r="P7" s="4">
        <f t="shared" si="10"/>
        <v>18.1</v>
      </c>
    </row>
    <row r="8">
      <c r="A8" s="4">
        <v>1994.0</v>
      </c>
      <c r="B8" s="4">
        <v>158.0</v>
      </c>
      <c r="C8" s="5">
        <v>14.8</v>
      </c>
      <c r="D8" s="5">
        <v>20.4</v>
      </c>
      <c r="E8" s="4">
        <f t="shared" si="1"/>
        <v>1</v>
      </c>
      <c r="F8" s="4">
        <f t="shared" si="2"/>
        <v>1</v>
      </c>
      <c r="G8" s="4">
        <f t="shared" si="3"/>
        <v>30.965</v>
      </c>
      <c r="H8" s="4">
        <f t="shared" si="4"/>
        <v>33.8705</v>
      </c>
      <c r="I8" s="4">
        <f t="shared" si="5"/>
        <v>2.9055</v>
      </c>
      <c r="J8" s="5">
        <v>5.3</v>
      </c>
      <c r="K8" s="5">
        <v>16.6</v>
      </c>
      <c r="L8" s="4">
        <f t="shared" si="6"/>
        <v>8</v>
      </c>
      <c r="M8" s="4">
        <f t="shared" si="7"/>
        <v>1</v>
      </c>
      <c r="N8" s="4">
        <f t="shared" si="8"/>
        <v>9.4732</v>
      </c>
      <c r="O8" s="4">
        <f t="shared" si="9"/>
        <v>5.3</v>
      </c>
      <c r="P8" s="4">
        <f t="shared" si="10"/>
        <v>16.6</v>
      </c>
    </row>
    <row r="9">
      <c r="A9" s="4">
        <v>1994.0</v>
      </c>
      <c r="B9" s="4">
        <v>159.0</v>
      </c>
      <c r="C9" s="5">
        <v>11.4</v>
      </c>
      <c r="D9" s="5">
        <v>17.2</v>
      </c>
      <c r="E9" s="4">
        <f t="shared" si="1"/>
        <v>1</v>
      </c>
      <c r="F9" s="4">
        <f t="shared" si="2"/>
        <v>1</v>
      </c>
      <c r="G9" s="4">
        <f t="shared" si="3"/>
        <v>25.733</v>
      </c>
      <c r="H9" s="4">
        <f t="shared" si="4"/>
        <v>27.8215</v>
      </c>
      <c r="I9" s="4">
        <f t="shared" si="5"/>
        <v>2.0885</v>
      </c>
      <c r="J9" s="5">
        <v>9.9</v>
      </c>
      <c r="K9" s="5">
        <v>14.6</v>
      </c>
      <c r="L9" s="4">
        <f t="shared" si="6"/>
        <v>8</v>
      </c>
      <c r="M9" s="4">
        <f t="shared" si="7"/>
        <v>1</v>
      </c>
      <c r="N9" s="4">
        <f t="shared" si="8"/>
        <v>4.6129</v>
      </c>
      <c r="O9" s="4">
        <f t="shared" si="9"/>
        <v>9.9</v>
      </c>
      <c r="P9" s="4">
        <f t="shared" si="10"/>
        <v>14.6</v>
      </c>
    </row>
    <row r="10">
      <c r="A10" s="4">
        <v>1994.0</v>
      </c>
      <c r="B10" s="4">
        <v>160.0</v>
      </c>
      <c r="C10" s="5">
        <v>9.5</v>
      </c>
      <c r="D10" s="5">
        <v>23.0</v>
      </c>
      <c r="E10" s="4">
        <f t="shared" si="1"/>
        <v>1</v>
      </c>
      <c r="F10" s="4">
        <f t="shared" si="2"/>
        <v>1</v>
      </c>
      <c r="G10" s="4">
        <f t="shared" si="3"/>
        <v>28.525</v>
      </c>
      <c r="H10" s="4">
        <f t="shared" si="4"/>
        <v>29.611</v>
      </c>
      <c r="I10" s="4">
        <f t="shared" si="5"/>
        <v>1.086</v>
      </c>
      <c r="J10" s="5">
        <v>0.4</v>
      </c>
      <c r="K10" s="5">
        <v>16.5</v>
      </c>
      <c r="L10" s="4">
        <f t="shared" si="6"/>
        <v>8</v>
      </c>
      <c r="M10" s="4">
        <f t="shared" si="7"/>
        <v>1</v>
      </c>
      <c r="N10" s="4">
        <f t="shared" si="8"/>
        <v>1.5845</v>
      </c>
      <c r="O10" s="4">
        <f t="shared" si="9"/>
        <v>0.4</v>
      </c>
      <c r="P10" s="4">
        <f t="shared" si="10"/>
        <v>16.5</v>
      </c>
    </row>
    <row r="11">
      <c r="A11" s="4">
        <v>1994.0</v>
      </c>
      <c r="B11" s="4">
        <v>161.0</v>
      </c>
      <c r="C11" s="5">
        <v>9.3</v>
      </c>
      <c r="D11" s="5">
        <v>23.6</v>
      </c>
      <c r="E11" s="4">
        <f t="shared" si="1"/>
        <v>0</v>
      </c>
      <c r="F11" s="4">
        <f t="shared" si="2"/>
        <v>0</v>
      </c>
      <c r="G11" s="4">
        <f t="shared" si="3"/>
        <v>23.659</v>
      </c>
      <c r="H11" s="4">
        <f t="shared" si="4"/>
        <v>22.8815</v>
      </c>
      <c r="I11" s="4" t="str">
        <f t="shared" si="5"/>
        <v> </v>
      </c>
      <c r="J11" s="5"/>
      <c r="K11" s="5">
        <v>17.9</v>
      </c>
      <c r="L11" s="4">
        <f t="shared" si="6"/>
        <v>3</v>
      </c>
      <c r="M11" s="4">
        <f t="shared" si="7"/>
        <v>1</v>
      </c>
      <c r="N11" s="4">
        <f t="shared" si="8"/>
        <v>6.096</v>
      </c>
      <c r="O11" s="4" t="str">
        <f t="shared" si="9"/>
        <v/>
      </c>
      <c r="P11" s="4">
        <f t="shared" si="10"/>
        <v>17.9</v>
      </c>
    </row>
    <row r="12">
      <c r="A12" s="4">
        <v>1994.0</v>
      </c>
      <c r="B12" s="4">
        <v>162.0</v>
      </c>
      <c r="C12" s="5">
        <v>13.5</v>
      </c>
      <c r="D12" s="5">
        <v>20.4</v>
      </c>
      <c r="E12" s="4">
        <f t="shared" si="1"/>
        <v>1</v>
      </c>
      <c r="F12" s="4">
        <f t="shared" si="2"/>
        <v>1</v>
      </c>
      <c r="G12" s="4">
        <f t="shared" si="3"/>
        <v>25.578</v>
      </c>
      <c r="H12" s="4">
        <f t="shared" si="4"/>
        <v>28.1095</v>
      </c>
      <c r="I12" s="4">
        <f t="shared" si="5"/>
        <v>2.5315</v>
      </c>
      <c r="J12" s="5">
        <v>6.7</v>
      </c>
      <c r="K12" s="5">
        <v>17.1</v>
      </c>
      <c r="L12" s="4">
        <f t="shared" si="6"/>
        <v>8</v>
      </c>
      <c r="M12" s="4">
        <f t="shared" si="7"/>
        <v>1</v>
      </c>
      <c r="N12" s="4">
        <f t="shared" si="8"/>
        <v>9.4419</v>
      </c>
      <c r="O12" s="4">
        <f t="shared" si="9"/>
        <v>6.7</v>
      </c>
      <c r="P12" s="4">
        <f t="shared" si="10"/>
        <v>17.1</v>
      </c>
    </row>
    <row r="13">
      <c r="A13" s="4">
        <v>1994.0</v>
      </c>
      <c r="B13" s="4">
        <v>163.0</v>
      </c>
      <c r="C13" s="5">
        <v>11.0</v>
      </c>
      <c r="D13" s="5">
        <v>15.3</v>
      </c>
      <c r="E13" s="4">
        <f t="shared" si="1"/>
        <v>1</v>
      </c>
      <c r="F13" s="4">
        <f t="shared" si="2"/>
        <v>1</v>
      </c>
      <c r="G13" s="4">
        <f t="shared" si="3"/>
        <v>20.139</v>
      </c>
      <c r="H13" s="4">
        <f t="shared" si="4"/>
        <v>20.8315</v>
      </c>
      <c r="I13" s="4">
        <f t="shared" si="5"/>
        <v>0.6925</v>
      </c>
      <c r="J13" s="5">
        <v>19.7</v>
      </c>
      <c r="K13" s="5">
        <v>14.3</v>
      </c>
      <c r="L13" s="4">
        <f t="shared" si="6"/>
        <v>8</v>
      </c>
      <c r="M13" s="4">
        <f t="shared" si="7"/>
        <v>1</v>
      </c>
      <c r="N13" s="4">
        <f t="shared" si="8"/>
        <v>6.3551</v>
      </c>
      <c r="O13" s="4">
        <f t="shared" si="9"/>
        <v>19.7</v>
      </c>
      <c r="P13" s="4">
        <f t="shared" si="10"/>
        <v>14.3</v>
      </c>
    </row>
    <row r="14">
      <c r="A14" s="4">
        <v>1994.0</v>
      </c>
      <c r="B14" s="4">
        <v>164.0</v>
      </c>
      <c r="C14" s="5">
        <v>7.9</v>
      </c>
      <c r="D14" s="5">
        <v>18.4</v>
      </c>
      <c r="E14" s="4">
        <f t="shared" si="1"/>
        <v>1</v>
      </c>
      <c r="F14" s="4">
        <f t="shared" si="2"/>
        <v>1</v>
      </c>
      <c r="G14" s="4">
        <f t="shared" si="3"/>
        <v>19.741</v>
      </c>
      <c r="H14" s="4">
        <f t="shared" si="4"/>
        <v>21.292</v>
      </c>
      <c r="I14" s="4">
        <f t="shared" si="5"/>
        <v>1.551</v>
      </c>
      <c r="J14" s="5">
        <v>0.6</v>
      </c>
      <c r="K14" s="5">
        <v>13.7</v>
      </c>
      <c r="L14" s="4">
        <f t="shared" si="6"/>
        <v>8</v>
      </c>
      <c r="M14" s="4">
        <f t="shared" si="7"/>
        <v>1</v>
      </c>
      <c r="N14" s="4">
        <f t="shared" si="8"/>
        <v>0.7574</v>
      </c>
      <c r="O14" s="4">
        <f t="shared" si="9"/>
        <v>0.6</v>
      </c>
      <c r="P14" s="4">
        <f t="shared" si="10"/>
        <v>13.7</v>
      </c>
    </row>
    <row r="15">
      <c r="A15" s="4">
        <v>1994.0</v>
      </c>
      <c r="B15" s="4">
        <v>165.0</v>
      </c>
      <c r="C15" s="5">
        <v>8.3</v>
      </c>
      <c r="D15" s="5">
        <v>16.8</v>
      </c>
      <c r="E15" s="4">
        <f t="shared" si="1"/>
        <v>0</v>
      </c>
      <c r="F15" s="4">
        <f t="shared" si="2"/>
        <v>0</v>
      </c>
      <c r="G15" s="4">
        <f t="shared" si="3"/>
        <v>15.689</v>
      </c>
      <c r="H15" s="4">
        <f t="shared" si="4"/>
        <v>14.651</v>
      </c>
      <c r="I15" s="4" t="str">
        <f t="shared" si="5"/>
        <v> </v>
      </c>
      <c r="J15" s="5"/>
      <c r="K15" s="5">
        <v>12.9</v>
      </c>
      <c r="L15" s="4">
        <f t="shared" si="6"/>
        <v>3</v>
      </c>
      <c r="M15" s="4">
        <f t="shared" si="7"/>
        <v>1</v>
      </c>
      <c r="N15" s="4">
        <f t="shared" si="8"/>
        <v>1.9761</v>
      </c>
      <c r="O15" s="4" t="str">
        <f t="shared" si="9"/>
        <v/>
      </c>
      <c r="P15" s="4">
        <f t="shared" si="10"/>
        <v>12.9</v>
      </c>
    </row>
    <row r="16">
      <c r="A16" s="4">
        <v>1994.0</v>
      </c>
      <c r="B16" s="4">
        <v>166.0</v>
      </c>
      <c r="C16" s="5">
        <v>8.1</v>
      </c>
      <c r="D16" s="5">
        <v>19.5</v>
      </c>
      <c r="E16" s="4">
        <f t="shared" si="1"/>
        <v>1</v>
      </c>
      <c r="F16" s="4">
        <f t="shared" si="2"/>
        <v>1</v>
      </c>
      <c r="G16" s="4">
        <f t="shared" si="3"/>
        <v>16.866</v>
      </c>
      <c r="H16" s="4">
        <f t="shared" si="4"/>
        <v>17.152</v>
      </c>
      <c r="I16" s="4">
        <f t="shared" si="5"/>
        <v>0.286</v>
      </c>
      <c r="J16" s="5">
        <v>1.1</v>
      </c>
      <c r="K16" s="5">
        <v>14.9</v>
      </c>
      <c r="L16" s="4">
        <f t="shared" si="6"/>
        <v>8</v>
      </c>
      <c r="M16" s="4">
        <f t="shared" si="7"/>
        <v>0</v>
      </c>
      <c r="N16" s="4">
        <f t="shared" si="8"/>
        <v>-0.3955</v>
      </c>
      <c r="O16" s="4">
        <f t="shared" si="9"/>
        <v>1.1</v>
      </c>
      <c r="P16" s="4">
        <f t="shared" si="10"/>
        <v>14.9</v>
      </c>
    </row>
    <row r="17">
      <c r="A17" s="4">
        <v>1994.0</v>
      </c>
      <c r="B17" s="4">
        <v>167.0</v>
      </c>
      <c r="C17" s="5">
        <v>8.0</v>
      </c>
      <c r="D17" s="5">
        <v>17.3</v>
      </c>
      <c r="E17" s="4">
        <f t="shared" si="1"/>
        <v>0</v>
      </c>
      <c r="F17" s="4">
        <f t="shared" si="2"/>
        <v>1</v>
      </c>
      <c r="G17" s="4">
        <f t="shared" si="3"/>
        <v>11.646</v>
      </c>
      <c r="H17" s="4">
        <f t="shared" si="4"/>
        <v>12.024</v>
      </c>
      <c r="I17" s="4">
        <f t="shared" si="5"/>
        <v>0.378</v>
      </c>
      <c r="J17" s="5"/>
      <c r="K17" s="5">
        <v>12.6</v>
      </c>
      <c r="L17" s="4">
        <f t="shared" si="6"/>
        <v>3</v>
      </c>
      <c r="M17" s="4">
        <f t="shared" si="7"/>
        <v>1</v>
      </c>
      <c r="N17" s="4">
        <f t="shared" si="8"/>
        <v>1.0972</v>
      </c>
      <c r="O17" s="4" t="str">
        <f t="shared" si="9"/>
        <v/>
      </c>
      <c r="P17" s="4">
        <f t="shared" si="10"/>
        <v>12.6</v>
      </c>
    </row>
    <row r="18">
      <c r="A18" s="4">
        <v>1994.0</v>
      </c>
      <c r="B18" s="4">
        <v>168.0</v>
      </c>
      <c r="C18" s="5">
        <v>6.2</v>
      </c>
      <c r="D18" s="5">
        <v>16.8</v>
      </c>
      <c r="E18" s="4">
        <f t="shared" si="1"/>
        <v>1</v>
      </c>
      <c r="F18" s="4">
        <f t="shared" si="2"/>
        <v>1</v>
      </c>
      <c r="G18" s="4">
        <f t="shared" si="3"/>
        <v>14.806</v>
      </c>
      <c r="H18" s="4">
        <f t="shared" si="4"/>
        <v>16.205</v>
      </c>
      <c r="I18" s="4">
        <f t="shared" si="5"/>
        <v>1.399</v>
      </c>
      <c r="J18" s="5">
        <v>3.7</v>
      </c>
      <c r="K18" s="5">
        <v>11.4</v>
      </c>
      <c r="L18" s="4">
        <f t="shared" si="6"/>
        <v>8</v>
      </c>
      <c r="M18" s="4">
        <f t="shared" si="7"/>
        <v>0</v>
      </c>
      <c r="N18" s="4">
        <f t="shared" si="8"/>
        <v>-3.2537</v>
      </c>
      <c r="O18" s="4">
        <f t="shared" si="9"/>
        <v>3.7</v>
      </c>
      <c r="P18" s="4">
        <f t="shared" si="10"/>
        <v>11.4</v>
      </c>
    </row>
    <row r="19">
      <c r="A19" s="4">
        <v>1994.0</v>
      </c>
      <c r="B19" s="4">
        <v>169.0</v>
      </c>
      <c r="C19" s="5">
        <v>5.0</v>
      </c>
      <c r="D19" s="5">
        <v>15.0</v>
      </c>
      <c r="E19" s="4">
        <f t="shared" si="1"/>
        <v>0</v>
      </c>
      <c r="F19" s="4">
        <f t="shared" si="2"/>
        <v>0</v>
      </c>
      <c r="G19" s="4">
        <f t="shared" si="3"/>
        <v>14.922</v>
      </c>
      <c r="H19" s="4">
        <f t="shared" si="4"/>
        <v>13.785</v>
      </c>
      <c r="I19" s="4" t="str">
        <f t="shared" si="5"/>
        <v> </v>
      </c>
      <c r="J19" s="5"/>
      <c r="K19" s="5">
        <v>10.3</v>
      </c>
      <c r="L19" s="4">
        <f t="shared" si="6"/>
        <v>3</v>
      </c>
      <c r="M19" s="4">
        <f t="shared" si="7"/>
        <v>0</v>
      </c>
      <c r="N19" s="4">
        <f t="shared" si="8"/>
        <v>-1.3272</v>
      </c>
      <c r="O19" s="4" t="str">
        <f t="shared" si="9"/>
        <v/>
      </c>
      <c r="P19" s="4">
        <f t="shared" si="10"/>
        <v>10.3</v>
      </c>
    </row>
    <row r="20">
      <c r="A20" s="4">
        <v>1994.0</v>
      </c>
      <c r="B20" s="4">
        <v>170.0</v>
      </c>
      <c r="C20" s="5">
        <v>6.0</v>
      </c>
      <c r="D20" s="5">
        <v>14.3</v>
      </c>
      <c r="E20" s="4">
        <f t="shared" si="1"/>
        <v>0</v>
      </c>
      <c r="F20" s="4">
        <f t="shared" si="2"/>
        <v>1</v>
      </c>
      <c r="G20" s="4">
        <f t="shared" si="3"/>
        <v>14.773</v>
      </c>
      <c r="H20" s="4">
        <f t="shared" si="4"/>
        <v>16.077</v>
      </c>
      <c r="I20" s="4">
        <f t="shared" si="5"/>
        <v>1.304</v>
      </c>
      <c r="J20" s="5"/>
      <c r="K20" s="5">
        <v>10.4</v>
      </c>
      <c r="L20" s="4">
        <f t="shared" si="6"/>
        <v>3</v>
      </c>
      <c r="M20" s="4">
        <f t="shared" si="7"/>
        <v>1</v>
      </c>
      <c r="N20" s="4">
        <f t="shared" si="8"/>
        <v>8.2813</v>
      </c>
      <c r="O20" s="4" t="str">
        <f t="shared" si="9"/>
        <v/>
      </c>
      <c r="P20" s="4">
        <f t="shared" si="10"/>
        <v>10.4</v>
      </c>
    </row>
    <row r="21" ht="15.75" customHeight="1">
      <c r="A21" s="4">
        <v>1994.0</v>
      </c>
      <c r="B21" s="4">
        <v>171.0</v>
      </c>
      <c r="C21" s="5">
        <v>6.8</v>
      </c>
      <c r="D21" s="5">
        <v>13.7</v>
      </c>
      <c r="E21" s="4">
        <f t="shared" si="1"/>
        <v>1</v>
      </c>
      <c r="F21" s="4">
        <f t="shared" si="2"/>
        <v>1</v>
      </c>
      <c r="G21" s="4">
        <f t="shared" si="3"/>
        <v>14.915</v>
      </c>
      <c r="H21" s="4">
        <f t="shared" si="4"/>
        <v>18.5845</v>
      </c>
      <c r="I21" s="4">
        <f t="shared" si="5"/>
        <v>3.6695</v>
      </c>
      <c r="J21" s="5">
        <v>5.9</v>
      </c>
      <c r="K21" s="5">
        <v>10.8</v>
      </c>
      <c r="L21" s="4">
        <f t="shared" si="6"/>
        <v>8</v>
      </c>
      <c r="M21" s="4">
        <f t="shared" si="7"/>
        <v>1</v>
      </c>
      <c r="N21" s="4">
        <f t="shared" si="8"/>
        <v>7.4742</v>
      </c>
      <c r="O21" s="4">
        <f t="shared" si="9"/>
        <v>5.9</v>
      </c>
      <c r="P21" s="4">
        <f t="shared" si="10"/>
        <v>10.8</v>
      </c>
    </row>
    <row r="22" ht="15.75" customHeight="1">
      <c r="A22" s="4">
        <v>1994.0</v>
      </c>
      <c r="B22" s="4">
        <v>172.0</v>
      </c>
      <c r="C22" s="5">
        <v>7.8</v>
      </c>
      <c r="D22" s="5">
        <v>17.2</v>
      </c>
      <c r="E22" s="4">
        <f t="shared" si="1"/>
        <v>1</v>
      </c>
      <c r="F22" s="4">
        <f t="shared" si="2"/>
        <v>1</v>
      </c>
      <c r="G22" s="4">
        <f t="shared" si="3"/>
        <v>23.237</v>
      </c>
      <c r="H22" s="4">
        <f t="shared" si="4"/>
        <v>25.934</v>
      </c>
      <c r="I22" s="4">
        <f t="shared" si="5"/>
        <v>2.697</v>
      </c>
      <c r="J22" s="5">
        <v>0.4</v>
      </c>
      <c r="K22" s="5">
        <v>12.7</v>
      </c>
      <c r="L22" s="4">
        <f t="shared" si="6"/>
        <v>8</v>
      </c>
      <c r="M22" s="4">
        <f t="shared" si="7"/>
        <v>1</v>
      </c>
      <c r="N22" s="4">
        <f t="shared" si="8"/>
        <v>0.2606</v>
      </c>
      <c r="O22" s="4">
        <f t="shared" si="9"/>
        <v>0.4</v>
      </c>
      <c r="P22" s="4">
        <f t="shared" si="10"/>
        <v>12.7</v>
      </c>
    </row>
    <row r="23" ht="15.75" customHeight="1">
      <c r="A23" s="4">
        <v>1994.0</v>
      </c>
      <c r="B23" s="4">
        <v>173.0</v>
      </c>
      <c r="C23" s="5">
        <v>10.0</v>
      </c>
      <c r="D23" s="5">
        <v>21.2</v>
      </c>
      <c r="E23" s="4">
        <f t="shared" si="1"/>
        <v>0</v>
      </c>
      <c r="F23" s="4">
        <f t="shared" si="2"/>
        <v>1</v>
      </c>
      <c r="G23" s="4">
        <f t="shared" si="3"/>
        <v>22.332</v>
      </c>
      <c r="H23" s="4">
        <f t="shared" si="4"/>
        <v>23.1365</v>
      </c>
      <c r="I23" s="4">
        <f t="shared" si="5"/>
        <v>0.8045</v>
      </c>
      <c r="J23" s="5"/>
      <c r="K23" s="5">
        <v>15.7</v>
      </c>
      <c r="L23" s="4">
        <f t="shared" si="6"/>
        <v>3</v>
      </c>
      <c r="M23" s="4">
        <f t="shared" si="7"/>
        <v>1</v>
      </c>
      <c r="N23" s="4">
        <f t="shared" si="8"/>
        <v>5.8107</v>
      </c>
      <c r="O23" s="4" t="str">
        <f t="shared" si="9"/>
        <v/>
      </c>
      <c r="P23" s="4">
        <f t="shared" si="10"/>
        <v>15.7</v>
      </c>
    </row>
    <row r="24" ht="15.75" customHeight="1">
      <c r="A24" s="4">
        <v>1994.0</v>
      </c>
      <c r="B24" s="4">
        <v>174.0</v>
      </c>
      <c r="C24" s="5">
        <v>8.3</v>
      </c>
      <c r="D24" s="5">
        <v>17.4</v>
      </c>
      <c r="E24" s="4">
        <f t="shared" si="1"/>
        <v>1</v>
      </c>
      <c r="F24" s="4">
        <f t="shared" si="2"/>
        <v>1</v>
      </c>
      <c r="G24" s="4">
        <f t="shared" si="3"/>
        <v>26.365</v>
      </c>
      <c r="H24" s="4">
        <f t="shared" si="4"/>
        <v>28.4905</v>
      </c>
      <c r="I24" s="4">
        <f t="shared" si="5"/>
        <v>2.1255</v>
      </c>
      <c r="J24" s="5">
        <v>3.7</v>
      </c>
      <c r="K24" s="5">
        <v>12.7</v>
      </c>
      <c r="L24" s="4">
        <f t="shared" si="6"/>
        <v>8</v>
      </c>
      <c r="M24" s="4">
        <f t="shared" si="7"/>
        <v>1</v>
      </c>
      <c r="N24" s="4">
        <f t="shared" si="8"/>
        <v>12.3022</v>
      </c>
      <c r="O24" s="4">
        <f t="shared" si="9"/>
        <v>3.7</v>
      </c>
      <c r="P24" s="4">
        <f t="shared" si="10"/>
        <v>12.7</v>
      </c>
    </row>
    <row r="25" ht="15.75" customHeight="1">
      <c r="A25" s="4">
        <v>1994.0</v>
      </c>
      <c r="B25" s="4">
        <v>175.0</v>
      </c>
      <c r="C25" s="5">
        <v>6.8</v>
      </c>
      <c r="D25" s="5">
        <v>12.2</v>
      </c>
      <c r="E25" s="4">
        <f t="shared" si="1"/>
        <v>1</v>
      </c>
      <c r="F25" s="4">
        <f t="shared" si="2"/>
        <v>1</v>
      </c>
      <c r="G25" s="4">
        <f t="shared" si="3"/>
        <v>21.124</v>
      </c>
      <c r="H25" s="4">
        <f t="shared" si="4"/>
        <v>24.5335</v>
      </c>
      <c r="I25" s="4">
        <f t="shared" si="5"/>
        <v>3.4095</v>
      </c>
      <c r="J25" s="5">
        <v>4.4</v>
      </c>
      <c r="K25" s="5">
        <v>9.3</v>
      </c>
      <c r="L25" s="4">
        <f t="shared" si="6"/>
        <v>8</v>
      </c>
      <c r="M25" s="4">
        <f t="shared" si="7"/>
        <v>1</v>
      </c>
      <c r="N25" s="4">
        <f t="shared" si="8"/>
        <v>12.2743</v>
      </c>
      <c r="O25" s="4">
        <f t="shared" si="9"/>
        <v>0</v>
      </c>
      <c r="P25" s="4">
        <f t="shared" si="10"/>
        <v>0</v>
      </c>
    </row>
    <row r="26" ht="15.75" customHeight="1">
      <c r="A26" s="4">
        <v>1994.0</v>
      </c>
      <c r="B26" s="4">
        <v>176.0</v>
      </c>
      <c r="C26" s="5">
        <v>9.9</v>
      </c>
      <c r="D26" s="5">
        <v>21.2</v>
      </c>
      <c r="E26" s="4">
        <f t="shared" si="1"/>
        <v>1</v>
      </c>
      <c r="F26" s="4">
        <f t="shared" si="2"/>
        <v>1</v>
      </c>
      <c r="G26" s="4">
        <f t="shared" si="3"/>
        <v>27.861</v>
      </c>
      <c r="H26" s="4">
        <f t="shared" si="4"/>
        <v>27.9115</v>
      </c>
      <c r="I26" s="4">
        <f t="shared" si="5"/>
        <v>0.0505</v>
      </c>
      <c r="J26" s="5">
        <v>6.1</v>
      </c>
      <c r="K26" s="5">
        <v>14.1</v>
      </c>
      <c r="L26" s="4">
        <f t="shared" si="6"/>
        <v>8</v>
      </c>
      <c r="M26" s="4">
        <f t="shared" si="7"/>
        <v>1</v>
      </c>
      <c r="N26" s="4">
        <f t="shared" si="8"/>
        <v>6.3459</v>
      </c>
      <c r="O26" s="4">
        <f t="shared" si="9"/>
        <v>6.1</v>
      </c>
      <c r="P26" s="4">
        <f t="shared" si="10"/>
        <v>14.1</v>
      </c>
    </row>
    <row r="27" ht="15.75" customHeight="1">
      <c r="A27" s="4">
        <v>1994.0</v>
      </c>
      <c r="B27" s="4">
        <v>177.0</v>
      </c>
      <c r="C27" s="5">
        <v>10.9</v>
      </c>
      <c r="D27" s="5">
        <v>17.2</v>
      </c>
      <c r="E27" s="4">
        <f t="shared" si="1"/>
        <v>1</v>
      </c>
      <c r="F27" s="4">
        <f t="shared" si="2"/>
        <v>0</v>
      </c>
      <c r="G27" s="4">
        <f t="shared" si="3"/>
        <v>25.77</v>
      </c>
      <c r="H27" s="4">
        <f t="shared" si="4"/>
        <v>24.5045</v>
      </c>
      <c r="I27" s="4" t="str">
        <f t="shared" si="5"/>
        <v> </v>
      </c>
      <c r="J27" s="5">
        <v>2.3</v>
      </c>
      <c r="K27" s="5">
        <v>14.5</v>
      </c>
      <c r="L27" s="4">
        <f t="shared" si="6"/>
        <v>8</v>
      </c>
      <c r="M27" s="4">
        <f t="shared" si="7"/>
        <v>1</v>
      </c>
      <c r="N27" s="4">
        <f t="shared" si="8"/>
        <v>3.061</v>
      </c>
      <c r="O27" s="4">
        <f t="shared" si="9"/>
        <v>2.3</v>
      </c>
      <c r="P27" s="4">
        <f t="shared" si="10"/>
        <v>14.5</v>
      </c>
    </row>
    <row r="28" ht="15.75" customHeight="1">
      <c r="A28" s="4">
        <v>1994.0</v>
      </c>
      <c r="B28" s="4">
        <v>178.0</v>
      </c>
      <c r="C28" s="5">
        <v>12.1</v>
      </c>
      <c r="D28" s="5">
        <v>23.8</v>
      </c>
      <c r="E28" s="4">
        <f t="shared" si="1"/>
        <v>0</v>
      </c>
      <c r="F28" s="4">
        <f t="shared" si="2"/>
        <v>0</v>
      </c>
      <c r="G28" s="4">
        <f t="shared" si="3"/>
        <v>28.49</v>
      </c>
      <c r="H28" s="4">
        <f t="shared" si="4"/>
        <v>24.8635</v>
      </c>
      <c r="I28" s="4" t="str">
        <f t="shared" si="5"/>
        <v> </v>
      </c>
      <c r="J28" s="5"/>
      <c r="K28" s="5">
        <v>18.0</v>
      </c>
      <c r="L28" s="4">
        <f t="shared" si="6"/>
        <v>3</v>
      </c>
      <c r="M28" s="4">
        <f t="shared" si="7"/>
        <v>1</v>
      </c>
      <c r="N28" s="4">
        <f t="shared" si="8"/>
        <v>2.5771</v>
      </c>
      <c r="O28" s="4" t="str">
        <f t="shared" si="9"/>
        <v/>
      </c>
      <c r="P28" s="4">
        <f t="shared" si="10"/>
        <v>18</v>
      </c>
    </row>
    <row r="29" ht="15.75" customHeight="1">
      <c r="A29" s="4">
        <v>1994.0</v>
      </c>
      <c r="B29" s="4">
        <v>179.0</v>
      </c>
      <c r="C29" s="5">
        <v>14.5</v>
      </c>
      <c r="D29" s="5">
        <v>19.5</v>
      </c>
      <c r="E29" s="4">
        <f t="shared" si="1"/>
        <v>1</v>
      </c>
      <c r="F29" s="4">
        <f t="shared" si="2"/>
        <v>0</v>
      </c>
      <c r="G29" s="4">
        <f t="shared" si="3"/>
        <v>26.716</v>
      </c>
      <c r="H29" s="4">
        <f t="shared" si="4"/>
        <v>24.0965</v>
      </c>
      <c r="I29" s="4" t="str">
        <f t="shared" si="5"/>
        <v> </v>
      </c>
      <c r="J29" s="5">
        <v>9.4</v>
      </c>
      <c r="K29" s="5">
        <v>16.1</v>
      </c>
      <c r="L29" s="4">
        <f t="shared" si="6"/>
        <v>8</v>
      </c>
      <c r="M29" s="4">
        <f t="shared" si="7"/>
        <v>0</v>
      </c>
      <c r="N29" s="4">
        <f t="shared" si="8"/>
        <v>-3.226</v>
      </c>
      <c r="O29" s="4">
        <f t="shared" si="9"/>
        <v>9.4</v>
      </c>
      <c r="P29" s="4">
        <f t="shared" si="10"/>
        <v>16.1</v>
      </c>
    </row>
    <row r="30" ht="15.75" customHeight="1">
      <c r="A30" s="4">
        <v>1994.0</v>
      </c>
      <c r="B30" s="4">
        <v>180.0</v>
      </c>
      <c r="C30" s="5">
        <v>13.5</v>
      </c>
      <c r="D30" s="5">
        <v>19.5</v>
      </c>
      <c r="E30" s="4">
        <f t="shared" si="1"/>
        <v>0</v>
      </c>
      <c r="F30" s="4">
        <f t="shared" si="2"/>
        <v>0</v>
      </c>
      <c r="G30" s="4">
        <f t="shared" si="3"/>
        <v>24.472</v>
      </c>
      <c r="H30" s="4">
        <f t="shared" si="4"/>
        <v>22.062</v>
      </c>
      <c r="I30" s="4" t="str">
        <f t="shared" si="5"/>
        <v> </v>
      </c>
      <c r="J30" s="5"/>
      <c r="K30" s="5">
        <v>16.5</v>
      </c>
      <c r="L30" s="4">
        <f t="shared" si="6"/>
        <v>3</v>
      </c>
      <c r="M30" s="4">
        <f t="shared" si="7"/>
        <v>0</v>
      </c>
      <c r="N30" s="4">
        <f t="shared" si="8"/>
        <v>-6.6564</v>
      </c>
      <c r="O30" s="4" t="str">
        <f t="shared" si="9"/>
        <v/>
      </c>
      <c r="P30" s="4">
        <f t="shared" si="10"/>
        <v>16.5</v>
      </c>
    </row>
    <row r="31" ht="15.75" customHeight="1">
      <c r="A31" s="4">
        <v>1994.0</v>
      </c>
      <c r="B31" s="4">
        <v>181.0</v>
      </c>
      <c r="C31" s="5">
        <v>12.1</v>
      </c>
      <c r="D31" s="5">
        <v>22.2</v>
      </c>
      <c r="E31" s="4">
        <f t="shared" si="1"/>
        <v>0</v>
      </c>
      <c r="F31" s="4">
        <f t="shared" si="2"/>
        <v>0</v>
      </c>
      <c r="G31" s="4">
        <f t="shared" si="3"/>
        <v>27.605</v>
      </c>
      <c r="H31" s="4">
        <f t="shared" si="4"/>
        <v>24.9255</v>
      </c>
      <c r="I31" s="4" t="str">
        <f t="shared" si="5"/>
        <v> </v>
      </c>
      <c r="J31" s="5"/>
      <c r="K31" s="5">
        <v>17.2</v>
      </c>
      <c r="L31" s="4">
        <f t="shared" si="6"/>
        <v>3</v>
      </c>
      <c r="M31" s="4">
        <f t="shared" si="7"/>
        <v>0</v>
      </c>
      <c r="N31" s="4">
        <f t="shared" si="8"/>
        <v>-7.2456</v>
      </c>
      <c r="O31" s="4" t="str">
        <f t="shared" si="9"/>
        <v/>
      </c>
      <c r="P31" s="4">
        <f t="shared" si="10"/>
        <v>17.2</v>
      </c>
    </row>
    <row r="32" ht="15.75" customHeight="1">
      <c r="A32" s="4">
        <v>1994.0</v>
      </c>
      <c r="B32" s="4">
        <v>182.0</v>
      </c>
      <c r="C32" s="5">
        <v>13.1</v>
      </c>
      <c r="D32" s="5">
        <v>24.1</v>
      </c>
      <c r="E32" s="4">
        <f t="shared" si="1"/>
        <v>0</v>
      </c>
      <c r="F32" s="4">
        <f t="shared" si="2"/>
        <v>0</v>
      </c>
      <c r="G32" s="4">
        <f t="shared" si="3"/>
        <v>23.913</v>
      </c>
      <c r="H32" s="4">
        <f t="shared" si="4"/>
        <v>20.638</v>
      </c>
      <c r="I32" s="4" t="str">
        <f t="shared" si="5"/>
        <v> </v>
      </c>
      <c r="J32" s="5"/>
      <c r="K32" s="5">
        <v>18.6</v>
      </c>
      <c r="L32" s="4">
        <f t="shared" si="6"/>
        <v>3</v>
      </c>
      <c r="M32" s="4">
        <f t="shared" si="7"/>
        <v>0</v>
      </c>
      <c r="N32" s="4">
        <f t="shared" si="8"/>
        <v>-1.6679</v>
      </c>
      <c r="O32" s="4" t="str">
        <f t="shared" si="9"/>
        <v/>
      </c>
      <c r="P32" s="4">
        <f t="shared" si="10"/>
        <v>18.6</v>
      </c>
    </row>
    <row r="33" ht="15.75" customHeight="1">
      <c r="A33" s="4">
        <v>1994.0</v>
      </c>
      <c r="B33" s="4">
        <v>183.0</v>
      </c>
      <c r="C33" s="5">
        <v>13.4</v>
      </c>
      <c r="D33" s="5">
        <v>21.2</v>
      </c>
      <c r="E33" s="4">
        <f t="shared" si="1"/>
        <v>0</v>
      </c>
      <c r="F33" s="4">
        <f t="shared" si="2"/>
        <v>1</v>
      </c>
      <c r="G33" s="4">
        <f t="shared" si="3"/>
        <v>17.732</v>
      </c>
      <c r="H33" s="4">
        <f t="shared" si="4"/>
        <v>19.156</v>
      </c>
      <c r="I33" s="4">
        <f t="shared" si="5"/>
        <v>1.424</v>
      </c>
      <c r="J33" s="5"/>
      <c r="K33" s="5">
        <v>16.4</v>
      </c>
      <c r="L33" s="4">
        <f t="shared" si="6"/>
        <v>3</v>
      </c>
      <c r="M33" s="4">
        <f t="shared" si="7"/>
        <v>1</v>
      </c>
      <c r="N33" s="4">
        <f t="shared" si="8"/>
        <v>7.2855</v>
      </c>
      <c r="O33" s="4" t="str">
        <f t="shared" si="9"/>
        <v/>
      </c>
      <c r="P33" s="4">
        <f t="shared" si="10"/>
        <v>16.4</v>
      </c>
    </row>
    <row r="34" ht="15.75" customHeight="1">
      <c r="A34" s="4">
        <v>1994.0</v>
      </c>
      <c r="B34" s="4">
        <v>184.0</v>
      </c>
      <c r="C34" s="5">
        <v>14.7</v>
      </c>
      <c r="D34" s="5">
        <v>20.3</v>
      </c>
      <c r="E34" s="4">
        <f t="shared" si="1"/>
        <v>1</v>
      </c>
      <c r="F34" s="4">
        <f t="shared" si="2"/>
        <v>1</v>
      </c>
      <c r="G34" s="4">
        <f t="shared" si="3"/>
        <v>25.084</v>
      </c>
      <c r="H34" s="4">
        <f t="shared" si="4"/>
        <v>27.1865</v>
      </c>
      <c r="I34" s="4">
        <f t="shared" si="5"/>
        <v>2.1025</v>
      </c>
      <c r="J34" s="5">
        <v>5.8</v>
      </c>
      <c r="K34" s="5">
        <v>16.7</v>
      </c>
      <c r="L34" s="4">
        <f t="shared" si="6"/>
        <v>8</v>
      </c>
      <c r="M34" s="4">
        <f t="shared" si="7"/>
        <v>1</v>
      </c>
      <c r="N34" s="4">
        <f t="shared" si="8"/>
        <v>3.7655</v>
      </c>
      <c r="O34" s="4">
        <f t="shared" si="9"/>
        <v>5.8</v>
      </c>
      <c r="P34" s="4">
        <f t="shared" si="10"/>
        <v>16.7</v>
      </c>
    </row>
    <row r="35" ht="15.75" customHeight="1">
      <c r="A35" s="4">
        <v>1994.0</v>
      </c>
      <c r="B35" s="4">
        <v>185.0</v>
      </c>
      <c r="C35" s="5">
        <v>13.4</v>
      </c>
      <c r="D35" s="5">
        <v>20.9</v>
      </c>
      <c r="E35" s="4">
        <f t="shared" si="1"/>
        <v>1</v>
      </c>
      <c r="F35" s="4">
        <f t="shared" si="2"/>
        <v>0</v>
      </c>
      <c r="G35" s="4">
        <f t="shared" si="3"/>
        <v>24.133</v>
      </c>
      <c r="H35" s="4">
        <f t="shared" si="4"/>
        <v>22.8735</v>
      </c>
      <c r="I35" s="4" t="str">
        <f t="shared" si="5"/>
        <v> </v>
      </c>
      <c r="J35" s="5">
        <v>0.7</v>
      </c>
      <c r="K35" s="5">
        <v>17.2</v>
      </c>
      <c r="L35" s="4">
        <f t="shared" si="6"/>
        <v>8</v>
      </c>
      <c r="M35" s="4">
        <f t="shared" si="7"/>
        <v>1</v>
      </c>
      <c r="N35" s="4">
        <f t="shared" si="8"/>
        <v>1.0857</v>
      </c>
      <c r="O35" s="4">
        <f t="shared" si="9"/>
        <v>0.7</v>
      </c>
      <c r="P35" s="4">
        <f t="shared" si="10"/>
        <v>17.2</v>
      </c>
    </row>
    <row r="36" ht="15.75" customHeight="1">
      <c r="A36" s="4">
        <v>1994.0</v>
      </c>
      <c r="B36" s="4">
        <v>186.0</v>
      </c>
      <c r="C36" s="5">
        <v>7.6</v>
      </c>
      <c r="D36" s="5">
        <v>14.0</v>
      </c>
      <c r="E36" s="4">
        <f t="shared" si="1"/>
        <v>0</v>
      </c>
      <c r="F36" s="4">
        <f t="shared" si="2"/>
        <v>0</v>
      </c>
      <c r="G36" s="4">
        <f t="shared" si="3"/>
        <v>17.826</v>
      </c>
      <c r="H36" s="4">
        <f t="shared" si="4"/>
        <v>17.5065</v>
      </c>
      <c r="I36" s="4" t="str">
        <f t="shared" si="5"/>
        <v> </v>
      </c>
      <c r="J36" s="5"/>
      <c r="K36" s="5">
        <v>10.7</v>
      </c>
      <c r="L36" s="4">
        <f t="shared" si="6"/>
        <v>3</v>
      </c>
      <c r="M36" s="4">
        <f t="shared" si="7"/>
        <v>1</v>
      </c>
      <c r="N36" s="4">
        <f t="shared" si="8"/>
        <v>10.1462</v>
      </c>
      <c r="O36" s="4" t="str">
        <f t="shared" si="9"/>
        <v/>
      </c>
      <c r="P36" s="4">
        <f t="shared" si="10"/>
        <v>10.7</v>
      </c>
    </row>
    <row r="37" ht="15.75" customHeight="1">
      <c r="A37" s="4">
        <v>1994.0</v>
      </c>
      <c r="B37" s="4">
        <v>187.0</v>
      </c>
      <c r="C37" s="5">
        <v>6.7</v>
      </c>
      <c r="D37" s="5">
        <v>10.5</v>
      </c>
      <c r="E37" s="4">
        <f t="shared" si="1"/>
        <v>1</v>
      </c>
      <c r="F37" s="4">
        <f t="shared" si="2"/>
        <v>0</v>
      </c>
      <c r="G37" s="4">
        <f t="shared" si="3"/>
        <v>21.502</v>
      </c>
      <c r="H37" s="4">
        <f t="shared" si="4"/>
        <v>21.491</v>
      </c>
      <c r="I37" s="4" t="str">
        <f t="shared" si="5"/>
        <v> </v>
      </c>
      <c r="J37" s="5">
        <v>2.7</v>
      </c>
      <c r="K37" s="5">
        <v>8.9</v>
      </c>
      <c r="L37" s="4">
        <f t="shared" si="6"/>
        <v>8</v>
      </c>
      <c r="M37" s="4">
        <f t="shared" si="7"/>
        <v>1</v>
      </c>
      <c r="N37" s="4">
        <f t="shared" si="8"/>
        <v>6.9235</v>
      </c>
      <c r="O37" s="4">
        <f t="shared" si="9"/>
        <v>0</v>
      </c>
      <c r="P37" s="4">
        <f t="shared" si="10"/>
        <v>0</v>
      </c>
    </row>
    <row r="38" ht="15.75" customHeight="1">
      <c r="A38" s="4">
        <v>1994.0</v>
      </c>
      <c r="B38" s="4">
        <v>188.0</v>
      </c>
      <c r="C38" s="5">
        <v>10.3</v>
      </c>
      <c r="D38" s="5">
        <v>20.6</v>
      </c>
      <c r="E38" s="4">
        <f t="shared" si="1"/>
        <v>1</v>
      </c>
      <c r="F38" s="4">
        <f t="shared" si="2"/>
        <v>0</v>
      </c>
      <c r="G38" s="4">
        <f t="shared" si="3"/>
        <v>31.988</v>
      </c>
      <c r="H38" s="4">
        <f t="shared" si="4"/>
        <v>29.357</v>
      </c>
      <c r="I38" s="4" t="str">
        <f t="shared" si="5"/>
        <v> </v>
      </c>
      <c r="J38" s="5">
        <v>1.3</v>
      </c>
      <c r="K38" s="5">
        <v>15.2</v>
      </c>
      <c r="L38" s="4">
        <f t="shared" si="6"/>
        <v>8</v>
      </c>
      <c r="M38" s="4">
        <f t="shared" si="7"/>
        <v>0</v>
      </c>
      <c r="N38" s="4">
        <f t="shared" si="8"/>
        <v>-4.8365</v>
      </c>
      <c r="O38" s="4">
        <f t="shared" si="9"/>
        <v>1.3</v>
      </c>
      <c r="P38" s="4">
        <f t="shared" si="10"/>
        <v>15.2</v>
      </c>
    </row>
    <row r="39" ht="15.75" customHeight="1">
      <c r="A39" s="4">
        <v>1994.0</v>
      </c>
      <c r="B39" s="4">
        <v>189.0</v>
      </c>
      <c r="C39" s="5">
        <v>9.7</v>
      </c>
      <c r="D39" s="5">
        <v>21.0</v>
      </c>
      <c r="E39" s="4">
        <f t="shared" si="1"/>
        <v>0</v>
      </c>
      <c r="F39" s="4">
        <f t="shared" si="2"/>
        <v>0</v>
      </c>
      <c r="G39" s="4">
        <f t="shared" si="3"/>
        <v>33.293</v>
      </c>
      <c r="H39" s="4">
        <f t="shared" si="4"/>
        <v>28.6005</v>
      </c>
      <c r="I39" s="4" t="str">
        <f t="shared" si="5"/>
        <v> </v>
      </c>
      <c r="J39" s="5"/>
      <c r="K39" s="5">
        <v>15.6</v>
      </c>
      <c r="L39" s="4">
        <f t="shared" si="6"/>
        <v>3</v>
      </c>
      <c r="M39" s="4">
        <f t="shared" si="7"/>
        <v>0</v>
      </c>
      <c r="N39" s="4">
        <f t="shared" si="8"/>
        <v>-10.2654</v>
      </c>
      <c r="O39" s="4" t="str">
        <f t="shared" si="9"/>
        <v/>
      </c>
      <c r="P39" s="4">
        <f t="shared" si="10"/>
        <v>15.6</v>
      </c>
    </row>
    <row r="40" ht="15.75" customHeight="1">
      <c r="A40" s="4">
        <v>1994.0</v>
      </c>
      <c r="B40" s="4">
        <v>190.0</v>
      </c>
      <c r="C40" s="5">
        <v>9.4</v>
      </c>
      <c r="D40" s="5">
        <v>22.4</v>
      </c>
      <c r="E40" s="4">
        <f t="shared" si="1"/>
        <v>0</v>
      </c>
      <c r="F40" s="4">
        <f t="shared" si="2"/>
        <v>0</v>
      </c>
      <c r="G40" s="4">
        <f t="shared" si="3"/>
        <v>33.067</v>
      </c>
      <c r="H40" s="4">
        <f t="shared" si="4"/>
        <v>28.0305</v>
      </c>
      <c r="I40" s="4" t="str">
        <f t="shared" si="5"/>
        <v> </v>
      </c>
      <c r="J40" s="5"/>
      <c r="K40" s="5">
        <v>16.3</v>
      </c>
      <c r="L40" s="4">
        <f t="shared" si="6"/>
        <v>3</v>
      </c>
      <c r="M40" s="4">
        <f t="shared" si="7"/>
        <v>0</v>
      </c>
      <c r="N40" s="4">
        <f t="shared" si="8"/>
        <v>-9.7336</v>
      </c>
      <c r="O40" s="4" t="str">
        <f t="shared" si="9"/>
        <v/>
      </c>
      <c r="P40" s="4">
        <f t="shared" si="10"/>
        <v>16.3</v>
      </c>
    </row>
    <row r="41" ht="15.75" customHeight="1">
      <c r="A41" s="4">
        <v>1994.0</v>
      </c>
      <c r="B41" s="4">
        <v>191.0</v>
      </c>
      <c r="C41" s="5">
        <v>7.2</v>
      </c>
      <c r="D41" s="5">
        <v>24.0</v>
      </c>
      <c r="E41" s="4">
        <f t="shared" si="1"/>
        <v>0</v>
      </c>
      <c r="F41" s="4">
        <f t="shared" si="2"/>
        <v>0</v>
      </c>
      <c r="G41" s="4">
        <f t="shared" si="3"/>
        <v>37.198</v>
      </c>
      <c r="H41" s="4">
        <f t="shared" si="4"/>
        <v>31.8405</v>
      </c>
      <c r="I41" s="4" t="str">
        <f t="shared" si="5"/>
        <v> </v>
      </c>
      <c r="J41" s="5"/>
      <c r="K41" s="5">
        <v>16.7</v>
      </c>
      <c r="L41" s="4">
        <f t="shared" si="6"/>
        <v>3</v>
      </c>
      <c r="M41" s="4">
        <f t="shared" si="7"/>
        <v>0</v>
      </c>
      <c r="N41" s="4">
        <f t="shared" si="8"/>
        <v>-8.5515</v>
      </c>
      <c r="O41" s="4" t="str">
        <f t="shared" si="9"/>
        <v/>
      </c>
      <c r="P41" s="4">
        <f t="shared" si="10"/>
        <v>16.7</v>
      </c>
    </row>
    <row r="42" ht="15.75" customHeight="1">
      <c r="A42" s="4">
        <v>1994.0</v>
      </c>
      <c r="B42" s="4">
        <v>192.0</v>
      </c>
      <c r="C42" s="5">
        <v>9.1</v>
      </c>
      <c r="D42" s="5">
        <v>27.6</v>
      </c>
      <c r="E42" s="4">
        <f t="shared" si="1"/>
        <v>0</v>
      </c>
      <c r="F42" s="4">
        <f t="shared" si="2"/>
        <v>0</v>
      </c>
      <c r="G42" s="4">
        <f t="shared" si="3"/>
        <v>39.976</v>
      </c>
      <c r="H42" s="4">
        <f t="shared" si="4"/>
        <v>33.785</v>
      </c>
      <c r="I42" s="4" t="str">
        <f t="shared" si="5"/>
        <v> </v>
      </c>
      <c r="J42" s="5"/>
      <c r="K42" s="5">
        <v>19.8</v>
      </c>
      <c r="L42" s="4">
        <f t="shared" si="6"/>
        <v>3</v>
      </c>
      <c r="M42" s="4">
        <f t="shared" si="7"/>
        <v>0</v>
      </c>
      <c r="N42" s="4">
        <f t="shared" si="8"/>
        <v>-9.5358</v>
      </c>
      <c r="O42" s="4" t="str">
        <f t="shared" si="9"/>
        <v/>
      </c>
      <c r="P42" s="4">
        <f t="shared" si="10"/>
        <v>19.8</v>
      </c>
    </row>
    <row r="43" ht="15.75" customHeight="1">
      <c r="A43" s="4">
        <v>1994.0</v>
      </c>
      <c r="B43" s="4">
        <v>193.0</v>
      </c>
      <c r="C43" s="5">
        <v>13.5</v>
      </c>
      <c r="D43" s="5">
        <v>29.4</v>
      </c>
      <c r="E43" s="4">
        <f t="shared" si="1"/>
        <v>0</v>
      </c>
      <c r="F43" s="4">
        <f t="shared" si="2"/>
        <v>0</v>
      </c>
      <c r="G43" s="4">
        <f t="shared" si="3"/>
        <v>40.068</v>
      </c>
      <c r="H43" s="4">
        <f t="shared" si="4"/>
        <v>33.774</v>
      </c>
      <c r="I43" s="4" t="str">
        <f t="shared" si="5"/>
        <v> </v>
      </c>
      <c r="J43" s="5"/>
      <c r="K43" s="5">
        <v>22.7</v>
      </c>
      <c r="L43" s="4">
        <f t="shared" si="6"/>
        <v>3</v>
      </c>
      <c r="M43" s="4">
        <f t="shared" si="7"/>
        <v>0</v>
      </c>
      <c r="N43" s="4">
        <f t="shared" si="8"/>
        <v>-9.8602</v>
      </c>
      <c r="O43" s="4" t="str">
        <f t="shared" si="9"/>
        <v/>
      </c>
      <c r="P43" s="4">
        <f t="shared" si="10"/>
        <v>22.7</v>
      </c>
    </row>
    <row r="44" ht="15.75" customHeight="1">
      <c r="A44" s="4">
        <v>1994.0</v>
      </c>
      <c r="B44" s="4">
        <v>194.0</v>
      </c>
      <c r="C44" s="5">
        <v>13.9</v>
      </c>
      <c r="D44" s="5">
        <v>24.1</v>
      </c>
      <c r="E44" s="4">
        <f t="shared" si="1"/>
        <v>0</v>
      </c>
      <c r="F44" s="4">
        <f t="shared" si="2"/>
        <v>0</v>
      </c>
      <c r="G44" s="4">
        <f t="shared" si="3"/>
        <v>36.808</v>
      </c>
      <c r="H44" s="4">
        <f t="shared" si="4"/>
        <v>30.867</v>
      </c>
      <c r="I44" s="4" t="str">
        <f t="shared" si="5"/>
        <v> </v>
      </c>
      <c r="J44" s="5"/>
      <c r="K44" s="5">
        <v>19.3</v>
      </c>
      <c r="L44" s="4">
        <f t="shared" si="6"/>
        <v>3</v>
      </c>
      <c r="M44" s="4">
        <f t="shared" si="7"/>
        <v>0</v>
      </c>
      <c r="N44" s="4">
        <f t="shared" si="8"/>
        <v>-8.1826</v>
      </c>
      <c r="O44" s="4" t="str">
        <f t="shared" si="9"/>
        <v/>
      </c>
      <c r="P44" s="4">
        <f t="shared" si="10"/>
        <v>19.3</v>
      </c>
    </row>
    <row r="45" ht="15.75" customHeight="1">
      <c r="A45" s="4">
        <v>1994.0</v>
      </c>
      <c r="B45" s="4">
        <v>195.0</v>
      </c>
      <c r="C45" s="5">
        <v>13.4</v>
      </c>
      <c r="D45" s="5">
        <v>29.0</v>
      </c>
      <c r="E45" s="4">
        <f t="shared" si="1"/>
        <v>0</v>
      </c>
      <c r="F45" s="4">
        <f t="shared" si="2"/>
        <v>0</v>
      </c>
      <c r="G45" s="4">
        <f t="shared" si="3"/>
        <v>39.37</v>
      </c>
      <c r="H45" s="4">
        <f t="shared" si="4"/>
        <v>35.315</v>
      </c>
      <c r="I45" s="4" t="str">
        <f t="shared" si="5"/>
        <v> </v>
      </c>
      <c r="J45" s="5"/>
      <c r="K45" s="5">
        <v>22.2</v>
      </c>
      <c r="L45" s="4">
        <f t="shared" si="6"/>
        <v>3</v>
      </c>
      <c r="M45" s="4">
        <f t="shared" si="7"/>
        <v>0</v>
      </c>
      <c r="N45" s="4">
        <f t="shared" si="8"/>
        <v>-9.7051</v>
      </c>
      <c r="O45" s="4" t="str">
        <f t="shared" si="9"/>
        <v/>
      </c>
      <c r="P45" s="4">
        <f t="shared" si="10"/>
        <v>22.2</v>
      </c>
    </row>
    <row r="46" ht="15.75" customHeight="1">
      <c r="A46" s="4">
        <v>1994.0</v>
      </c>
      <c r="B46" s="4">
        <v>196.0</v>
      </c>
      <c r="C46" s="5">
        <v>15.6</v>
      </c>
      <c r="D46" s="5">
        <v>29.0</v>
      </c>
      <c r="E46" s="4">
        <f t="shared" si="1"/>
        <v>0</v>
      </c>
      <c r="F46" s="4">
        <f t="shared" si="2"/>
        <v>0</v>
      </c>
      <c r="G46" s="4">
        <f t="shared" si="3"/>
        <v>39.76</v>
      </c>
      <c r="H46" s="4">
        <f t="shared" si="4"/>
        <v>35.9465</v>
      </c>
      <c r="I46" s="4" t="str">
        <f t="shared" si="5"/>
        <v> </v>
      </c>
      <c r="J46" s="5"/>
      <c r="K46" s="5">
        <v>22.5</v>
      </c>
      <c r="L46" s="4">
        <f t="shared" si="6"/>
        <v>3</v>
      </c>
      <c r="M46" s="4">
        <f t="shared" si="7"/>
        <v>0</v>
      </c>
      <c r="N46" s="4">
        <f t="shared" si="8"/>
        <v>-10.7631</v>
      </c>
      <c r="O46" s="4" t="str">
        <f t="shared" si="9"/>
        <v/>
      </c>
      <c r="P46" s="4">
        <f t="shared" si="10"/>
        <v>22.5</v>
      </c>
    </row>
    <row r="47" ht="15.75" customHeight="1">
      <c r="A47" s="4">
        <v>1994.0</v>
      </c>
      <c r="B47" s="4">
        <v>197.0</v>
      </c>
      <c r="C47" s="5">
        <v>14.8</v>
      </c>
      <c r="D47" s="5">
        <v>25.5</v>
      </c>
      <c r="E47" s="4">
        <f t="shared" si="1"/>
        <v>0</v>
      </c>
      <c r="F47" s="4">
        <f t="shared" si="2"/>
        <v>0</v>
      </c>
      <c r="G47" s="4">
        <f t="shared" si="3"/>
        <v>36.331</v>
      </c>
      <c r="H47" s="4">
        <f t="shared" si="4"/>
        <v>34.7135</v>
      </c>
      <c r="I47" s="4" t="str">
        <f t="shared" si="5"/>
        <v> </v>
      </c>
      <c r="J47" s="5"/>
      <c r="K47" s="5">
        <v>20.2</v>
      </c>
      <c r="L47" s="4">
        <f t="shared" si="6"/>
        <v>3</v>
      </c>
      <c r="M47" s="4">
        <f t="shared" si="7"/>
        <v>0</v>
      </c>
      <c r="N47" s="4">
        <f t="shared" si="8"/>
        <v>-3.2484</v>
      </c>
      <c r="O47" s="4" t="str">
        <f t="shared" si="9"/>
        <v/>
      </c>
      <c r="P47" s="4">
        <f t="shared" si="10"/>
        <v>20.2</v>
      </c>
    </row>
    <row r="48" ht="15.75" customHeight="1">
      <c r="A48" s="4">
        <v>1994.0</v>
      </c>
      <c r="B48" s="4">
        <v>198.0</v>
      </c>
      <c r="C48" s="5">
        <v>11.8</v>
      </c>
      <c r="D48" s="5">
        <v>25.4</v>
      </c>
      <c r="E48" s="4">
        <f t="shared" si="1"/>
        <v>0</v>
      </c>
      <c r="F48" s="4">
        <f t="shared" si="2"/>
        <v>1</v>
      </c>
      <c r="G48" s="4">
        <f t="shared" si="3"/>
        <v>33.62</v>
      </c>
      <c r="H48" s="4">
        <f t="shared" si="4"/>
        <v>33.781</v>
      </c>
      <c r="I48" s="4">
        <f t="shared" si="5"/>
        <v>0.161</v>
      </c>
      <c r="J48" s="5"/>
      <c r="K48" s="5">
        <v>18.9</v>
      </c>
      <c r="L48" s="4">
        <f t="shared" si="6"/>
        <v>3</v>
      </c>
      <c r="M48" s="4">
        <f t="shared" si="7"/>
        <v>1</v>
      </c>
      <c r="N48" s="4">
        <f t="shared" si="8"/>
        <v>5.4883</v>
      </c>
      <c r="O48" s="4" t="str">
        <f t="shared" si="9"/>
        <v/>
      </c>
      <c r="P48" s="4">
        <f t="shared" si="10"/>
        <v>18.9</v>
      </c>
    </row>
    <row r="49" ht="15.75" customHeight="1">
      <c r="A49" s="4">
        <v>1994.0</v>
      </c>
      <c r="B49" s="4">
        <v>199.0</v>
      </c>
      <c r="C49" s="5">
        <v>14.5</v>
      </c>
      <c r="D49" s="5">
        <v>25.6</v>
      </c>
      <c r="E49" s="4">
        <f t="shared" si="1"/>
        <v>1</v>
      </c>
      <c r="F49" s="4">
        <f t="shared" si="2"/>
        <v>1</v>
      </c>
      <c r="G49" s="4">
        <f t="shared" si="3"/>
        <v>35.403</v>
      </c>
      <c r="H49" s="4">
        <f t="shared" si="4"/>
        <v>37.47</v>
      </c>
      <c r="I49" s="4">
        <f t="shared" si="5"/>
        <v>2.067</v>
      </c>
      <c r="J49" s="5">
        <v>5.7</v>
      </c>
      <c r="K49" s="5">
        <v>18.6</v>
      </c>
      <c r="L49" s="4">
        <f t="shared" si="6"/>
        <v>8</v>
      </c>
      <c r="M49" s="4">
        <f t="shared" si="7"/>
        <v>1</v>
      </c>
      <c r="N49" s="4">
        <f t="shared" si="8"/>
        <v>9.5292</v>
      </c>
      <c r="O49" s="4">
        <f t="shared" si="9"/>
        <v>5.7</v>
      </c>
      <c r="P49" s="4">
        <f t="shared" si="10"/>
        <v>18.6</v>
      </c>
    </row>
    <row r="50" ht="15.75" customHeight="1">
      <c r="A50" s="4">
        <v>1994.0</v>
      </c>
      <c r="B50" s="4">
        <v>200.0</v>
      </c>
      <c r="C50" s="5">
        <v>14.1</v>
      </c>
      <c r="D50" s="5">
        <v>23.8</v>
      </c>
      <c r="E50" s="4">
        <f t="shared" si="1"/>
        <v>1</v>
      </c>
      <c r="F50" s="4">
        <f t="shared" si="2"/>
        <v>1</v>
      </c>
      <c r="G50" s="4">
        <f t="shared" si="3"/>
        <v>31.068</v>
      </c>
      <c r="H50" s="4">
        <f t="shared" si="4"/>
        <v>34.129</v>
      </c>
      <c r="I50" s="4">
        <f t="shared" si="5"/>
        <v>3.061</v>
      </c>
      <c r="J50" s="5">
        <v>12.3</v>
      </c>
      <c r="K50" s="5">
        <v>19.1</v>
      </c>
      <c r="L50" s="4">
        <f t="shared" si="6"/>
        <v>8</v>
      </c>
      <c r="M50" s="4">
        <f t="shared" si="7"/>
        <v>1</v>
      </c>
      <c r="N50" s="4">
        <f t="shared" si="8"/>
        <v>9.4206</v>
      </c>
      <c r="O50" s="4">
        <f t="shared" si="9"/>
        <v>12.3</v>
      </c>
      <c r="P50" s="4">
        <f t="shared" si="10"/>
        <v>19.1</v>
      </c>
    </row>
    <row r="51" ht="15.75" customHeight="1">
      <c r="A51" s="4">
        <v>1994.0</v>
      </c>
      <c r="B51" s="4">
        <v>201.0</v>
      </c>
      <c r="C51" s="5">
        <v>13.8</v>
      </c>
      <c r="D51" s="5">
        <v>21.3</v>
      </c>
      <c r="E51" s="4">
        <f t="shared" si="1"/>
        <v>1</v>
      </c>
      <c r="F51" s="4">
        <f t="shared" si="2"/>
        <v>1</v>
      </c>
      <c r="G51" s="4">
        <f t="shared" si="3"/>
        <v>29.763</v>
      </c>
      <c r="H51" s="4">
        <f t="shared" si="4"/>
        <v>30.5875</v>
      </c>
      <c r="I51" s="4">
        <f t="shared" si="5"/>
        <v>0.8245</v>
      </c>
      <c r="J51" s="5">
        <v>1.8</v>
      </c>
      <c r="K51" s="5">
        <v>16.6</v>
      </c>
      <c r="L51" s="4">
        <f t="shared" si="6"/>
        <v>8</v>
      </c>
      <c r="M51" s="4">
        <f t="shared" si="7"/>
        <v>1</v>
      </c>
      <c r="N51" s="4">
        <f t="shared" si="8"/>
        <v>9.5574</v>
      </c>
      <c r="O51" s="4">
        <f t="shared" si="9"/>
        <v>1.8</v>
      </c>
      <c r="P51" s="4">
        <f t="shared" si="10"/>
        <v>16.6</v>
      </c>
    </row>
    <row r="52" ht="15.75" customHeight="1">
      <c r="A52" s="4">
        <v>1994.0</v>
      </c>
      <c r="B52" s="4">
        <v>202.0</v>
      </c>
      <c r="C52" s="5">
        <v>11.6</v>
      </c>
      <c r="D52" s="5">
        <v>18.3</v>
      </c>
      <c r="E52" s="4">
        <f t="shared" si="1"/>
        <v>1</v>
      </c>
      <c r="F52" s="4">
        <f t="shared" si="2"/>
        <v>0</v>
      </c>
      <c r="G52" s="4">
        <f t="shared" si="3"/>
        <v>27.81</v>
      </c>
      <c r="H52" s="4">
        <f t="shared" si="4"/>
        <v>27.796</v>
      </c>
      <c r="I52" s="4" t="str">
        <f t="shared" si="5"/>
        <v> </v>
      </c>
      <c r="J52" s="5">
        <v>15.4</v>
      </c>
      <c r="K52" s="5">
        <v>14.3</v>
      </c>
      <c r="L52" s="4">
        <f t="shared" si="6"/>
        <v>8</v>
      </c>
      <c r="M52" s="4">
        <f t="shared" si="7"/>
        <v>1</v>
      </c>
      <c r="N52" s="4">
        <f t="shared" si="8"/>
        <v>12.5111</v>
      </c>
      <c r="O52" s="4">
        <f t="shared" si="9"/>
        <v>15.4</v>
      </c>
      <c r="P52" s="4">
        <f t="shared" si="10"/>
        <v>14.3</v>
      </c>
    </row>
    <row r="53" ht="15.75" customHeight="1">
      <c r="A53" s="4">
        <v>1994.0</v>
      </c>
      <c r="B53" s="4">
        <v>203.0</v>
      </c>
      <c r="C53" s="5">
        <v>9.6</v>
      </c>
      <c r="D53" s="5">
        <v>19.1</v>
      </c>
      <c r="E53" s="4">
        <f t="shared" si="1"/>
        <v>1</v>
      </c>
      <c r="F53" s="4">
        <f t="shared" si="2"/>
        <v>0</v>
      </c>
      <c r="G53" s="4">
        <f t="shared" si="3"/>
        <v>25.921</v>
      </c>
      <c r="H53" s="4">
        <f t="shared" si="4"/>
        <v>25.6865</v>
      </c>
      <c r="I53" s="4" t="str">
        <f t="shared" si="5"/>
        <v> </v>
      </c>
      <c r="J53" s="5">
        <v>1.2</v>
      </c>
      <c r="K53" s="5">
        <v>14.2</v>
      </c>
      <c r="L53" s="4">
        <f t="shared" si="6"/>
        <v>8</v>
      </c>
      <c r="M53" s="4">
        <f t="shared" si="7"/>
        <v>1</v>
      </c>
      <c r="N53" s="4">
        <f t="shared" si="8"/>
        <v>6.4148</v>
      </c>
      <c r="O53" s="4">
        <f t="shared" si="9"/>
        <v>1.2</v>
      </c>
      <c r="P53" s="4">
        <f t="shared" si="10"/>
        <v>14.2</v>
      </c>
    </row>
    <row r="54" ht="15.75" customHeight="1">
      <c r="A54" s="4">
        <v>1994.0</v>
      </c>
      <c r="B54" s="4">
        <v>204.0</v>
      </c>
      <c r="C54" s="5">
        <v>12.7</v>
      </c>
      <c r="D54" s="5">
        <v>17.6</v>
      </c>
      <c r="E54" s="4">
        <f t="shared" si="1"/>
        <v>1</v>
      </c>
      <c r="F54" s="4">
        <f t="shared" si="2"/>
        <v>0</v>
      </c>
      <c r="G54" s="4">
        <f t="shared" si="3"/>
        <v>27.239</v>
      </c>
      <c r="H54" s="4">
        <f t="shared" si="4"/>
        <v>26.8005</v>
      </c>
      <c r="I54" s="4" t="str">
        <f t="shared" si="5"/>
        <v> </v>
      </c>
      <c r="J54" s="5">
        <v>3.7</v>
      </c>
      <c r="K54" s="5">
        <v>14.8</v>
      </c>
      <c r="L54" s="4">
        <f t="shared" si="6"/>
        <v>8</v>
      </c>
      <c r="M54" s="4">
        <f t="shared" si="7"/>
        <v>0</v>
      </c>
      <c r="N54" s="4">
        <f t="shared" si="8"/>
        <v>-4.4134</v>
      </c>
      <c r="O54" s="4">
        <f t="shared" si="9"/>
        <v>3.7</v>
      </c>
      <c r="P54" s="4">
        <f t="shared" si="10"/>
        <v>14.8</v>
      </c>
    </row>
    <row r="55" ht="15.75" customHeight="1">
      <c r="A55" s="4">
        <v>1994.0</v>
      </c>
      <c r="B55" s="4">
        <v>205.0</v>
      </c>
      <c r="C55" s="5">
        <v>11.4</v>
      </c>
      <c r="D55" s="5">
        <v>20.1</v>
      </c>
      <c r="E55" s="4">
        <f t="shared" si="1"/>
        <v>0</v>
      </c>
      <c r="F55" s="4">
        <f t="shared" si="2"/>
        <v>0</v>
      </c>
      <c r="G55" s="4">
        <f t="shared" si="3"/>
        <v>27.162</v>
      </c>
      <c r="H55" s="4">
        <f t="shared" si="4"/>
        <v>22.6405</v>
      </c>
      <c r="I55" s="4" t="str">
        <f t="shared" si="5"/>
        <v> </v>
      </c>
      <c r="J55" s="5"/>
      <c r="K55" s="5">
        <v>15.5</v>
      </c>
      <c r="L55" s="4">
        <f t="shared" si="6"/>
        <v>3</v>
      </c>
      <c r="M55" s="4">
        <f t="shared" si="7"/>
        <v>0</v>
      </c>
      <c r="N55" s="4">
        <f t="shared" si="8"/>
        <v>-6.4484</v>
      </c>
      <c r="O55" s="4" t="str">
        <f t="shared" si="9"/>
        <v/>
      </c>
      <c r="P55" s="4">
        <f t="shared" si="10"/>
        <v>15.5</v>
      </c>
    </row>
    <row r="56" ht="15.75" customHeight="1">
      <c r="A56" s="4">
        <v>1994.0</v>
      </c>
      <c r="B56" s="4">
        <v>206.0</v>
      </c>
      <c r="C56" s="5">
        <v>9.5</v>
      </c>
      <c r="D56" s="5">
        <v>23.9</v>
      </c>
      <c r="E56" s="4">
        <f t="shared" si="1"/>
        <v>0</v>
      </c>
      <c r="F56" s="4">
        <f t="shared" si="2"/>
        <v>0</v>
      </c>
      <c r="G56" s="4">
        <f t="shared" si="3"/>
        <v>27.452</v>
      </c>
      <c r="H56" s="4">
        <f t="shared" si="4"/>
        <v>24.014</v>
      </c>
      <c r="I56" s="4" t="str">
        <f t="shared" si="5"/>
        <v> </v>
      </c>
      <c r="J56" s="5"/>
      <c r="K56" s="5">
        <v>17.1</v>
      </c>
      <c r="L56" s="4">
        <f t="shared" si="6"/>
        <v>3</v>
      </c>
      <c r="M56" s="4">
        <f t="shared" si="7"/>
        <v>0</v>
      </c>
      <c r="N56" s="4">
        <f t="shared" si="8"/>
        <v>-2.6686</v>
      </c>
      <c r="O56" s="4" t="str">
        <f t="shared" si="9"/>
        <v/>
      </c>
      <c r="P56" s="4">
        <f t="shared" si="10"/>
        <v>17.1</v>
      </c>
    </row>
    <row r="57" ht="15.75" customHeight="1">
      <c r="A57" s="4">
        <v>1994.0</v>
      </c>
      <c r="B57" s="4">
        <v>207.0</v>
      </c>
      <c r="C57" s="5">
        <v>13.1</v>
      </c>
      <c r="D57" s="5">
        <v>22.2</v>
      </c>
      <c r="E57" s="4">
        <f t="shared" si="1"/>
        <v>0</v>
      </c>
      <c r="F57" s="4">
        <f t="shared" si="2"/>
        <v>0</v>
      </c>
      <c r="G57" s="4">
        <f t="shared" si="3"/>
        <v>30.278</v>
      </c>
      <c r="H57" s="4">
        <f t="shared" si="4"/>
        <v>26.949</v>
      </c>
      <c r="I57" s="4" t="str">
        <f t="shared" si="5"/>
        <v> </v>
      </c>
      <c r="J57" s="5"/>
      <c r="K57" s="5">
        <v>17.8</v>
      </c>
      <c r="L57" s="4">
        <f t="shared" si="6"/>
        <v>3</v>
      </c>
      <c r="M57" s="4">
        <f t="shared" si="7"/>
        <v>1</v>
      </c>
      <c r="N57" s="4">
        <f t="shared" si="8"/>
        <v>0.2581</v>
      </c>
      <c r="O57" s="4" t="str">
        <f t="shared" si="9"/>
        <v/>
      </c>
      <c r="P57" s="4">
        <f t="shared" si="10"/>
        <v>17.8</v>
      </c>
    </row>
    <row r="58" ht="15.75" customHeight="1">
      <c r="A58" s="4">
        <v>1994.0</v>
      </c>
      <c r="B58" s="4">
        <v>208.0</v>
      </c>
      <c r="C58" s="5">
        <v>13.7</v>
      </c>
      <c r="D58" s="5">
        <v>22.5</v>
      </c>
      <c r="E58" s="4">
        <f t="shared" si="1"/>
        <v>1</v>
      </c>
      <c r="F58" s="4">
        <f t="shared" si="2"/>
        <v>0</v>
      </c>
      <c r="G58" s="4">
        <f t="shared" si="3"/>
        <v>34.046</v>
      </c>
      <c r="H58" s="4">
        <f t="shared" si="4"/>
        <v>30.779</v>
      </c>
      <c r="I58" s="4" t="str">
        <f t="shared" si="5"/>
        <v> </v>
      </c>
      <c r="J58" s="5">
        <v>1.4</v>
      </c>
      <c r="K58" s="5">
        <v>17.7</v>
      </c>
      <c r="L58" s="4">
        <f t="shared" si="6"/>
        <v>8</v>
      </c>
      <c r="M58" s="4">
        <f t="shared" si="7"/>
        <v>0</v>
      </c>
      <c r="N58" s="4">
        <f t="shared" si="8"/>
        <v>-5.3226</v>
      </c>
      <c r="O58" s="4">
        <f t="shared" si="9"/>
        <v>1.4</v>
      </c>
      <c r="P58" s="4">
        <f t="shared" si="10"/>
        <v>17.7</v>
      </c>
    </row>
    <row r="59" ht="15.75" customHeight="1">
      <c r="A59" s="4">
        <v>1994.0</v>
      </c>
      <c r="B59" s="4">
        <v>209.0</v>
      </c>
      <c r="C59" s="5">
        <v>10.4</v>
      </c>
      <c r="D59" s="5">
        <v>21.9</v>
      </c>
      <c r="E59" s="4">
        <f t="shared" si="1"/>
        <v>0</v>
      </c>
      <c r="F59" s="4">
        <f t="shared" si="2"/>
        <v>0</v>
      </c>
      <c r="G59" s="4">
        <f t="shared" si="3"/>
        <v>31.557</v>
      </c>
      <c r="H59" s="4">
        <f t="shared" si="4"/>
        <v>26.5585</v>
      </c>
      <c r="I59" s="4" t="str">
        <f t="shared" si="5"/>
        <v> </v>
      </c>
      <c r="J59" s="5"/>
      <c r="K59" s="5">
        <v>16.1</v>
      </c>
      <c r="L59" s="4">
        <f t="shared" si="6"/>
        <v>3</v>
      </c>
      <c r="M59" s="4">
        <f t="shared" si="7"/>
        <v>0</v>
      </c>
      <c r="N59" s="4">
        <f t="shared" si="8"/>
        <v>-8.3435</v>
      </c>
      <c r="O59" s="4" t="str">
        <f t="shared" si="9"/>
        <v/>
      </c>
      <c r="P59" s="4">
        <f t="shared" si="10"/>
        <v>16.1</v>
      </c>
    </row>
    <row r="60" ht="15.75" customHeight="1">
      <c r="A60" s="4">
        <v>1994.0</v>
      </c>
      <c r="B60" s="4">
        <v>210.0</v>
      </c>
      <c r="C60" s="5">
        <v>9.4</v>
      </c>
      <c r="D60" s="5">
        <v>20.7</v>
      </c>
      <c r="E60" s="4">
        <f t="shared" si="1"/>
        <v>0</v>
      </c>
      <c r="F60" s="4">
        <f t="shared" si="2"/>
        <v>0</v>
      </c>
      <c r="G60" s="4">
        <f t="shared" si="3"/>
        <v>31.806</v>
      </c>
      <c r="H60" s="4">
        <f t="shared" si="4"/>
        <v>28.6395</v>
      </c>
      <c r="I60" s="4" t="str">
        <f t="shared" si="5"/>
        <v> </v>
      </c>
      <c r="J60" s="5"/>
      <c r="K60" s="5">
        <v>15.6</v>
      </c>
      <c r="L60" s="4">
        <f t="shared" si="6"/>
        <v>3</v>
      </c>
      <c r="M60" s="4">
        <f t="shared" si="7"/>
        <v>0</v>
      </c>
      <c r="N60" s="4">
        <f t="shared" si="8"/>
        <v>-7.5744</v>
      </c>
      <c r="O60" s="4" t="str">
        <f t="shared" si="9"/>
        <v/>
      </c>
      <c r="P60" s="4">
        <f t="shared" si="10"/>
        <v>15.6</v>
      </c>
    </row>
    <row r="61" ht="15.75" customHeight="1">
      <c r="A61" s="4">
        <v>1994.0</v>
      </c>
      <c r="B61" s="4">
        <v>211.0</v>
      </c>
      <c r="C61" s="5">
        <v>10.2</v>
      </c>
      <c r="D61" s="5">
        <v>24.8</v>
      </c>
      <c r="E61" s="4">
        <f t="shared" si="1"/>
        <v>0</v>
      </c>
      <c r="F61" s="4">
        <f t="shared" si="2"/>
        <v>0</v>
      </c>
      <c r="G61" s="4">
        <f t="shared" si="3"/>
        <v>34.954</v>
      </c>
      <c r="H61" s="4">
        <f t="shared" si="4"/>
        <v>30.01</v>
      </c>
      <c r="I61" s="4" t="str">
        <f t="shared" si="5"/>
        <v> </v>
      </c>
      <c r="J61" s="5"/>
      <c r="K61" s="5">
        <v>18.3</v>
      </c>
      <c r="L61" s="4">
        <f t="shared" si="6"/>
        <v>3</v>
      </c>
      <c r="M61" s="4">
        <f t="shared" si="7"/>
        <v>0</v>
      </c>
      <c r="N61" s="4">
        <f t="shared" si="8"/>
        <v>-8.1964</v>
      </c>
      <c r="O61" s="4" t="str">
        <f t="shared" si="9"/>
        <v/>
      </c>
      <c r="P61" s="4">
        <f t="shared" si="10"/>
        <v>18.3</v>
      </c>
    </row>
    <row r="62" ht="15.75" customHeight="1">
      <c r="A62" s="4">
        <v>1994.0</v>
      </c>
      <c r="B62" s="4">
        <v>212.0</v>
      </c>
      <c r="C62" s="5">
        <v>12.9</v>
      </c>
      <c r="D62" s="5">
        <v>27.0</v>
      </c>
      <c r="E62" s="4">
        <f t="shared" si="1"/>
        <v>0</v>
      </c>
      <c r="F62" s="4">
        <f t="shared" si="2"/>
        <v>0</v>
      </c>
      <c r="G62" s="4">
        <f t="shared" si="3"/>
        <v>35.754</v>
      </c>
      <c r="H62" s="4">
        <f t="shared" si="4"/>
        <v>31.106</v>
      </c>
      <c r="I62" s="4" t="str">
        <f t="shared" si="5"/>
        <v> </v>
      </c>
      <c r="J62" s="5"/>
      <c r="K62" s="5">
        <v>20.4</v>
      </c>
      <c r="L62" s="4">
        <f t="shared" si="6"/>
        <v>3</v>
      </c>
      <c r="M62" s="4">
        <f t="shared" si="7"/>
        <v>0</v>
      </c>
      <c r="N62" s="4">
        <f t="shared" si="8"/>
        <v>-4.1264</v>
      </c>
      <c r="O62" s="4" t="str">
        <f t="shared" si="9"/>
        <v/>
      </c>
      <c r="P62" s="4">
        <f t="shared" si="10"/>
        <v>20.4</v>
      </c>
    </row>
    <row r="63" ht="15.75" customHeight="1">
      <c r="A63" s="4">
        <v>1994.0</v>
      </c>
      <c r="B63" s="4">
        <v>213.0</v>
      </c>
      <c r="C63" s="5">
        <v>14.7</v>
      </c>
      <c r="D63" s="5">
        <v>26.9</v>
      </c>
      <c r="E63" s="4">
        <f t="shared" si="1"/>
        <v>0</v>
      </c>
      <c r="F63" s="4">
        <f t="shared" si="2"/>
        <v>0</v>
      </c>
      <c r="G63" s="4">
        <f t="shared" si="3"/>
        <v>37.335</v>
      </c>
      <c r="H63" s="4">
        <f t="shared" si="4"/>
        <v>33.047</v>
      </c>
      <c r="I63" s="4" t="str">
        <f t="shared" si="5"/>
        <v> </v>
      </c>
      <c r="J63" s="5"/>
      <c r="K63" s="5">
        <v>20.8</v>
      </c>
      <c r="L63" s="4">
        <f t="shared" si="6"/>
        <v>3</v>
      </c>
      <c r="M63" s="4">
        <f t="shared" si="7"/>
        <v>0</v>
      </c>
      <c r="N63" s="4">
        <f t="shared" si="8"/>
        <v>-0.5026</v>
      </c>
      <c r="O63" s="4" t="str">
        <f t="shared" si="9"/>
        <v/>
      </c>
      <c r="P63" s="4">
        <f t="shared" si="10"/>
        <v>20.8</v>
      </c>
    </row>
    <row r="64" ht="15.75" customHeight="1">
      <c r="A64" s="4">
        <v>1994.0</v>
      </c>
      <c r="B64" s="4">
        <v>214.0</v>
      </c>
      <c r="C64" s="5">
        <v>14.8</v>
      </c>
      <c r="D64" s="5">
        <v>25.2</v>
      </c>
      <c r="E64" s="4">
        <f t="shared" si="1"/>
        <v>1</v>
      </c>
      <c r="F64" s="4">
        <f t="shared" si="2"/>
        <v>0</v>
      </c>
      <c r="G64" s="4">
        <f t="shared" si="3"/>
        <v>38.128</v>
      </c>
      <c r="H64" s="4">
        <f t="shared" si="4"/>
        <v>37.085</v>
      </c>
      <c r="I64" s="4" t="str">
        <f t="shared" si="5"/>
        <v> </v>
      </c>
      <c r="J64" s="5">
        <v>8.9</v>
      </c>
      <c r="K64" s="5">
        <v>19.6</v>
      </c>
      <c r="L64" s="4">
        <f t="shared" si="6"/>
        <v>8</v>
      </c>
      <c r="M64" s="4">
        <f t="shared" si="7"/>
        <v>0</v>
      </c>
      <c r="N64" s="4">
        <f t="shared" si="8"/>
        <v>-7.0206</v>
      </c>
      <c r="O64" s="4">
        <f t="shared" si="9"/>
        <v>8.9</v>
      </c>
      <c r="P64" s="4">
        <f t="shared" si="10"/>
        <v>19.6</v>
      </c>
    </row>
    <row r="65" ht="15.75" customHeight="1">
      <c r="A65" s="4">
        <v>1994.0</v>
      </c>
      <c r="B65" s="4">
        <v>215.0</v>
      </c>
      <c r="C65" s="5">
        <v>12.2</v>
      </c>
      <c r="D65" s="5">
        <v>23.4</v>
      </c>
      <c r="E65" s="4">
        <f t="shared" si="1"/>
        <v>0</v>
      </c>
      <c r="F65" s="4">
        <f t="shared" si="2"/>
        <v>0</v>
      </c>
      <c r="G65" s="4">
        <f t="shared" si="3"/>
        <v>38.52</v>
      </c>
      <c r="H65" s="4">
        <f t="shared" si="4"/>
        <v>33.0235</v>
      </c>
      <c r="I65" s="4" t="str">
        <f t="shared" si="5"/>
        <v> </v>
      </c>
      <c r="J65" s="5"/>
      <c r="K65" s="5">
        <v>17.9</v>
      </c>
      <c r="L65" s="4">
        <f t="shared" si="6"/>
        <v>3</v>
      </c>
      <c r="M65" s="4">
        <f t="shared" si="7"/>
        <v>0</v>
      </c>
      <c r="N65" s="4">
        <f t="shared" si="8"/>
        <v>-9.9633</v>
      </c>
      <c r="O65" s="4" t="str">
        <f t="shared" si="9"/>
        <v/>
      </c>
      <c r="P65" s="4">
        <f t="shared" si="10"/>
        <v>17.9</v>
      </c>
    </row>
    <row r="66" ht="15.75" customHeight="1">
      <c r="A66" s="4">
        <v>1994.0</v>
      </c>
      <c r="B66" s="4">
        <v>216.0</v>
      </c>
      <c r="C66" s="5">
        <v>9.0</v>
      </c>
      <c r="D66" s="5">
        <v>23.0</v>
      </c>
      <c r="E66" s="4">
        <f t="shared" si="1"/>
        <v>0</v>
      </c>
      <c r="F66" s="4">
        <f t="shared" si="2"/>
        <v>0</v>
      </c>
      <c r="G66" s="4">
        <f t="shared" si="3"/>
        <v>37.51</v>
      </c>
      <c r="H66" s="4">
        <f t="shared" si="4"/>
        <v>33.846</v>
      </c>
      <c r="I66" s="4" t="str">
        <f t="shared" si="5"/>
        <v> </v>
      </c>
      <c r="J66" s="5"/>
      <c r="K66" s="5">
        <v>16.4</v>
      </c>
      <c r="L66" s="4">
        <f t="shared" si="6"/>
        <v>3</v>
      </c>
      <c r="M66" s="4">
        <f t="shared" si="7"/>
        <v>0</v>
      </c>
      <c r="N66" s="4">
        <f t="shared" si="8"/>
        <v>-1.3538</v>
      </c>
      <c r="O66" s="4" t="str">
        <f t="shared" si="9"/>
        <v/>
      </c>
      <c r="P66" s="4">
        <f t="shared" si="10"/>
        <v>16.4</v>
      </c>
    </row>
    <row r="67" ht="15.75" customHeight="1">
      <c r="A67" s="4">
        <v>1994.0</v>
      </c>
      <c r="B67" s="4">
        <v>217.0</v>
      </c>
      <c r="C67" s="5">
        <v>9.0</v>
      </c>
      <c r="D67" s="5">
        <v>26.3</v>
      </c>
      <c r="E67" s="4">
        <f t="shared" si="1"/>
        <v>0</v>
      </c>
      <c r="F67" s="4">
        <f t="shared" si="2"/>
        <v>0</v>
      </c>
      <c r="G67" s="4">
        <f t="shared" si="3"/>
        <v>38.939</v>
      </c>
      <c r="H67" s="4">
        <f t="shared" si="4"/>
        <v>34.3565</v>
      </c>
      <c r="I67" s="4" t="str">
        <f t="shared" si="5"/>
        <v> </v>
      </c>
      <c r="J67" s="5"/>
      <c r="K67" s="5">
        <v>18.9</v>
      </c>
      <c r="L67" s="4">
        <f t="shared" si="6"/>
        <v>3</v>
      </c>
      <c r="M67" s="4">
        <f t="shared" si="7"/>
        <v>0</v>
      </c>
      <c r="N67" s="4">
        <f t="shared" si="8"/>
        <v>-0.3959</v>
      </c>
      <c r="O67" s="4" t="str">
        <f t="shared" si="9"/>
        <v/>
      </c>
      <c r="P67" s="4">
        <f t="shared" si="10"/>
        <v>18.9</v>
      </c>
    </row>
    <row r="68" ht="15.75" customHeight="1">
      <c r="A68" s="4">
        <v>1994.0</v>
      </c>
      <c r="B68" s="4">
        <v>218.0</v>
      </c>
      <c r="C68" s="5">
        <v>16.3</v>
      </c>
      <c r="D68" s="5">
        <v>26.1</v>
      </c>
      <c r="E68" s="4">
        <f t="shared" si="1"/>
        <v>1</v>
      </c>
      <c r="F68" s="4">
        <f t="shared" si="2"/>
        <v>0</v>
      </c>
      <c r="G68" s="4">
        <f t="shared" si="3"/>
        <v>39.72</v>
      </c>
      <c r="H68" s="4">
        <f t="shared" si="4"/>
        <v>35.6485</v>
      </c>
      <c r="I68" s="4" t="str">
        <f t="shared" si="5"/>
        <v> </v>
      </c>
      <c r="J68" s="5">
        <v>4.7</v>
      </c>
      <c r="K68" s="5">
        <v>20.9</v>
      </c>
      <c r="L68" s="4">
        <f t="shared" si="6"/>
        <v>8</v>
      </c>
      <c r="M68" s="4">
        <f t="shared" si="7"/>
        <v>0</v>
      </c>
      <c r="N68" s="4">
        <f t="shared" si="8"/>
        <v>-3.2965</v>
      </c>
      <c r="O68" s="4">
        <f t="shared" si="9"/>
        <v>4.7</v>
      </c>
      <c r="P68" s="4">
        <f t="shared" si="10"/>
        <v>20.9</v>
      </c>
    </row>
    <row r="69" ht="15.75" customHeight="1">
      <c r="A69" s="4">
        <v>1994.0</v>
      </c>
      <c r="B69" s="4">
        <v>219.0</v>
      </c>
      <c r="C69" s="5">
        <v>14.0</v>
      </c>
      <c r="D69" s="5">
        <v>29.3</v>
      </c>
      <c r="E69" s="4">
        <f t="shared" si="1"/>
        <v>0</v>
      </c>
      <c r="F69" s="4">
        <f t="shared" si="2"/>
        <v>0</v>
      </c>
      <c r="G69" s="4">
        <f t="shared" si="3"/>
        <v>34.541</v>
      </c>
      <c r="H69" s="4">
        <f t="shared" si="4"/>
        <v>30.812</v>
      </c>
      <c r="I69" s="4" t="str">
        <f t="shared" si="5"/>
        <v> </v>
      </c>
      <c r="J69" s="5"/>
      <c r="K69" s="5">
        <v>22.2</v>
      </c>
      <c r="L69" s="4">
        <f t="shared" si="6"/>
        <v>3</v>
      </c>
      <c r="M69" s="4">
        <f t="shared" si="7"/>
        <v>0</v>
      </c>
      <c r="N69" s="4">
        <f t="shared" si="8"/>
        <v>-9.9103</v>
      </c>
      <c r="O69" s="4" t="str">
        <f t="shared" si="9"/>
        <v/>
      </c>
      <c r="P69" s="4">
        <f t="shared" si="10"/>
        <v>22.2</v>
      </c>
    </row>
    <row r="70" ht="15.75" customHeight="1">
      <c r="A70" s="4">
        <v>1994.0</v>
      </c>
      <c r="B70" s="4">
        <v>220.0</v>
      </c>
      <c r="C70" s="5">
        <v>18.5</v>
      </c>
      <c r="D70" s="5">
        <v>28.2</v>
      </c>
      <c r="E70" s="4">
        <f t="shared" si="1"/>
        <v>0</v>
      </c>
      <c r="F70" s="4">
        <f t="shared" si="2"/>
        <v>0</v>
      </c>
      <c r="G70" s="4">
        <f t="shared" si="3"/>
        <v>34.744</v>
      </c>
      <c r="H70" s="4">
        <f t="shared" si="4"/>
        <v>31.0185</v>
      </c>
      <c r="I70" s="4" t="str">
        <f t="shared" si="5"/>
        <v> </v>
      </c>
      <c r="J70" s="5"/>
      <c r="K70" s="5">
        <v>22.8</v>
      </c>
      <c r="L70" s="4">
        <f t="shared" si="6"/>
        <v>3</v>
      </c>
      <c r="M70" s="4">
        <f t="shared" si="7"/>
        <v>0</v>
      </c>
      <c r="N70" s="4">
        <f t="shared" si="8"/>
        <v>-9.6193</v>
      </c>
      <c r="O70" s="4" t="str">
        <f t="shared" si="9"/>
        <v/>
      </c>
      <c r="P70" s="4">
        <f t="shared" si="10"/>
        <v>22.8</v>
      </c>
    </row>
    <row r="71" ht="15.75" customHeight="1">
      <c r="A71" s="4">
        <v>1994.0</v>
      </c>
      <c r="B71" s="4">
        <v>221.0</v>
      </c>
      <c r="C71" s="5">
        <v>15.1</v>
      </c>
      <c r="D71" s="5">
        <v>25.4</v>
      </c>
      <c r="E71" s="4">
        <f t="shared" si="1"/>
        <v>0</v>
      </c>
      <c r="F71" s="4">
        <f t="shared" si="2"/>
        <v>0</v>
      </c>
      <c r="G71" s="4">
        <f t="shared" si="3"/>
        <v>31.992</v>
      </c>
      <c r="H71" s="4">
        <f t="shared" si="4"/>
        <v>30.7235</v>
      </c>
      <c r="I71" s="4" t="str">
        <f t="shared" si="5"/>
        <v> </v>
      </c>
      <c r="J71" s="5"/>
      <c r="K71" s="5">
        <v>20.3</v>
      </c>
      <c r="L71" s="4">
        <f t="shared" si="6"/>
        <v>3</v>
      </c>
      <c r="M71" s="4">
        <f t="shared" si="7"/>
        <v>0</v>
      </c>
      <c r="N71" s="4">
        <f t="shared" si="8"/>
        <v>-2.508</v>
      </c>
      <c r="O71" s="4" t="str">
        <f t="shared" si="9"/>
        <v/>
      </c>
      <c r="P71" s="4">
        <f t="shared" si="10"/>
        <v>20.3</v>
      </c>
    </row>
    <row r="72" ht="15.75" customHeight="1">
      <c r="A72" s="4">
        <v>1994.0</v>
      </c>
      <c r="B72" s="4">
        <v>222.0</v>
      </c>
      <c r="C72" s="5">
        <v>13.0</v>
      </c>
      <c r="D72" s="5">
        <v>23.4</v>
      </c>
      <c r="E72" s="4">
        <f t="shared" si="1"/>
        <v>0</v>
      </c>
      <c r="F72" s="4">
        <f t="shared" si="2"/>
        <v>0</v>
      </c>
      <c r="G72" s="4">
        <f t="shared" si="3"/>
        <v>31.488</v>
      </c>
      <c r="H72" s="4">
        <f t="shared" si="4"/>
        <v>29.949</v>
      </c>
      <c r="I72" s="4" t="str">
        <f t="shared" si="5"/>
        <v> </v>
      </c>
      <c r="J72" s="5"/>
      <c r="K72" s="5">
        <v>18.8</v>
      </c>
      <c r="L72" s="4">
        <f t="shared" si="6"/>
        <v>3</v>
      </c>
      <c r="M72" s="4">
        <f t="shared" si="7"/>
        <v>1</v>
      </c>
      <c r="N72" s="4">
        <f t="shared" si="8"/>
        <v>5.9501</v>
      </c>
      <c r="O72" s="4" t="str">
        <f t="shared" si="9"/>
        <v/>
      </c>
      <c r="P72" s="4">
        <f t="shared" si="10"/>
        <v>18.8</v>
      </c>
    </row>
    <row r="73" ht="15.75" customHeight="1">
      <c r="A73" s="4">
        <v>1994.0</v>
      </c>
      <c r="B73" s="4">
        <v>223.0</v>
      </c>
      <c r="C73" s="5">
        <v>14.3</v>
      </c>
      <c r="D73" s="5">
        <v>20.0</v>
      </c>
      <c r="E73" s="4">
        <f t="shared" si="1"/>
        <v>1</v>
      </c>
      <c r="F73" s="4">
        <f t="shared" si="2"/>
        <v>1</v>
      </c>
      <c r="G73" s="4">
        <f t="shared" si="3"/>
        <v>29.096</v>
      </c>
      <c r="H73" s="4">
        <f t="shared" si="4"/>
        <v>30.5435</v>
      </c>
      <c r="I73" s="4">
        <f t="shared" si="5"/>
        <v>1.4475</v>
      </c>
      <c r="J73" s="5">
        <v>0.9</v>
      </c>
      <c r="K73" s="5">
        <v>17.0</v>
      </c>
      <c r="L73" s="4">
        <f t="shared" si="6"/>
        <v>8</v>
      </c>
      <c r="M73" s="4">
        <f t="shared" si="7"/>
        <v>1</v>
      </c>
      <c r="N73" s="4">
        <f t="shared" si="8"/>
        <v>12.0991</v>
      </c>
      <c r="O73" s="4">
        <f t="shared" si="9"/>
        <v>0.9</v>
      </c>
      <c r="P73" s="4">
        <f t="shared" si="10"/>
        <v>17</v>
      </c>
    </row>
    <row r="74" ht="15.75" customHeight="1">
      <c r="A74" s="4">
        <v>1994.0</v>
      </c>
      <c r="B74" s="4">
        <v>224.0</v>
      </c>
      <c r="C74" s="5">
        <v>11.7</v>
      </c>
      <c r="D74" s="5">
        <v>20.2</v>
      </c>
      <c r="E74" s="4">
        <f t="shared" si="1"/>
        <v>1</v>
      </c>
      <c r="F74" s="4">
        <f t="shared" si="2"/>
        <v>1</v>
      </c>
      <c r="G74" s="4">
        <f t="shared" si="3"/>
        <v>28.141</v>
      </c>
      <c r="H74" s="4">
        <f t="shared" si="4"/>
        <v>29.6375</v>
      </c>
      <c r="I74" s="4">
        <f t="shared" si="5"/>
        <v>1.4965</v>
      </c>
      <c r="J74" s="5">
        <v>0.3</v>
      </c>
      <c r="K74" s="5">
        <v>15.9</v>
      </c>
      <c r="L74" s="4">
        <f t="shared" si="6"/>
        <v>8</v>
      </c>
      <c r="M74" s="4">
        <f t="shared" si="7"/>
        <v>1</v>
      </c>
      <c r="N74" s="4">
        <f t="shared" si="8"/>
        <v>6.9384</v>
      </c>
      <c r="O74" s="4">
        <f t="shared" si="9"/>
        <v>0.3</v>
      </c>
      <c r="P74" s="4">
        <f t="shared" si="10"/>
        <v>15.9</v>
      </c>
    </row>
    <row r="75" ht="15.75" customHeight="1">
      <c r="A75" s="4">
        <v>1994.0</v>
      </c>
      <c r="B75" s="4">
        <v>225.0</v>
      </c>
      <c r="C75" s="5">
        <v>14.2</v>
      </c>
      <c r="D75" s="5">
        <v>21.2</v>
      </c>
      <c r="E75" s="4">
        <f t="shared" si="1"/>
        <v>1</v>
      </c>
      <c r="F75" s="4">
        <f t="shared" si="2"/>
        <v>1</v>
      </c>
      <c r="G75" s="4">
        <f t="shared" si="3"/>
        <v>24.391</v>
      </c>
      <c r="H75" s="4">
        <f t="shared" si="4"/>
        <v>26.6745</v>
      </c>
      <c r="I75" s="4">
        <f t="shared" si="5"/>
        <v>2.2835</v>
      </c>
      <c r="J75" s="5">
        <v>6.6</v>
      </c>
      <c r="K75" s="5">
        <v>17.1</v>
      </c>
      <c r="L75" s="4">
        <f t="shared" si="6"/>
        <v>8</v>
      </c>
      <c r="M75" s="4">
        <f t="shared" si="7"/>
        <v>0</v>
      </c>
      <c r="N75" s="4">
        <f t="shared" si="8"/>
        <v>-0.7239</v>
      </c>
      <c r="O75" s="4">
        <f t="shared" si="9"/>
        <v>6.6</v>
      </c>
      <c r="P75" s="4">
        <f t="shared" si="10"/>
        <v>17.1</v>
      </c>
    </row>
    <row r="76" ht="15.75" customHeight="1">
      <c r="A76" s="4">
        <v>1994.0</v>
      </c>
      <c r="B76" s="4">
        <v>226.0</v>
      </c>
      <c r="C76" s="5">
        <v>14.5</v>
      </c>
      <c r="D76" s="5">
        <v>22.2</v>
      </c>
      <c r="E76" s="4">
        <f t="shared" si="1"/>
        <v>0</v>
      </c>
      <c r="F76" s="4">
        <f t="shared" si="2"/>
        <v>0</v>
      </c>
      <c r="G76" s="4">
        <f t="shared" si="3"/>
        <v>23.542</v>
      </c>
      <c r="H76" s="4">
        <f t="shared" si="4"/>
        <v>22.991</v>
      </c>
      <c r="I76" s="4" t="str">
        <f t="shared" si="5"/>
        <v> </v>
      </c>
      <c r="J76" s="5"/>
      <c r="K76" s="5">
        <v>16.9</v>
      </c>
      <c r="L76" s="4">
        <f t="shared" si="6"/>
        <v>3</v>
      </c>
      <c r="M76" s="4">
        <f t="shared" si="7"/>
        <v>1</v>
      </c>
      <c r="N76" s="4">
        <f t="shared" si="8"/>
        <v>3.8389</v>
      </c>
      <c r="O76" s="4" t="str">
        <f t="shared" si="9"/>
        <v/>
      </c>
      <c r="P76" s="4">
        <f t="shared" si="10"/>
        <v>16.9</v>
      </c>
    </row>
    <row r="77" ht="15.75" customHeight="1">
      <c r="A77" s="4">
        <v>1994.0</v>
      </c>
      <c r="B77" s="4">
        <v>227.0</v>
      </c>
      <c r="C77" s="5">
        <v>9.9</v>
      </c>
      <c r="D77" s="5">
        <v>19.0</v>
      </c>
      <c r="E77" s="4">
        <f t="shared" si="1"/>
        <v>1</v>
      </c>
      <c r="F77" s="4">
        <f t="shared" si="2"/>
        <v>1</v>
      </c>
      <c r="G77" s="4">
        <f t="shared" si="3"/>
        <v>21.069</v>
      </c>
      <c r="H77" s="4">
        <f t="shared" si="4"/>
        <v>21.3995</v>
      </c>
      <c r="I77" s="4">
        <f t="shared" si="5"/>
        <v>0.3305</v>
      </c>
      <c r="J77" s="5">
        <v>20.2</v>
      </c>
      <c r="K77" s="5">
        <v>14.8</v>
      </c>
      <c r="L77" s="4">
        <f t="shared" si="6"/>
        <v>8</v>
      </c>
      <c r="M77" s="4">
        <f t="shared" si="7"/>
        <v>1</v>
      </c>
      <c r="N77" s="4">
        <f t="shared" si="8"/>
        <v>10.8183</v>
      </c>
      <c r="O77" s="4">
        <f t="shared" si="9"/>
        <v>20.2</v>
      </c>
      <c r="P77" s="4">
        <f t="shared" si="10"/>
        <v>14.8</v>
      </c>
    </row>
    <row r="78" ht="15.75" customHeight="1">
      <c r="A78" s="4">
        <v>1994.0</v>
      </c>
      <c r="B78" s="4">
        <v>228.0</v>
      </c>
      <c r="C78" s="5">
        <v>6.3</v>
      </c>
      <c r="D78" s="5">
        <v>19.6</v>
      </c>
      <c r="E78" s="4">
        <f t="shared" si="1"/>
        <v>1</v>
      </c>
      <c r="F78" s="4">
        <f t="shared" si="2"/>
        <v>1</v>
      </c>
      <c r="G78" s="4">
        <f t="shared" si="3"/>
        <v>16.407</v>
      </c>
      <c r="H78" s="4">
        <f t="shared" si="4"/>
        <v>17.856</v>
      </c>
      <c r="I78" s="4">
        <f t="shared" si="5"/>
        <v>1.449</v>
      </c>
      <c r="J78" s="5">
        <v>1.2</v>
      </c>
      <c r="K78" s="5">
        <v>13.2</v>
      </c>
      <c r="L78" s="4">
        <f t="shared" si="6"/>
        <v>8</v>
      </c>
      <c r="M78" s="4">
        <f t="shared" si="7"/>
        <v>1</v>
      </c>
      <c r="N78" s="4">
        <f t="shared" si="8"/>
        <v>5.4412</v>
      </c>
      <c r="O78" s="4">
        <f t="shared" si="9"/>
        <v>1.2</v>
      </c>
      <c r="P78" s="4">
        <f t="shared" si="10"/>
        <v>13.2</v>
      </c>
    </row>
    <row r="79" ht="15.75" customHeight="1">
      <c r="A79" s="4">
        <v>1994.0</v>
      </c>
      <c r="B79" s="4">
        <v>229.0</v>
      </c>
      <c r="C79" s="5">
        <v>8.6</v>
      </c>
      <c r="D79" s="5">
        <v>12.8</v>
      </c>
      <c r="E79" s="4">
        <f t="shared" si="1"/>
        <v>1</v>
      </c>
      <c r="F79" s="4">
        <f t="shared" si="2"/>
        <v>1</v>
      </c>
      <c r="G79" s="4">
        <f t="shared" si="3"/>
        <v>10.669</v>
      </c>
      <c r="H79" s="4">
        <f t="shared" si="4"/>
        <v>11.783</v>
      </c>
      <c r="I79" s="4">
        <f t="shared" si="5"/>
        <v>1.114</v>
      </c>
      <c r="J79" s="5">
        <v>4.4</v>
      </c>
      <c r="K79" s="5">
        <v>11.2</v>
      </c>
      <c r="L79" s="4">
        <f t="shared" si="6"/>
        <v>8</v>
      </c>
      <c r="M79" s="4">
        <f t="shared" si="7"/>
        <v>0</v>
      </c>
      <c r="N79" s="4">
        <f t="shared" si="8"/>
        <v>-4.9966</v>
      </c>
      <c r="O79" s="4">
        <f t="shared" si="9"/>
        <v>4.4</v>
      </c>
      <c r="P79" s="4">
        <f t="shared" si="10"/>
        <v>11.2</v>
      </c>
    </row>
    <row r="80" ht="15.75" customHeight="1">
      <c r="A80" s="4">
        <v>1994.0</v>
      </c>
      <c r="B80" s="4">
        <v>230.0</v>
      </c>
      <c r="C80" s="5">
        <v>6.5</v>
      </c>
      <c r="D80" s="5">
        <v>15.0</v>
      </c>
      <c r="E80" s="4">
        <f t="shared" si="1"/>
        <v>0</v>
      </c>
      <c r="F80" s="4">
        <f t="shared" si="2"/>
        <v>0</v>
      </c>
      <c r="G80" s="4">
        <f t="shared" si="3"/>
        <v>8.401</v>
      </c>
      <c r="H80" s="4">
        <f t="shared" si="4"/>
        <v>8.1015</v>
      </c>
      <c r="I80" s="4" t="str">
        <f t="shared" si="5"/>
        <v> </v>
      </c>
      <c r="J80" s="5"/>
      <c r="K80" s="5">
        <v>10.4</v>
      </c>
      <c r="L80" s="4">
        <f t="shared" si="6"/>
        <v>3</v>
      </c>
      <c r="M80" s="4">
        <f t="shared" si="7"/>
        <v>0</v>
      </c>
      <c r="N80" s="4">
        <f t="shared" si="8"/>
        <v>-3.3591</v>
      </c>
      <c r="O80" s="4" t="str">
        <f t="shared" si="9"/>
        <v/>
      </c>
      <c r="P80" s="4">
        <f t="shared" si="10"/>
        <v>10.4</v>
      </c>
    </row>
    <row r="81" ht="15.75" customHeight="1">
      <c r="A81" s="4">
        <v>1994.0</v>
      </c>
      <c r="B81" s="4">
        <v>231.0</v>
      </c>
      <c r="C81" s="5">
        <v>3.0</v>
      </c>
      <c r="D81" s="5">
        <v>18.3</v>
      </c>
      <c r="E81" s="4">
        <f t="shared" si="1"/>
        <v>0</v>
      </c>
      <c r="F81" s="4">
        <f t="shared" si="2"/>
        <v>1</v>
      </c>
      <c r="G81" s="4">
        <f t="shared" si="3"/>
        <v>10.681</v>
      </c>
      <c r="H81" s="4">
        <f t="shared" si="4"/>
        <v>11.316</v>
      </c>
      <c r="I81" s="4">
        <f t="shared" si="5"/>
        <v>0.635</v>
      </c>
      <c r="J81" s="5"/>
      <c r="K81" s="5">
        <v>11.6</v>
      </c>
      <c r="L81" s="4">
        <f t="shared" si="6"/>
        <v>3</v>
      </c>
      <c r="M81" s="4">
        <f t="shared" si="7"/>
        <v>0</v>
      </c>
      <c r="N81" s="4">
        <f t="shared" si="8"/>
        <v>-0.4586</v>
      </c>
      <c r="O81" s="4" t="str">
        <f t="shared" si="9"/>
        <v/>
      </c>
      <c r="P81" s="4">
        <f t="shared" si="10"/>
        <v>11.6</v>
      </c>
    </row>
    <row r="82" ht="15.75" customHeight="1">
      <c r="A82" s="4">
        <v>1994.0</v>
      </c>
      <c r="B82" s="4">
        <v>232.0</v>
      </c>
      <c r="C82" s="5">
        <v>11.8</v>
      </c>
      <c r="D82" s="5">
        <v>16.8</v>
      </c>
      <c r="E82" s="4">
        <f t="shared" si="1"/>
        <v>0</v>
      </c>
      <c r="F82" s="4">
        <f t="shared" si="2"/>
        <v>1</v>
      </c>
      <c r="G82" s="4">
        <f t="shared" si="3"/>
        <v>14.578</v>
      </c>
      <c r="H82" s="4">
        <f t="shared" si="4"/>
        <v>15.9795</v>
      </c>
      <c r="I82" s="4">
        <f t="shared" si="5"/>
        <v>1.4015</v>
      </c>
      <c r="J82" s="5"/>
      <c r="K82" s="5">
        <v>13.6</v>
      </c>
      <c r="L82" s="4">
        <f t="shared" si="6"/>
        <v>3</v>
      </c>
      <c r="M82" s="4">
        <f t="shared" si="7"/>
        <v>1</v>
      </c>
      <c r="N82" s="4">
        <f t="shared" si="8"/>
        <v>9.5218</v>
      </c>
      <c r="O82" s="4" t="str">
        <f t="shared" si="9"/>
        <v/>
      </c>
      <c r="P82" s="4">
        <f t="shared" si="10"/>
        <v>13.6</v>
      </c>
    </row>
    <row r="83" ht="15.75" customHeight="1">
      <c r="A83" s="4">
        <v>1994.0</v>
      </c>
      <c r="B83" s="4">
        <v>233.0</v>
      </c>
      <c r="C83" s="5">
        <v>11.5</v>
      </c>
      <c r="D83" s="5">
        <v>12.8</v>
      </c>
      <c r="E83" s="4">
        <f t="shared" si="1"/>
        <v>1</v>
      </c>
      <c r="F83" s="4">
        <f t="shared" si="2"/>
        <v>1</v>
      </c>
      <c r="G83" s="4">
        <f t="shared" si="3"/>
        <v>16.022</v>
      </c>
      <c r="H83" s="4">
        <f t="shared" si="4"/>
        <v>20.13</v>
      </c>
      <c r="I83" s="4">
        <f t="shared" si="5"/>
        <v>4.108</v>
      </c>
      <c r="J83" s="5">
        <v>19.6</v>
      </c>
      <c r="K83" s="5">
        <v>12.3</v>
      </c>
      <c r="L83" s="4">
        <f t="shared" si="6"/>
        <v>8</v>
      </c>
      <c r="M83" s="4">
        <f t="shared" si="7"/>
        <v>1</v>
      </c>
      <c r="N83" s="4">
        <f t="shared" si="8"/>
        <v>13.7527</v>
      </c>
      <c r="O83" s="4">
        <f t="shared" si="9"/>
        <v>19.6</v>
      </c>
      <c r="P83" s="4">
        <f t="shared" si="10"/>
        <v>12.3</v>
      </c>
    </row>
    <row r="84" ht="15.75" customHeight="1">
      <c r="A84" s="4">
        <v>1994.0</v>
      </c>
      <c r="B84" s="4">
        <v>234.0</v>
      </c>
      <c r="C84" s="5">
        <v>10.6</v>
      </c>
      <c r="D84" s="5">
        <v>11.9</v>
      </c>
      <c r="E84" s="4">
        <f t="shared" si="1"/>
        <v>1</v>
      </c>
      <c r="F84" s="4">
        <f t="shared" si="2"/>
        <v>1</v>
      </c>
      <c r="G84" s="4">
        <f t="shared" si="3"/>
        <v>17.089</v>
      </c>
      <c r="H84" s="4">
        <f t="shared" si="4"/>
        <v>19.936</v>
      </c>
      <c r="I84" s="4">
        <f t="shared" si="5"/>
        <v>2.847</v>
      </c>
      <c r="J84" s="5">
        <v>11.5</v>
      </c>
      <c r="K84" s="5">
        <v>11.2</v>
      </c>
      <c r="L84" s="4">
        <f t="shared" si="6"/>
        <v>8</v>
      </c>
      <c r="M84" s="4">
        <f t="shared" si="7"/>
        <v>1</v>
      </c>
      <c r="N84" s="4">
        <f t="shared" si="8"/>
        <v>12.036</v>
      </c>
      <c r="O84" s="4">
        <f t="shared" si="9"/>
        <v>11.5</v>
      </c>
      <c r="P84" s="4">
        <f t="shared" si="10"/>
        <v>11.2</v>
      </c>
    </row>
    <row r="85" ht="15.75" customHeight="1">
      <c r="A85" s="4">
        <v>1994.0</v>
      </c>
      <c r="B85" s="4">
        <v>235.0</v>
      </c>
      <c r="C85" s="5">
        <v>10.3</v>
      </c>
      <c r="D85" s="5">
        <v>14.6</v>
      </c>
      <c r="E85" s="4">
        <f t="shared" si="1"/>
        <v>1</v>
      </c>
      <c r="F85" s="4">
        <f t="shared" si="2"/>
        <v>1</v>
      </c>
      <c r="G85" s="4">
        <f t="shared" si="3"/>
        <v>18.284</v>
      </c>
      <c r="H85" s="4">
        <f t="shared" si="4"/>
        <v>20.082</v>
      </c>
      <c r="I85" s="4">
        <f t="shared" si="5"/>
        <v>1.798</v>
      </c>
      <c r="J85" s="5">
        <v>0.4</v>
      </c>
      <c r="K85" s="5">
        <v>11.8</v>
      </c>
      <c r="L85" s="4">
        <f t="shared" si="6"/>
        <v>8</v>
      </c>
      <c r="M85" s="4">
        <f t="shared" si="7"/>
        <v>1</v>
      </c>
      <c r="N85" s="4">
        <f t="shared" si="8"/>
        <v>10.1855</v>
      </c>
      <c r="O85" s="4">
        <f t="shared" si="9"/>
        <v>0.4</v>
      </c>
      <c r="P85" s="4">
        <f t="shared" si="10"/>
        <v>11.8</v>
      </c>
    </row>
    <row r="86" ht="15.75" customHeight="1">
      <c r="A86" s="4">
        <v>1994.0</v>
      </c>
      <c r="B86" s="4">
        <v>236.0</v>
      </c>
      <c r="C86" s="5">
        <v>8.4</v>
      </c>
      <c r="D86" s="5">
        <v>16.7</v>
      </c>
      <c r="E86" s="4">
        <f t="shared" si="1"/>
        <v>1</v>
      </c>
      <c r="F86" s="4">
        <f t="shared" si="2"/>
        <v>0</v>
      </c>
      <c r="G86" s="4">
        <f t="shared" si="3"/>
        <v>19.027</v>
      </c>
      <c r="H86" s="4">
        <f t="shared" si="4"/>
        <v>18.79</v>
      </c>
      <c r="I86" s="4" t="str">
        <f t="shared" si="5"/>
        <v> </v>
      </c>
      <c r="J86" s="5">
        <v>0.4</v>
      </c>
      <c r="K86" s="5">
        <v>11.6</v>
      </c>
      <c r="L86" s="4">
        <f t="shared" si="6"/>
        <v>8</v>
      </c>
      <c r="M86" s="4">
        <f t="shared" si="7"/>
        <v>1</v>
      </c>
      <c r="N86" s="4">
        <f t="shared" si="8"/>
        <v>5.3429</v>
      </c>
      <c r="O86" s="4">
        <f t="shared" si="9"/>
        <v>0.4</v>
      </c>
      <c r="P86" s="4">
        <f t="shared" si="10"/>
        <v>11.6</v>
      </c>
    </row>
    <row r="87" ht="15.75" customHeight="1">
      <c r="A87" s="4">
        <v>1994.0</v>
      </c>
      <c r="B87" s="4">
        <v>237.0</v>
      </c>
      <c r="C87" s="5">
        <v>6.6</v>
      </c>
      <c r="D87" s="5">
        <v>17.2</v>
      </c>
      <c r="E87" s="4">
        <f t="shared" si="1"/>
        <v>1</v>
      </c>
      <c r="F87" s="4">
        <f t="shared" si="2"/>
        <v>0</v>
      </c>
      <c r="G87" s="4">
        <f t="shared" si="3"/>
        <v>17.149</v>
      </c>
      <c r="H87" s="4">
        <f t="shared" si="4"/>
        <v>16.4905</v>
      </c>
      <c r="I87" s="4" t="str">
        <f t="shared" si="5"/>
        <v> </v>
      </c>
      <c r="J87" s="5">
        <v>2.3</v>
      </c>
      <c r="K87" s="5">
        <v>11.3</v>
      </c>
      <c r="L87" s="4">
        <f t="shared" si="6"/>
        <v>8</v>
      </c>
      <c r="M87" s="4">
        <f t="shared" si="7"/>
        <v>0</v>
      </c>
      <c r="N87" s="4">
        <f t="shared" si="8"/>
        <v>-4.0103</v>
      </c>
      <c r="O87" s="4">
        <f t="shared" si="9"/>
        <v>2.3</v>
      </c>
      <c r="P87" s="4">
        <f t="shared" si="10"/>
        <v>11.3</v>
      </c>
    </row>
    <row r="88" ht="15.75" customHeight="1">
      <c r="A88" s="4">
        <v>1994.0</v>
      </c>
      <c r="B88" s="4">
        <v>238.0</v>
      </c>
      <c r="C88" s="5">
        <v>6.6</v>
      </c>
      <c r="D88" s="5">
        <v>17.5</v>
      </c>
      <c r="E88" s="4">
        <f t="shared" si="1"/>
        <v>0</v>
      </c>
      <c r="J88" s="5"/>
      <c r="K88" s="5">
        <v>11.9</v>
      </c>
      <c r="L88" s="4">
        <f t="shared" si="6"/>
        <v>3</v>
      </c>
      <c r="O88" s="4" t="str">
        <f t="shared" si="9"/>
        <v/>
      </c>
      <c r="P88" s="4">
        <f t="shared" si="10"/>
        <v>11.9</v>
      </c>
    </row>
    <row r="89" ht="15.75" customHeight="1">
      <c r="A89" s="4">
        <v>1994.0</v>
      </c>
      <c r="B89" s="4">
        <v>239.0</v>
      </c>
      <c r="C89" s="5">
        <v>6.6</v>
      </c>
      <c r="D89" s="5">
        <v>16.8</v>
      </c>
      <c r="E89" s="4">
        <f t="shared" si="1"/>
        <v>0</v>
      </c>
      <c r="J89" s="5"/>
      <c r="K89" s="5">
        <v>11.7</v>
      </c>
      <c r="L89" s="4">
        <f t="shared" si="6"/>
        <v>3</v>
      </c>
      <c r="O89" s="4" t="str">
        <f t="shared" si="9"/>
        <v/>
      </c>
      <c r="P89" s="4">
        <f t="shared" si="10"/>
        <v>11.7</v>
      </c>
    </row>
    <row r="90" ht="15.75" customHeight="1">
      <c r="A90" s="4">
        <v>1994.0</v>
      </c>
      <c r="B90" s="4">
        <v>240.0</v>
      </c>
      <c r="C90" s="5">
        <v>3.9</v>
      </c>
      <c r="D90" s="5">
        <v>18.8</v>
      </c>
      <c r="E90" s="4">
        <f t="shared" si="1"/>
        <v>0</v>
      </c>
      <c r="J90" s="5"/>
      <c r="K90" s="5">
        <v>12.0</v>
      </c>
      <c r="L90" s="4">
        <f t="shared" si="6"/>
        <v>3</v>
      </c>
      <c r="O90" s="4" t="str">
        <f t="shared" si="9"/>
        <v/>
      </c>
      <c r="P90" s="4">
        <f t="shared" si="10"/>
        <v>12</v>
      </c>
    </row>
    <row r="91" ht="15.75" customHeight="1">
      <c r="A91" s="4">
        <v>1994.0</v>
      </c>
      <c r="B91" s="4">
        <v>241.0</v>
      </c>
      <c r="C91" s="5">
        <v>9.2</v>
      </c>
      <c r="D91" s="5">
        <v>18.8</v>
      </c>
      <c r="E91" s="4">
        <f t="shared" si="1"/>
        <v>0</v>
      </c>
      <c r="J91" s="5"/>
      <c r="K91" s="5">
        <v>13.6</v>
      </c>
      <c r="L91" s="4">
        <f t="shared" si="6"/>
        <v>3</v>
      </c>
      <c r="O91" s="4" t="str">
        <f t="shared" si="9"/>
        <v/>
      </c>
      <c r="P91" s="4">
        <f t="shared" si="10"/>
        <v>13.6</v>
      </c>
    </row>
    <row r="92" ht="15.75" customHeight="1">
      <c r="A92" s="4">
        <v>1994.0</v>
      </c>
      <c r="B92" s="4">
        <v>242.0</v>
      </c>
      <c r="C92" s="5">
        <v>10.7</v>
      </c>
      <c r="D92" s="5">
        <v>18.9</v>
      </c>
      <c r="E92" s="4">
        <f t="shared" si="1"/>
        <v>1</v>
      </c>
      <c r="J92" s="5">
        <v>6.9</v>
      </c>
      <c r="K92" s="5">
        <v>14.1</v>
      </c>
      <c r="L92" s="4">
        <f t="shared" si="6"/>
        <v>8</v>
      </c>
      <c r="O92" s="4">
        <f t="shared" si="9"/>
        <v>6.9</v>
      </c>
      <c r="P92" s="4">
        <f t="shared" si="10"/>
        <v>14.1</v>
      </c>
    </row>
    <row r="93" ht="15.75" customHeight="1">
      <c r="A93" s="4">
        <v>1994.0</v>
      </c>
      <c r="B93" s="4">
        <v>243.0</v>
      </c>
      <c r="C93" s="5">
        <v>9.2</v>
      </c>
      <c r="D93" s="5">
        <v>17.5</v>
      </c>
      <c r="E93" s="4">
        <f t="shared" si="1"/>
        <v>1</v>
      </c>
      <c r="J93" s="5">
        <v>4.7</v>
      </c>
      <c r="K93" s="5">
        <v>12.4</v>
      </c>
      <c r="L93" s="4">
        <f t="shared" si="6"/>
        <v>8</v>
      </c>
      <c r="O93" s="4">
        <f t="shared" si="9"/>
        <v>4.7</v>
      </c>
      <c r="P93" s="4">
        <f t="shared" si="10"/>
        <v>12.4</v>
      </c>
    </row>
    <row r="94" ht="15.75" customHeight="1"/>
    <row r="95" ht="15.75" customHeight="1"/>
    <row r="96" ht="15.75" customHeight="1">
      <c r="O96" s="4">
        <f>SUM(O2:O93)</f>
        <v>223.8</v>
      </c>
      <c r="P96" s="4">
        <f>SUMIF(P2:P93,"&gt;0")/10</f>
        <v>140.23</v>
      </c>
    </row>
    <row r="97" ht="15.75" customHeight="1"/>
    <row r="98" ht="15.75" customHeight="1">
      <c r="I98" s="4">
        <f>SUM(I2:I87)</f>
        <v>57.7535</v>
      </c>
      <c r="O98" s="4" t="s">
        <v>15</v>
      </c>
      <c r="P98" s="4">
        <f>O96/P96</f>
        <v>1.595949512</v>
      </c>
    </row>
    <row r="99" ht="15.75" customHeight="1">
      <c r="I99" s="4">
        <f>SUM(I2:I31)</f>
        <v>29.203</v>
      </c>
      <c r="O99" s="4" t="s">
        <v>16</v>
      </c>
      <c r="P99" s="4">
        <f>SUM(O2:O31)/(SUM(P2:P31)/10)</f>
        <v>2.022332506</v>
      </c>
    </row>
    <row r="100" ht="15.75" customHeight="1">
      <c r="I100" s="4">
        <f>SUM(I32:I62)</f>
        <v>9.64</v>
      </c>
      <c r="O100" s="4" t="s">
        <v>17</v>
      </c>
      <c r="P100" s="4">
        <f>SUM(O33:O62)/(SUM(P33:P62)/10)</f>
        <v>0.9733464956</v>
      </c>
    </row>
    <row r="101" ht="15.75" customHeight="1">
      <c r="I101" s="4">
        <f>SUM(I63:I93)</f>
        <v>18.9105</v>
      </c>
      <c r="O101" s="4" t="s">
        <v>18</v>
      </c>
      <c r="P101" s="4">
        <f>SUM(O63:O93)/(SUM(P63:P93)/10)</f>
        <v>1.961197807</v>
      </c>
    </row>
    <row r="102" ht="15.75" customHeight="1">
      <c r="I102" s="4">
        <f>SUMIF(I2:I87,"&gt;0")</f>
        <v>57.7535</v>
      </c>
    </row>
    <row r="103" ht="15.75" customHeight="1">
      <c r="I103" s="4">
        <f>SUMIF(I2:I31,"&gt;0")</f>
        <v>29.203</v>
      </c>
    </row>
    <row r="104" ht="15.75" customHeight="1">
      <c r="I104" s="4">
        <f>SUMIF(I32:I62,"&gt;0")</f>
        <v>9.64</v>
      </c>
      <c r="P104" s="4">
        <f>SUM(O16:O35)/(SUM(P16:P35)/10)</f>
        <v>1.412572254</v>
      </c>
    </row>
    <row r="105" ht="15.75" customHeight="1">
      <c r="I105" s="4">
        <f>SUMIF(I63:I87,"&gt;0")</f>
        <v>18.9105</v>
      </c>
      <c r="P105" s="4">
        <f>SUM(O36:O55)/(SUM(P36:P55)/10)</f>
        <v>1.242496999</v>
      </c>
    </row>
    <row r="106" ht="15.75" customHeight="1">
      <c r="P106" s="4">
        <f>SUM(O56:O77)/(SUM(P56:P77)/10)</f>
        <v>1.066203818</v>
      </c>
    </row>
    <row r="107" ht="15.75" customHeight="1">
      <c r="P107" s="4">
        <f>SUM(O16:O77)/(SUM(P16:P77)/10)</f>
        <v>1.218790092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5">
        <v>1995.0</v>
      </c>
      <c r="B2" s="4">
        <v>152.0</v>
      </c>
      <c r="C2" s="5">
        <v>13.6</v>
      </c>
      <c r="D2" s="5">
        <v>29.9</v>
      </c>
      <c r="E2" s="4">
        <f t="shared" ref="E2:E93" si="1">IF(J2&gt;0,1,0)</f>
        <v>0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44.614</v>
      </c>
      <c r="H2" s="4">
        <f t="shared" ref="H2:H87" si="4">0.63 * D2 + 0.37 * D3 + 0.49 * D4 + 0.22 * D5 + 0.65 * D6 + 0.24 *C2 - 0.06 * C3- 0.15 * C4 - 0.135 * C5 + 0.15 * C6 + 4.88 * E2 + 3.55 * E3 + 3.34 *E4 + 2.5 * E5 + 2.29 *E6-31.34</f>
        <v>39.5585</v>
      </c>
      <c r="I2" s="4" t="str">
        <f t="shared" ref="I2:I87" si="5">IF((H2-G2)&gt;0,H2-G2," ")</f>
        <v> </v>
      </c>
      <c r="J2" s="5"/>
      <c r="K2" s="5">
        <v>23.1</v>
      </c>
      <c r="L2" s="4">
        <f t="shared" ref="L2:L93" si="6">IF(E2&gt;0,8,3)</f>
        <v>3</v>
      </c>
      <c r="M2" s="4">
        <f t="shared" ref="M2:M87" si="7">IF(N2&gt;=0,1,0)</f>
        <v>0</v>
      </c>
      <c r="N2" s="4">
        <f t="shared" ref="N2:N87" si="8">-0.216*D2-0.191*D3-0.119*D4+0.004*C2-0.171*C3+0.628*C4-0.479*L2+0.513*L3+0.046*L4+5.947*E2+6.699*E3+4.328*E4-1.788</f>
        <v>-0.9768</v>
      </c>
      <c r="O2" s="4" t="str">
        <f t="shared" ref="O2:O93" si="9">IF(K2&gt;10,J2,0)</f>
        <v/>
      </c>
      <c r="P2" s="4">
        <f t="shared" ref="P2:P93" si="10">IF(K2&gt;10,K2,0)</f>
        <v>23.1</v>
      </c>
    </row>
    <row r="3">
      <c r="A3" s="5">
        <v>1995.0</v>
      </c>
      <c r="B3" s="4">
        <v>153.0</v>
      </c>
      <c r="C3" s="5">
        <v>16.0</v>
      </c>
      <c r="D3" s="5">
        <v>28.1</v>
      </c>
      <c r="E3" s="4">
        <f t="shared" si="1"/>
        <v>1</v>
      </c>
      <c r="F3" s="4">
        <f t="shared" si="2"/>
        <v>0</v>
      </c>
      <c r="G3" s="4">
        <f t="shared" si="3"/>
        <v>38.633</v>
      </c>
      <c r="H3" s="4">
        <f t="shared" si="4"/>
        <v>34.301</v>
      </c>
      <c r="I3" s="4" t="str">
        <f t="shared" si="5"/>
        <v> </v>
      </c>
      <c r="J3" s="5">
        <v>0.1</v>
      </c>
      <c r="K3" s="5">
        <v>22.2</v>
      </c>
      <c r="L3" s="4">
        <f t="shared" si="6"/>
        <v>8</v>
      </c>
      <c r="M3" s="4">
        <f t="shared" si="7"/>
        <v>0</v>
      </c>
      <c r="N3" s="4">
        <f t="shared" si="8"/>
        <v>-6.3882</v>
      </c>
      <c r="O3" s="4">
        <f t="shared" si="9"/>
        <v>0.1</v>
      </c>
      <c r="P3" s="4">
        <f t="shared" si="10"/>
        <v>22.2</v>
      </c>
    </row>
    <row r="4">
      <c r="A4" s="5">
        <v>1995.0</v>
      </c>
      <c r="B4" s="4">
        <v>154.0</v>
      </c>
      <c r="C4" s="5">
        <v>15.0</v>
      </c>
      <c r="D4" s="5">
        <v>30.3</v>
      </c>
      <c r="E4" s="4">
        <f t="shared" si="1"/>
        <v>0</v>
      </c>
      <c r="F4" s="4">
        <f t="shared" si="2"/>
        <v>0</v>
      </c>
      <c r="G4" s="4">
        <f t="shared" si="3"/>
        <v>36.37</v>
      </c>
      <c r="H4" s="4">
        <f t="shared" si="4"/>
        <v>30.5015</v>
      </c>
      <c r="I4" s="4" t="str">
        <f t="shared" si="5"/>
        <v> </v>
      </c>
      <c r="J4" s="5"/>
      <c r="K4" s="5">
        <v>23.2</v>
      </c>
      <c r="L4" s="4">
        <f t="shared" si="6"/>
        <v>3</v>
      </c>
      <c r="M4" s="4">
        <f t="shared" si="7"/>
        <v>0</v>
      </c>
      <c r="N4" s="4">
        <f t="shared" si="8"/>
        <v>-11.3667</v>
      </c>
      <c r="O4" s="4" t="str">
        <f t="shared" si="9"/>
        <v/>
      </c>
      <c r="P4" s="4">
        <f t="shared" si="10"/>
        <v>23.2</v>
      </c>
    </row>
    <row r="5">
      <c r="A5" s="5">
        <v>1995.0</v>
      </c>
      <c r="B5" s="4">
        <v>155.0</v>
      </c>
      <c r="C5" s="5">
        <v>14.9</v>
      </c>
      <c r="D5" s="5">
        <v>28.5</v>
      </c>
      <c r="E5" s="4">
        <f t="shared" si="1"/>
        <v>0</v>
      </c>
      <c r="F5" s="4">
        <f t="shared" si="2"/>
        <v>0</v>
      </c>
      <c r="G5" s="4">
        <f t="shared" si="3"/>
        <v>36.102</v>
      </c>
      <c r="H5" s="4">
        <f t="shared" si="4"/>
        <v>30.156</v>
      </c>
      <c r="I5" s="4" t="str">
        <f t="shared" si="5"/>
        <v> </v>
      </c>
      <c r="J5" s="5"/>
      <c r="K5" s="5">
        <v>21.6</v>
      </c>
      <c r="L5" s="4">
        <f t="shared" si="6"/>
        <v>3</v>
      </c>
      <c r="M5" s="4">
        <f t="shared" si="7"/>
        <v>0</v>
      </c>
      <c r="N5" s="4">
        <f t="shared" si="8"/>
        <v>-12.9195</v>
      </c>
      <c r="O5" s="4" t="str">
        <f t="shared" si="9"/>
        <v/>
      </c>
      <c r="P5" s="4">
        <f t="shared" si="10"/>
        <v>21.6</v>
      </c>
    </row>
    <row r="6">
      <c r="A6" s="5">
        <v>1995.0</v>
      </c>
      <c r="B6" s="4">
        <v>156.0</v>
      </c>
      <c r="C6" s="5">
        <v>12.4</v>
      </c>
      <c r="D6" s="5">
        <v>26.3</v>
      </c>
      <c r="E6" s="4">
        <f t="shared" si="1"/>
        <v>0</v>
      </c>
      <c r="F6" s="4">
        <f t="shared" si="2"/>
        <v>0</v>
      </c>
      <c r="G6" s="4">
        <f t="shared" si="3"/>
        <v>35.17</v>
      </c>
      <c r="H6" s="4">
        <f t="shared" si="4"/>
        <v>29.868</v>
      </c>
      <c r="I6" s="4" t="str">
        <f t="shared" si="5"/>
        <v> </v>
      </c>
      <c r="J6" s="5"/>
      <c r="K6" s="5">
        <v>19.2</v>
      </c>
      <c r="L6" s="4">
        <f t="shared" si="6"/>
        <v>3</v>
      </c>
      <c r="M6" s="4">
        <f t="shared" si="7"/>
        <v>0</v>
      </c>
      <c r="N6" s="4">
        <f t="shared" si="8"/>
        <v>-12.1463</v>
      </c>
      <c r="O6" s="4" t="str">
        <f t="shared" si="9"/>
        <v/>
      </c>
      <c r="P6" s="4">
        <f t="shared" si="10"/>
        <v>19.2</v>
      </c>
    </row>
    <row r="7">
      <c r="A7" s="5">
        <v>1995.0</v>
      </c>
      <c r="B7" s="4">
        <v>157.0</v>
      </c>
      <c r="C7" s="5">
        <v>6.5</v>
      </c>
      <c r="D7" s="5">
        <v>18.6</v>
      </c>
      <c r="E7" s="4">
        <f t="shared" si="1"/>
        <v>0</v>
      </c>
      <c r="F7" s="4">
        <f t="shared" si="2"/>
        <v>0</v>
      </c>
      <c r="G7" s="4">
        <f t="shared" si="3"/>
        <v>30.685</v>
      </c>
      <c r="H7" s="4">
        <f t="shared" si="4"/>
        <v>26.207</v>
      </c>
      <c r="I7" s="4" t="str">
        <f t="shared" si="5"/>
        <v> </v>
      </c>
      <c r="J7" s="5"/>
      <c r="K7" s="5">
        <v>12.4</v>
      </c>
      <c r="L7" s="4">
        <f t="shared" si="6"/>
        <v>3</v>
      </c>
      <c r="M7" s="4">
        <f t="shared" si="7"/>
        <v>0</v>
      </c>
      <c r="N7" s="4">
        <f t="shared" si="8"/>
        <v>-9.676</v>
      </c>
      <c r="O7" s="4" t="str">
        <f t="shared" si="9"/>
        <v/>
      </c>
      <c r="P7" s="4">
        <f t="shared" si="10"/>
        <v>12.4</v>
      </c>
    </row>
    <row r="8">
      <c r="A8" s="5">
        <v>1995.0</v>
      </c>
      <c r="B8" s="4">
        <v>158.0</v>
      </c>
      <c r="C8" s="5">
        <v>3.8</v>
      </c>
      <c r="D8" s="5">
        <v>22.6</v>
      </c>
      <c r="E8" s="4">
        <f t="shared" si="1"/>
        <v>0</v>
      </c>
      <c r="F8" s="4">
        <f t="shared" si="2"/>
        <v>0</v>
      </c>
      <c r="G8" s="4">
        <f t="shared" si="3"/>
        <v>35.655</v>
      </c>
      <c r="H8" s="4">
        <f t="shared" si="4"/>
        <v>30.656</v>
      </c>
      <c r="I8" s="4" t="str">
        <f t="shared" si="5"/>
        <v> </v>
      </c>
      <c r="J8" s="5"/>
      <c r="K8" s="5">
        <v>14.6</v>
      </c>
      <c r="L8" s="4">
        <f t="shared" si="6"/>
        <v>3</v>
      </c>
      <c r="M8" s="4">
        <f t="shared" si="7"/>
        <v>0</v>
      </c>
      <c r="N8" s="4">
        <f t="shared" si="8"/>
        <v>-9.6677</v>
      </c>
      <c r="O8" s="4" t="str">
        <f t="shared" si="9"/>
        <v/>
      </c>
      <c r="P8" s="4">
        <f t="shared" si="10"/>
        <v>14.6</v>
      </c>
    </row>
    <row r="9">
      <c r="A9" s="5">
        <v>1995.0</v>
      </c>
      <c r="B9" s="4">
        <v>159.0</v>
      </c>
      <c r="C9" s="5">
        <v>6.4</v>
      </c>
      <c r="D9" s="5">
        <v>26.8</v>
      </c>
      <c r="E9" s="4">
        <f t="shared" si="1"/>
        <v>0</v>
      </c>
      <c r="F9" s="4">
        <f t="shared" si="2"/>
        <v>0</v>
      </c>
      <c r="G9" s="4">
        <f t="shared" si="3"/>
        <v>40.065</v>
      </c>
      <c r="H9" s="4">
        <f t="shared" si="4"/>
        <v>34.3615</v>
      </c>
      <c r="I9" s="4" t="str">
        <f t="shared" si="5"/>
        <v> </v>
      </c>
      <c r="J9" s="5"/>
      <c r="K9" s="5">
        <v>18.2</v>
      </c>
      <c r="L9" s="4">
        <f t="shared" si="6"/>
        <v>3</v>
      </c>
      <c r="M9" s="4">
        <f t="shared" si="7"/>
        <v>0</v>
      </c>
      <c r="N9" s="4">
        <f t="shared" si="8"/>
        <v>-11.0438</v>
      </c>
      <c r="O9" s="4" t="str">
        <f t="shared" si="9"/>
        <v/>
      </c>
      <c r="P9" s="4">
        <f t="shared" si="10"/>
        <v>18.2</v>
      </c>
    </row>
    <row r="10">
      <c r="A10" s="5">
        <v>1995.0</v>
      </c>
      <c r="B10" s="4">
        <v>160.0</v>
      </c>
      <c r="C10" s="5">
        <v>10.0</v>
      </c>
      <c r="D10" s="5">
        <v>27.9</v>
      </c>
      <c r="E10" s="4">
        <f t="shared" si="1"/>
        <v>0</v>
      </c>
      <c r="F10" s="4">
        <f t="shared" si="2"/>
        <v>0</v>
      </c>
      <c r="G10" s="4">
        <f t="shared" si="3"/>
        <v>42.252</v>
      </c>
      <c r="H10" s="4">
        <f t="shared" si="4"/>
        <v>36.3055</v>
      </c>
      <c r="I10" s="4" t="str">
        <f t="shared" si="5"/>
        <v> </v>
      </c>
      <c r="J10" s="5"/>
      <c r="K10" s="5">
        <v>20.3</v>
      </c>
      <c r="L10" s="4">
        <f t="shared" si="6"/>
        <v>3</v>
      </c>
      <c r="M10" s="4">
        <f t="shared" si="7"/>
        <v>0</v>
      </c>
      <c r="N10" s="4">
        <f t="shared" si="8"/>
        <v>-11.2441</v>
      </c>
      <c r="O10" s="4" t="str">
        <f t="shared" si="9"/>
        <v/>
      </c>
      <c r="P10" s="4">
        <f t="shared" si="10"/>
        <v>20.3</v>
      </c>
    </row>
    <row r="11">
      <c r="A11" s="5">
        <v>1995.0</v>
      </c>
      <c r="B11" s="4">
        <v>161.0</v>
      </c>
      <c r="C11" s="5">
        <v>10.4</v>
      </c>
      <c r="D11" s="5">
        <v>27.1</v>
      </c>
      <c r="E11" s="4">
        <f t="shared" si="1"/>
        <v>0</v>
      </c>
      <c r="F11" s="4">
        <f t="shared" si="2"/>
        <v>0</v>
      </c>
      <c r="G11" s="4">
        <f t="shared" si="3"/>
        <v>42.619</v>
      </c>
      <c r="H11" s="4">
        <f t="shared" si="4"/>
        <v>38.3625</v>
      </c>
      <c r="I11" s="4" t="str">
        <f t="shared" si="5"/>
        <v> </v>
      </c>
      <c r="J11" s="5"/>
      <c r="K11" s="5">
        <v>19.1</v>
      </c>
      <c r="L11" s="4">
        <f t="shared" si="6"/>
        <v>3</v>
      </c>
      <c r="M11" s="4">
        <f t="shared" si="7"/>
        <v>0</v>
      </c>
      <c r="N11" s="4">
        <f t="shared" si="8"/>
        <v>-10.6548</v>
      </c>
      <c r="O11" s="4" t="str">
        <f t="shared" si="9"/>
        <v/>
      </c>
      <c r="P11" s="4">
        <f t="shared" si="10"/>
        <v>19.1</v>
      </c>
    </row>
    <row r="12">
      <c r="A12" s="5">
        <v>1995.0</v>
      </c>
      <c r="B12" s="4">
        <v>162.0</v>
      </c>
      <c r="C12" s="5">
        <v>10.7</v>
      </c>
      <c r="D12" s="5">
        <v>29.2</v>
      </c>
      <c r="E12" s="4">
        <f t="shared" si="1"/>
        <v>0</v>
      </c>
      <c r="F12" s="4">
        <f t="shared" si="2"/>
        <v>0</v>
      </c>
      <c r="G12" s="4">
        <f t="shared" si="3"/>
        <v>46.729</v>
      </c>
      <c r="H12" s="4">
        <f t="shared" si="4"/>
        <v>42.8475</v>
      </c>
      <c r="I12" s="4" t="str">
        <f t="shared" si="5"/>
        <v> </v>
      </c>
      <c r="J12" s="5"/>
      <c r="K12" s="5">
        <v>22.2</v>
      </c>
      <c r="L12" s="4">
        <f t="shared" si="6"/>
        <v>3</v>
      </c>
      <c r="M12" s="4">
        <f t="shared" si="7"/>
        <v>0</v>
      </c>
      <c r="N12" s="4">
        <f t="shared" si="8"/>
        <v>-10.6901</v>
      </c>
      <c r="O12" s="4" t="str">
        <f t="shared" si="9"/>
        <v/>
      </c>
      <c r="P12" s="4">
        <f t="shared" si="10"/>
        <v>22.2</v>
      </c>
    </row>
    <row r="13">
      <c r="A13" s="5">
        <v>1995.0</v>
      </c>
      <c r="B13" s="4">
        <v>163.0</v>
      </c>
      <c r="C13" s="5">
        <v>12.1</v>
      </c>
      <c r="D13" s="5">
        <v>29.3</v>
      </c>
      <c r="E13" s="4">
        <f t="shared" si="1"/>
        <v>0</v>
      </c>
      <c r="F13" s="4">
        <f t="shared" si="2"/>
        <v>0</v>
      </c>
      <c r="G13" s="4">
        <f t="shared" si="3"/>
        <v>48.979</v>
      </c>
      <c r="H13" s="4">
        <f t="shared" si="4"/>
        <v>46.0325</v>
      </c>
      <c r="I13" s="4" t="str">
        <f t="shared" si="5"/>
        <v> </v>
      </c>
      <c r="J13" s="5"/>
      <c r="K13" s="5">
        <v>20.7</v>
      </c>
      <c r="L13" s="4">
        <f t="shared" si="6"/>
        <v>3</v>
      </c>
      <c r="M13" s="4">
        <f t="shared" si="7"/>
        <v>0</v>
      </c>
      <c r="N13" s="4">
        <f t="shared" si="8"/>
        <v>-5.9439</v>
      </c>
      <c r="O13" s="4" t="str">
        <f t="shared" si="9"/>
        <v/>
      </c>
      <c r="P13" s="4">
        <f t="shared" si="10"/>
        <v>20.7</v>
      </c>
    </row>
    <row r="14">
      <c r="A14" s="5">
        <v>1995.0</v>
      </c>
      <c r="B14" s="4">
        <v>164.0</v>
      </c>
      <c r="C14" s="5">
        <v>13.1</v>
      </c>
      <c r="D14" s="5">
        <v>28.9</v>
      </c>
      <c r="E14" s="4">
        <f t="shared" si="1"/>
        <v>0</v>
      </c>
      <c r="F14" s="4">
        <f t="shared" si="2"/>
        <v>0</v>
      </c>
      <c r="G14" s="4">
        <f t="shared" si="3"/>
        <v>49.22</v>
      </c>
      <c r="H14" s="4">
        <f t="shared" si="4"/>
        <v>48.8935</v>
      </c>
      <c r="I14" s="4" t="str">
        <f t="shared" si="5"/>
        <v> </v>
      </c>
      <c r="J14" s="5"/>
      <c r="K14" s="5">
        <v>20.6</v>
      </c>
      <c r="L14" s="4">
        <f t="shared" si="6"/>
        <v>3</v>
      </c>
      <c r="M14" s="4">
        <f t="shared" si="7"/>
        <v>1</v>
      </c>
      <c r="N14" s="4">
        <f t="shared" si="8"/>
        <v>3.868</v>
      </c>
      <c r="O14" s="4" t="str">
        <f t="shared" si="9"/>
        <v/>
      </c>
      <c r="P14" s="4">
        <f t="shared" si="10"/>
        <v>20.6</v>
      </c>
    </row>
    <row r="15">
      <c r="A15" s="5">
        <v>1995.0</v>
      </c>
      <c r="B15" s="4">
        <v>165.0</v>
      </c>
      <c r="C15" s="5">
        <v>13.5</v>
      </c>
      <c r="D15" s="5">
        <v>28.5</v>
      </c>
      <c r="E15" s="4">
        <f t="shared" si="1"/>
        <v>1</v>
      </c>
      <c r="F15" s="4">
        <f t="shared" si="2"/>
        <v>0</v>
      </c>
      <c r="G15" s="4">
        <f t="shared" si="3"/>
        <v>50.74</v>
      </c>
      <c r="H15" s="4">
        <f t="shared" si="4"/>
        <v>49.572</v>
      </c>
      <c r="I15" s="4" t="str">
        <f t="shared" si="5"/>
        <v> </v>
      </c>
      <c r="J15" s="5">
        <v>0.7</v>
      </c>
      <c r="K15" s="5">
        <v>21.4</v>
      </c>
      <c r="L15" s="4">
        <f t="shared" si="6"/>
        <v>8</v>
      </c>
      <c r="M15" s="4">
        <f t="shared" si="7"/>
        <v>1</v>
      </c>
      <c r="N15" s="4">
        <f t="shared" si="8"/>
        <v>6.7094</v>
      </c>
      <c r="O15" s="4">
        <f t="shared" si="9"/>
        <v>0.7</v>
      </c>
      <c r="P15" s="4">
        <f t="shared" si="10"/>
        <v>21.4</v>
      </c>
    </row>
    <row r="16">
      <c r="A16" s="5">
        <v>1995.0</v>
      </c>
      <c r="B16" s="4">
        <v>166.0</v>
      </c>
      <c r="C16" s="5">
        <v>14.5</v>
      </c>
      <c r="D16" s="5">
        <v>30.0</v>
      </c>
      <c r="E16" s="4">
        <f t="shared" si="1"/>
        <v>1</v>
      </c>
      <c r="F16" s="4">
        <f t="shared" si="2"/>
        <v>1</v>
      </c>
      <c r="G16" s="4">
        <f t="shared" si="3"/>
        <v>46.451</v>
      </c>
      <c r="H16" s="4">
        <f t="shared" si="4"/>
        <v>46.684</v>
      </c>
      <c r="I16" s="4">
        <f t="shared" si="5"/>
        <v>0.233</v>
      </c>
      <c r="J16" s="5">
        <v>12.3</v>
      </c>
      <c r="K16" s="5">
        <v>20.4</v>
      </c>
      <c r="L16" s="4">
        <f t="shared" si="6"/>
        <v>8</v>
      </c>
      <c r="M16" s="4">
        <f t="shared" si="7"/>
        <v>1</v>
      </c>
      <c r="N16" s="4">
        <f t="shared" si="8"/>
        <v>9.3079</v>
      </c>
      <c r="O16" s="4">
        <f t="shared" si="9"/>
        <v>12.3</v>
      </c>
      <c r="P16" s="4">
        <f t="shared" si="10"/>
        <v>20.4</v>
      </c>
    </row>
    <row r="17">
      <c r="A17" s="5">
        <v>1995.0</v>
      </c>
      <c r="B17" s="4">
        <v>167.0</v>
      </c>
      <c r="C17" s="5">
        <v>13.9</v>
      </c>
      <c r="D17" s="5">
        <v>29.7</v>
      </c>
      <c r="E17" s="4">
        <f t="shared" si="1"/>
        <v>1</v>
      </c>
      <c r="F17" s="4">
        <f t="shared" si="2"/>
        <v>1</v>
      </c>
      <c r="G17" s="4">
        <f t="shared" si="3"/>
        <v>41.486</v>
      </c>
      <c r="H17" s="4">
        <f t="shared" si="4"/>
        <v>41.835</v>
      </c>
      <c r="I17" s="4">
        <f t="shared" si="5"/>
        <v>0.349</v>
      </c>
      <c r="J17" s="5">
        <v>1.1</v>
      </c>
      <c r="K17" s="5">
        <v>22.4</v>
      </c>
      <c r="L17" s="4">
        <f t="shared" si="6"/>
        <v>8</v>
      </c>
      <c r="M17" s="4">
        <f t="shared" si="7"/>
        <v>1</v>
      </c>
      <c r="N17" s="4">
        <f t="shared" si="8"/>
        <v>2.6139</v>
      </c>
      <c r="O17" s="4">
        <f t="shared" si="9"/>
        <v>1.1</v>
      </c>
      <c r="P17" s="4">
        <f t="shared" si="10"/>
        <v>22.4</v>
      </c>
    </row>
    <row r="18">
      <c r="A18" s="5">
        <v>1995.0</v>
      </c>
      <c r="B18" s="4">
        <v>168.0</v>
      </c>
      <c r="C18" s="5">
        <v>17.8</v>
      </c>
      <c r="D18" s="5">
        <v>27.1</v>
      </c>
      <c r="E18" s="4">
        <f t="shared" si="1"/>
        <v>1</v>
      </c>
      <c r="F18" s="4">
        <f t="shared" si="2"/>
        <v>1</v>
      </c>
      <c r="G18" s="4">
        <f t="shared" si="3"/>
        <v>34.576</v>
      </c>
      <c r="H18" s="4">
        <f t="shared" si="4"/>
        <v>35.203</v>
      </c>
      <c r="I18" s="4">
        <f t="shared" si="5"/>
        <v>0.627</v>
      </c>
      <c r="J18" s="5">
        <v>3.7</v>
      </c>
      <c r="K18" s="5">
        <v>21.9</v>
      </c>
      <c r="L18" s="4">
        <f t="shared" si="6"/>
        <v>8</v>
      </c>
      <c r="M18" s="4">
        <f t="shared" si="7"/>
        <v>0</v>
      </c>
      <c r="N18" s="4">
        <f t="shared" si="8"/>
        <v>-1.4094</v>
      </c>
      <c r="O18" s="4">
        <f t="shared" si="9"/>
        <v>3.7</v>
      </c>
      <c r="P18" s="4">
        <f t="shared" si="10"/>
        <v>21.9</v>
      </c>
    </row>
    <row r="19">
      <c r="A19" s="5">
        <v>1995.0</v>
      </c>
      <c r="B19" s="4">
        <v>169.0</v>
      </c>
      <c r="C19" s="5">
        <v>14.4</v>
      </c>
      <c r="D19" s="5">
        <v>26.2</v>
      </c>
      <c r="E19" s="4">
        <f t="shared" si="1"/>
        <v>0</v>
      </c>
      <c r="F19" s="4">
        <f t="shared" si="2"/>
        <v>1</v>
      </c>
      <c r="G19" s="4">
        <f t="shared" si="3"/>
        <v>30.789</v>
      </c>
      <c r="H19" s="4">
        <f t="shared" si="4"/>
        <v>31.218</v>
      </c>
      <c r="I19" s="4">
        <f t="shared" si="5"/>
        <v>0.429</v>
      </c>
      <c r="J19" s="5"/>
      <c r="K19" s="5">
        <v>20.6</v>
      </c>
      <c r="L19" s="4">
        <f t="shared" si="6"/>
        <v>3</v>
      </c>
      <c r="M19" s="4">
        <f t="shared" si="7"/>
        <v>1</v>
      </c>
      <c r="N19" s="4">
        <f t="shared" si="8"/>
        <v>5.3221</v>
      </c>
      <c r="O19" s="4" t="str">
        <f t="shared" si="9"/>
        <v/>
      </c>
      <c r="P19" s="4">
        <f t="shared" si="10"/>
        <v>20.6</v>
      </c>
    </row>
    <row r="20">
      <c r="A20" s="5">
        <v>1995.0</v>
      </c>
      <c r="B20" s="4">
        <v>170.0</v>
      </c>
      <c r="C20" s="5">
        <v>12.8</v>
      </c>
      <c r="D20" s="5">
        <v>23.2</v>
      </c>
      <c r="E20" s="4">
        <f t="shared" si="1"/>
        <v>1</v>
      </c>
      <c r="F20" s="4">
        <f t="shared" si="2"/>
        <v>1</v>
      </c>
      <c r="G20" s="4">
        <f t="shared" si="3"/>
        <v>28.415</v>
      </c>
      <c r="H20" s="4">
        <f t="shared" si="4"/>
        <v>30.7515</v>
      </c>
      <c r="I20" s="4">
        <f t="shared" si="5"/>
        <v>2.3365</v>
      </c>
      <c r="J20" s="5">
        <v>1.7</v>
      </c>
      <c r="K20" s="5">
        <v>18.1</v>
      </c>
      <c r="L20" s="4">
        <f t="shared" si="6"/>
        <v>8</v>
      </c>
      <c r="M20" s="4">
        <f t="shared" si="7"/>
        <v>1</v>
      </c>
      <c r="N20" s="4">
        <f t="shared" si="8"/>
        <v>10.3744</v>
      </c>
      <c r="O20" s="4">
        <f t="shared" si="9"/>
        <v>1.7</v>
      </c>
      <c r="P20" s="4">
        <f t="shared" si="10"/>
        <v>18.1</v>
      </c>
    </row>
    <row r="21" ht="15.75" customHeight="1">
      <c r="A21" s="5">
        <v>1995.0</v>
      </c>
      <c r="B21" s="4">
        <v>171.0</v>
      </c>
      <c r="C21" s="5">
        <v>12.2</v>
      </c>
      <c r="D21" s="5">
        <v>20.1</v>
      </c>
      <c r="E21" s="4">
        <f t="shared" si="1"/>
        <v>1</v>
      </c>
      <c r="F21" s="4">
        <f t="shared" si="2"/>
        <v>1</v>
      </c>
      <c r="G21" s="4">
        <f t="shared" si="3"/>
        <v>24.398</v>
      </c>
      <c r="H21" s="4">
        <f t="shared" si="4"/>
        <v>26.402</v>
      </c>
      <c r="I21" s="4">
        <f t="shared" si="5"/>
        <v>2.004</v>
      </c>
      <c r="J21" s="5">
        <v>0.5</v>
      </c>
      <c r="K21" s="5">
        <v>16.2</v>
      </c>
      <c r="L21" s="4">
        <f t="shared" si="6"/>
        <v>8</v>
      </c>
      <c r="M21" s="4">
        <f t="shared" si="7"/>
        <v>1</v>
      </c>
      <c r="N21" s="4">
        <f t="shared" si="8"/>
        <v>11.6312</v>
      </c>
      <c r="O21" s="4">
        <f t="shared" si="9"/>
        <v>0.5</v>
      </c>
      <c r="P21" s="4">
        <f t="shared" si="10"/>
        <v>16.2</v>
      </c>
    </row>
    <row r="22" ht="15.75" customHeight="1">
      <c r="A22" s="5">
        <v>1995.0</v>
      </c>
      <c r="B22" s="4">
        <v>172.0</v>
      </c>
      <c r="C22" s="5">
        <v>11.4</v>
      </c>
      <c r="D22" s="5">
        <v>14.5</v>
      </c>
      <c r="E22" s="4">
        <f t="shared" si="1"/>
        <v>1</v>
      </c>
      <c r="F22" s="4">
        <f t="shared" si="2"/>
        <v>1</v>
      </c>
      <c r="G22" s="4">
        <f t="shared" si="3"/>
        <v>23.866</v>
      </c>
      <c r="H22" s="4">
        <f t="shared" si="4"/>
        <v>26.2795</v>
      </c>
      <c r="I22" s="4">
        <f t="shared" si="5"/>
        <v>2.4135</v>
      </c>
      <c r="J22" s="5">
        <v>4.7</v>
      </c>
      <c r="K22" s="5">
        <v>12.7</v>
      </c>
      <c r="L22" s="4">
        <f t="shared" si="6"/>
        <v>8</v>
      </c>
      <c r="M22" s="4">
        <f t="shared" si="7"/>
        <v>1</v>
      </c>
      <c r="N22" s="4">
        <f t="shared" si="8"/>
        <v>11.7736</v>
      </c>
      <c r="O22" s="4">
        <f t="shared" si="9"/>
        <v>4.7</v>
      </c>
      <c r="P22" s="4">
        <f t="shared" si="10"/>
        <v>12.7</v>
      </c>
    </row>
    <row r="23" ht="15.75" customHeight="1">
      <c r="A23" s="5">
        <v>1995.0</v>
      </c>
      <c r="B23" s="4">
        <v>173.0</v>
      </c>
      <c r="C23" s="5">
        <v>11.1</v>
      </c>
      <c r="D23" s="5">
        <v>18.1</v>
      </c>
      <c r="E23" s="4">
        <f t="shared" si="1"/>
        <v>1</v>
      </c>
      <c r="F23" s="4">
        <f t="shared" si="2"/>
        <v>0</v>
      </c>
      <c r="G23" s="4">
        <f t="shared" si="3"/>
        <v>28.482</v>
      </c>
      <c r="H23" s="4">
        <f t="shared" si="4"/>
        <v>27.973</v>
      </c>
      <c r="I23" s="4" t="str">
        <f t="shared" si="5"/>
        <v> </v>
      </c>
      <c r="J23" s="5">
        <v>10.1</v>
      </c>
      <c r="K23" s="5">
        <v>14.4</v>
      </c>
      <c r="L23" s="4">
        <f t="shared" si="6"/>
        <v>8</v>
      </c>
      <c r="M23" s="4">
        <f t="shared" si="7"/>
        <v>1</v>
      </c>
      <c r="N23" s="4">
        <f t="shared" si="8"/>
        <v>8.1813</v>
      </c>
      <c r="O23" s="4">
        <f t="shared" si="9"/>
        <v>10.1</v>
      </c>
      <c r="P23" s="4">
        <f t="shared" si="10"/>
        <v>14.4</v>
      </c>
    </row>
    <row r="24" ht="15.75" customHeight="1">
      <c r="A24" s="5">
        <v>1995.0</v>
      </c>
      <c r="B24" s="4">
        <v>174.0</v>
      </c>
      <c r="C24" s="5">
        <v>10.4</v>
      </c>
      <c r="D24" s="5">
        <v>18.0</v>
      </c>
      <c r="E24" s="4">
        <f t="shared" si="1"/>
        <v>1</v>
      </c>
      <c r="F24" s="4">
        <f t="shared" si="2"/>
        <v>0</v>
      </c>
      <c r="G24" s="4">
        <f t="shared" si="3"/>
        <v>28.91</v>
      </c>
      <c r="H24" s="4">
        <f t="shared" si="4"/>
        <v>28.4525</v>
      </c>
      <c r="I24" s="4" t="str">
        <f t="shared" si="5"/>
        <v> </v>
      </c>
      <c r="J24" s="5">
        <v>1.6</v>
      </c>
      <c r="K24" s="5">
        <v>14.3</v>
      </c>
      <c r="L24" s="4">
        <f t="shared" si="6"/>
        <v>8</v>
      </c>
      <c r="M24" s="4">
        <f t="shared" si="7"/>
        <v>1</v>
      </c>
      <c r="N24" s="4">
        <f t="shared" si="8"/>
        <v>1.2339</v>
      </c>
      <c r="O24" s="4">
        <f t="shared" si="9"/>
        <v>1.6</v>
      </c>
      <c r="P24" s="4">
        <f t="shared" si="10"/>
        <v>14.3</v>
      </c>
    </row>
    <row r="25" ht="15.75" customHeight="1">
      <c r="A25" s="5">
        <v>1995.0</v>
      </c>
      <c r="B25" s="4">
        <v>175.0</v>
      </c>
      <c r="C25" s="5">
        <v>12.9</v>
      </c>
      <c r="D25" s="5">
        <v>17.7</v>
      </c>
      <c r="E25" s="4">
        <f t="shared" si="1"/>
        <v>0</v>
      </c>
      <c r="F25" s="4">
        <f t="shared" si="2"/>
        <v>0</v>
      </c>
      <c r="G25" s="4">
        <f t="shared" si="3"/>
        <v>27.939</v>
      </c>
      <c r="H25" s="4">
        <f t="shared" si="4"/>
        <v>24.354</v>
      </c>
      <c r="I25" s="4" t="str">
        <f t="shared" si="5"/>
        <v> </v>
      </c>
      <c r="J25" s="5"/>
      <c r="K25" s="5">
        <v>14.6</v>
      </c>
      <c r="L25" s="4">
        <f t="shared" si="6"/>
        <v>3</v>
      </c>
      <c r="M25" s="4">
        <f t="shared" si="7"/>
        <v>1</v>
      </c>
      <c r="N25" s="4">
        <f t="shared" si="8"/>
        <v>1.509</v>
      </c>
      <c r="O25" s="4" t="str">
        <f t="shared" si="9"/>
        <v/>
      </c>
      <c r="P25" s="4">
        <f t="shared" si="10"/>
        <v>14.6</v>
      </c>
    </row>
    <row r="26" ht="15.75" customHeight="1">
      <c r="A26" s="5">
        <v>1995.0</v>
      </c>
      <c r="B26" s="4">
        <v>176.0</v>
      </c>
      <c r="C26" s="5">
        <v>10.8</v>
      </c>
      <c r="D26" s="5">
        <v>22.5</v>
      </c>
      <c r="E26" s="4">
        <f t="shared" si="1"/>
        <v>1</v>
      </c>
      <c r="F26" s="4">
        <f t="shared" si="2"/>
        <v>0</v>
      </c>
      <c r="G26" s="4">
        <f t="shared" si="3"/>
        <v>32.117</v>
      </c>
      <c r="H26" s="4">
        <f t="shared" si="4"/>
        <v>29.0555</v>
      </c>
      <c r="I26" s="4" t="str">
        <f t="shared" si="5"/>
        <v> </v>
      </c>
      <c r="J26" s="5">
        <v>0.6</v>
      </c>
      <c r="K26" s="5">
        <v>16.4</v>
      </c>
      <c r="L26" s="4">
        <f t="shared" si="6"/>
        <v>8</v>
      </c>
      <c r="M26" s="4">
        <f t="shared" si="7"/>
        <v>0</v>
      </c>
      <c r="N26" s="4">
        <f t="shared" si="8"/>
        <v>-3.0179</v>
      </c>
      <c r="O26" s="4">
        <f t="shared" si="9"/>
        <v>0.6</v>
      </c>
      <c r="P26" s="4">
        <f t="shared" si="10"/>
        <v>16.4</v>
      </c>
    </row>
    <row r="27" ht="15.75" customHeight="1">
      <c r="A27" s="5">
        <v>1995.0</v>
      </c>
      <c r="B27" s="4">
        <v>177.0</v>
      </c>
      <c r="C27" s="5">
        <v>10.7</v>
      </c>
      <c r="D27" s="5">
        <v>25.3</v>
      </c>
      <c r="E27" s="4">
        <f t="shared" si="1"/>
        <v>0</v>
      </c>
      <c r="F27" s="4">
        <f t="shared" si="2"/>
        <v>0</v>
      </c>
      <c r="G27" s="4">
        <f t="shared" si="3"/>
        <v>30.01</v>
      </c>
      <c r="H27" s="4">
        <f t="shared" si="4"/>
        <v>24.8945</v>
      </c>
      <c r="I27" s="4" t="str">
        <f t="shared" si="5"/>
        <v> </v>
      </c>
      <c r="J27" s="5"/>
      <c r="K27" s="5">
        <v>19.2</v>
      </c>
      <c r="L27" s="4">
        <f t="shared" si="6"/>
        <v>3</v>
      </c>
      <c r="M27" s="4">
        <f t="shared" si="7"/>
        <v>0</v>
      </c>
      <c r="N27" s="4">
        <f t="shared" si="8"/>
        <v>-10.4643</v>
      </c>
      <c r="O27" s="4" t="str">
        <f t="shared" si="9"/>
        <v/>
      </c>
      <c r="P27" s="4">
        <f t="shared" si="10"/>
        <v>19.2</v>
      </c>
    </row>
    <row r="28" ht="15.75" customHeight="1">
      <c r="A28" s="5">
        <v>1995.0</v>
      </c>
      <c r="B28" s="4">
        <v>178.0</v>
      </c>
      <c r="C28" s="5">
        <v>15.0</v>
      </c>
      <c r="D28" s="5">
        <v>24.9</v>
      </c>
      <c r="E28" s="4">
        <f t="shared" si="1"/>
        <v>0</v>
      </c>
      <c r="F28" s="4">
        <f t="shared" si="2"/>
        <v>0</v>
      </c>
      <c r="G28" s="4">
        <f t="shared" si="3"/>
        <v>30.644</v>
      </c>
      <c r="H28" s="4">
        <f t="shared" si="4"/>
        <v>25.311</v>
      </c>
      <c r="I28" s="4" t="str">
        <f t="shared" si="5"/>
        <v> </v>
      </c>
      <c r="J28" s="5"/>
      <c r="K28" s="5">
        <v>20.3</v>
      </c>
      <c r="L28" s="4">
        <f t="shared" si="6"/>
        <v>3</v>
      </c>
      <c r="M28" s="4">
        <f t="shared" si="7"/>
        <v>0</v>
      </c>
      <c r="N28" s="4">
        <f t="shared" si="8"/>
        <v>-10.4639</v>
      </c>
      <c r="O28" s="4" t="str">
        <f t="shared" si="9"/>
        <v/>
      </c>
      <c r="P28" s="4">
        <f t="shared" si="10"/>
        <v>20.3</v>
      </c>
    </row>
    <row r="29" ht="15.75" customHeight="1">
      <c r="A29" s="5">
        <v>1995.0</v>
      </c>
      <c r="B29" s="4">
        <v>179.0</v>
      </c>
      <c r="C29" s="5">
        <v>10.3</v>
      </c>
      <c r="D29" s="5">
        <v>22.2</v>
      </c>
      <c r="E29" s="4">
        <f t="shared" si="1"/>
        <v>0</v>
      </c>
      <c r="F29" s="4">
        <f t="shared" si="2"/>
        <v>0</v>
      </c>
      <c r="G29" s="4">
        <f t="shared" si="3"/>
        <v>24.589</v>
      </c>
      <c r="H29" s="4">
        <f t="shared" si="4"/>
        <v>22.399</v>
      </c>
      <c r="I29" s="4" t="str">
        <f t="shared" si="5"/>
        <v> </v>
      </c>
      <c r="J29" s="5"/>
      <c r="K29" s="5">
        <v>16.6</v>
      </c>
      <c r="L29" s="4">
        <f t="shared" si="6"/>
        <v>3</v>
      </c>
      <c r="M29" s="4">
        <f t="shared" si="7"/>
        <v>0</v>
      </c>
      <c r="N29" s="4">
        <f t="shared" si="8"/>
        <v>-9.3919</v>
      </c>
      <c r="O29" s="4" t="str">
        <f t="shared" si="9"/>
        <v/>
      </c>
      <c r="P29" s="4">
        <f t="shared" si="10"/>
        <v>16.6</v>
      </c>
    </row>
    <row r="30" ht="15.75" customHeight="1">
      <c r="A30" s="5">
        <v>1995.0</v>
      </c>
      <c r="B30" s="4">
        <v>180.0</v>
      </c>
      <c r="C30" s="5">
        <v>8.3</v>
      </c>
      <c r="D30" s="5">
        <v>23.6</v>
      </c>
      <c r="E30" s="4">
        <f t="shared" si="1"/>
        <v>0</v>
      </c>
      <c r="F30" s="4">
        <f t="shared" si="2"/>
        <v>0</v>
      </c>
      <c r="G30" s="4">
        <f t="shared" si="3"/>
        <v>25.853</v>
      </c>
      <c r="H30" s="4">
        <f t="shared" si="4"/>
        <v>21.8855</v>
      </c>
      <c r="I30" s="4" t="str">
        <f t="shared" si="5"/>
        <v> </v>
      </c>
      <c r="J30" s="5"/>
      <c r="K30" s="5">
        <v>16.8</v>
      </c>
      <c r="L30" s="4">
        <f t="shared" si="6"/>
        <v>3</v>
      </c>
      <c r="M30" s="4">
        <f t="shared" si="7"/>
        <v>0</v>
      </c>
      <c r="N30" s="4">
        <f t="shared" si="8"/>
        <v>-10.1891</v>
      </c>
      <c r="O30" s="4" t="str">
        <f t="shared" si="9"/>
        <v/>
      </c>
      <c r="P30" s="4">
        <f t="shared" si="10"/>
        <v>16.8</v>
      </c>
    </row>
    <row r="31" ht="15.75" customHeight="1">
      <c r="A31" s="5">
        <v>1995.0</v>
      </c>
      <c r="B31" s="4">
        <v>181.0</v>
      </c>
      <c r="C31" s="5">
        <v>8.8</v>
      </c>
      <c r="D31" s="5">
        <v>22.6</v>
      </c>
      <c r="E31" s="4">
        <f t="shared" si="1"/>
        <v>0</v>
      </c>
      <c r="F31" s="4">
        <f t="shared" si="2"/>
        <v>0</v>
      </c>
      <c r="G31" s="4">
        <f t="shared" si="3"/>
        <v>27.622</v>
      </c>
      <c r="H31" s="4">
        <f t="shared" si="4"/>
        <v>25.9805</v>
      </c>
      <c r="I31" s="4" t="str">
        <f t="shared" si="5"/>
        <v> </v>
      </c>
      <c r="J31" s="5"/>
      <c r="K31" s="5">
        <v>16.2</v>
      </c>
      <c r="L31" s="4">
        <f t="shared" si="6"/>
        <v>3</v>
      </c>
      <c r="M31" s="4">
        <f t="shared" si="7"/>
        <v>0</v>
      </c>
      <c r="N31" s="4">
        <f t="shared" si="8"/>
        <v>-3.2168</v>
      </c>
      <c r="O31" s="4" t="str">
        <f t="shared" si="9"/>
        <v/>
      </c>
      <c r="P31" s="4">
        <f t="shared" si="10"/>
        <v>16.2</v>
      </c>
    </row>
    <row r="32" ht="15.75" customHeight="1">
      <c r="A32" s="5">
        <v>1995.0</v>
      </c>
      <c r="B32" s="4">
        <v>182.0</v>
      </c>
      <c r="C32" s="5">
        <v>7.8</v>
      </c>
      <c r="D32" s="5">
        <v>22.3</v>
      </c>
      <c r="E32" s="4">
        <f t="shared" si="1"/>
        <v>0</v>
      </c>
      <c r="F32" s="4">
        <f t="shared" si="2"/>
        <v>0</v>
      </c>
      <c r="G32" s="4">
        <f t="shared" si="3"/>
        <v>28.231</v>
      </c>
      <c r="H32" s="4">
        <f t="shared" si="4"/>
        <v>26.6105</v>
      </c>
      <c r="I32" s="4" t="str">
        <f t="shared" si="5"/>
        <v> </v>
      </c>
      <c r="J32" s="5"/>
      <c r="K32" s="5">
        <v>16.1</v>
      </c>
      <c r="L32" s="4">
        <f t="shared" si="6"/>
        <v>3</v>
      </c>
      <c r="M32" s="4">
        <f t="shared" si="7"/>
        <v>1</v>
      </c>
      <c r="N32" s="4">
        <f t="shared" si="8"/>
        <v>0.3233</v>
      </c>
      <c r="O32" s="4" t="str">
        <f t="shared" si="9"/>
        <v/>
      </c>
      <c r="P32" s="4">
        <f t="shared" si="10"/>
        <v>16.1</v>
      </c>
    </row>
    <row r="33" ht="15.75" customHeight="1">
      <c r="A33" s="5">
        <v>1995.0</v>
      </c>
      <c r="B33" s="4">
        <v>183.0</v>
      </c>
      <c r="C33" s="5">
        <v>10.1</v>
      </c>
      <c r="D33" s="5">
        <v>17.9</v>
      </c>
      <c r="E33" s="4">
        <f t="shared" si="1"/>
        <v>1</v>
      </c>
      <c r="F33" s="4">
        <f t="shared" si="2"/>
        <v>1</v>
      </c>
      <c r="G33" s="4">
        <f t="shared" si="3"/>
        <v>27.563</v>
      </c>
      <c r="H33" s="4">
        <f t="shared" si="4"/>
        <v>28.3015</v>
      </c>
      <c r="I33" s="4">
        <f t="shared" si="5"/>
        <v>0.7385</v>
      </c>
      <c r="J33" s="5">
        <v>1.2</v>
      </c>
      <c r="K33" s="5">
        <v>13.8</v>
      </c>
      <c r="L33" s="4">
        <f t="shared" si="6"/>
        <v>8</v>
      </c>
      <c r="M33" s="4">
        <f t="shared" si="7"/>
        <v>1</v>
      </c>
      <c r="N33" s="4">
        <f t="shared" si="8"/>
        <v>0.568</v>
      </c>
      <c r="O33" s="4">
        <f t="shared" si="9"/>
        <v>1.2</v>
      </c>
      <c r="P33" s="4">
        <f t="shared" si="10"/>
        <v>13.8</v>
      </c>
    </row>
    <row r="34" ht="15.75" customHeight="1">
      <c r="A34" s="5">
        <v>1995.0</v>
      </c>
      <c r="B34" s="4">
        <v>184.0</v>
      </c>
      <c r="C34" s="5">
        <v>7.7</v>
      </c>
      <c r="D34" s="5">
        <v>19.3</v>
      </c>
      <c r="E34" s="4">
        <f t="shared" si="1"/>
        <v>0</v>
      </c>
      <c r="F34" s="4">
        <f t="shared" si="2"/>
        <v>0</v>
      </c>
      <c r="G34" s="4">
        <f t="shared" si="3"/>
        <v>26.635</v>
      </c>
      <c r="H34" s="4">
        <f t="shared" si="4"/>
        <v>26.195</v>
      </c>
      <c r="I34" s="4" t="str">
        <f t="shared" si="5"/>
        <v> </v>
      </c>
      <c r="J34" s="5"/>
      <c r="K34" s="5">
        <v>13.7</v>
      </c>
      <c r="L34" s="4">
        <f t="shared" si="6"/>
        <v>3</v>
      </c>
      <c r="M34" s="4">
        <f t="shared" si="7"/>
        <v>1</v>
      </c>
      <c r="N34" s="4">
        <f t="shared" si="8"/>
        <v>4.4747</v>
      </c>
      <c r="O34" s="4" t="str">
        <f t="shared" si="9"/>
        <v/>
      </c>
      <c r="P34" s="4">
        <f t="shared" si="10"/>
        <v>13.7</v>
      </c>
    </row>
    <row r="35" ht="15.75" customHeight="1">
      <c r="A35" s="5">
        <v>1995.0</v>
      </c>
      <c r="B35" s="4">
        <v>185.0</v>
      </c>
      <c r="C35" s="5">
        <v>9.1</v>
      </c>
      <c r="D35" s="5">
        <v>24.2</v>
      </c>
      <c r="E35" s="4">
        <f t="shared" si="1"/>
        <v>1</v>
      </c>
      <c r="F35" s="4">
        <f t="shared" si="2"/>
        <v>0</v>
      </c>
      <c r="G35" s="4">
        <f t="shared" si="3"/>
        <v>33.26</v>
      </c>
      <c r="H35" s="4">
        <f t="shared" si="4"/>
        <v>31.9385</v>
      </c>
      <c r="I35" s="4" t="str">
        <f t="shared" si="5"/>
        <v> </v>
      </c>
      <c r="J35" s="5">
        <v>0.3</v>
      </c>
      <c r="K35" s="5">
        <v>18.3</v>
      </c>
      <c r="L35" s="4">
        <f t="shared" si="6"/>
        <v>8</v>
      </c>
      <c r="M35" s="4">
        <f t="shared" si="7"/>
        <v>1</v>
      </c>
      <c r="N35" s="4">
        <f t="shared" si="8"/>
        <v>0.6053</v>
      </c>
      <c r="O35" s="4">
        <f t="shared" si="9"/>
        <v>0.3</v>
      </c>
      <c r="P35" s="4">
        <f t="shared" si="10"/>
        <v>18.3</v>
      </c>
    </row>
    <row r="36" ht="15.75" customHeight="1">
      <c r="A36" s="5">
        <v>1995.0</v>
      </c>
      <c r="B36" s="4">
        <v>186.0</v>
      </c>
      <c r="C36" s="5">
        <v>15.7</v>
      </c>
      <c r="D36" s="5">
        <v>23.4</v>
      </c>
      <c r="E36" s="4">
        <f t="shared" si="1"/>
        <v>0</v>
      </c>
      <c r="F36" s="4">
        <f t="shared" si="2"/>
        <v>0</v>
      </c>
      <c r="G36" s="4">
        <f t="shared" si="3"/>
        <v>33.969</v>
      </c>
      <c r="H36" s="4">
        <f t="shared" si="4"/>
        <v>31.5285</v>
      </c>
      <c r="I36" s="4" t="str">
        <f t="shared" si="5"/>
        <v> </v>
      </c>
      <c r="J36" s="5"/>
      <c r="K36" s="5">
        <v>19.5</v>
      </c>
      <c r="L36" s="4">
        <f t="shared" si="6"/>
        <v>3</v>
      </c>
      <c r="M36" s="4">
        <f t="shared" si="7"/>
        <v>1</v>
      </c>
      <c r="N36" s="4">
        <f t="shared" si="8"/>
        <v>5.8008</v>
      </c>
      <c r="O36" s="4" t="str">
        <f t="shared" si="9"/>
        <v/>
      </c>
      <c r="P36" s="4">
        <f t="shared" si="10"/>
        <v>19.5</v>
      </c>
    </row>
    <row r="37" ht="15.75" customHeight="1">
      <c r="A37" s="5">
        <v>1995.0</v>
      </c>
      <c r="B37" s="4">
        <v>187.0</v>
      </c>
      <c r="C37" s="5">
        <v>14.0</v>
      </c>
      <c r="D37" s="5">
        <v>20.2</v>
      </c>
      <c r="E37" s="4">
        <f t="shared" si="1"/>
        <v>1</v>
      </c>
      <c r="F37" s="4">
        <f t="shared" si="2"/>
        <v>0</v>
      </c>
      <c r="G37" s="4">
        <f t="shared" si="3"/>
        <v>31.015</v>
      </c>
      <c r="H37" s="4">
        <f t="shared" si="4"/>
        <v>29.7195</v>
      </c>
      <c r="I37" s="4" t="str">
        <f t="shared" si="5"/>
        <v> </v>
      </c>
      <c r="J37" s="5">
        <v>1.7</v>
      </c>
      <c r="K37" s="5">
        <v>16.3</v>
      </c>
      <c r="L37" s="4">
        <f t="shared" si="6"/>
        <v>8</v>
      </c>
      <c r="M37" s="4">
        <f t="shared" si="7"/>
        <v>1</v>
      </c>
      <c r="N37" s="4">
        <f t="shared" si="8"/>
        <v>4.2411</v>
      </c>
      <c r="O37" s="4">
        <f t="shared" si="9"/>
        <v>1.7</v>
      </c>
      <c r="P37" s="4">
        <f t="shared" si="10"/>
        <v>16.3</v>
      </c>
    </row>
    <row r="38" ht="15.75" customHeight="1">
      <c r="A38" s="5">
        <v>1995.0</v>
      </c>
      <c r="B38" s="4">
        <v>188.0</v>
      </c>
      <c r="C38" s="5">
        <v>11.5</v>
      </c>
      <c r="D38" s="5">
        <v>20.6</v>
      </c>
      <c r="E38" s="4">
        <f t="shared" si="1"/>
        <v>1</v>
      </c>
      <c r="F38" s="4">
        <f t="shared" si="2"/>
        <v>0</v>
      </c>
      <c r="G38" s="4">
        <f t="shared" si="3"/>
        <v>27.287</v>
      </c>
      <c r="H38" s="4">
        <f t="shared" si="4"/>
        <v>24.9415</v>
      </c>
      <c r="I38" s="4" t="str">
        <f t="shared" si="5"/>
        <v> </v>
      </c>
      <c r="J38" s="5">
        <v>9.4</v>
      </c>
      <c r="K38" s="5">
        <v>14.9</v>
      </c>
      <c r="L38" s="4">
        <f t="shared" si="6"/>
        <v>8</v>
      </c>
      <c r="M38" s="4">
        <f t="shared" si="7"/>
        <v>0</v>
      </c>
      <c r="N38" s="4">
        <f t="shared" si="8"/>
        <v>-4.7542</v>
      </c>
      <c r="O38" s="4">
        <f t="shared" si="9"/>
        <v>9.4</v>
      </c>
      <c r="P38" s="4">
        <f t="shared" si="10"/>
        <v>14.9</v>
      </c>
    </row>
    <row r="39" ht="15.75" customHeight="1">
      <c r="A39" s="5">
        <v>1995.0</v>
      </c>
      <c r="B39" s="4">
        <v>189.0</v>
      </c>
      <c r="C39" s="5">
        <v>9.5</v>
      </c>
      <c r="D39" s="5">
        <v>23.4</v>
      </c>
      <c r="E39" s="4">
        <f t="shared" si="1"/>
        <v>0</v>
      </c>
      <c r="F39" s="4">
        <f t="shared" si="2"/>
        <v>0</v>
      </c>
      <c r="G39" s="4">
        <f t="shared" si="3"/>
        <v>26.497</v>
      </c>
      <c r="H39" s="4">
        <f t="shared" si="4"/>
        <v>21.774</v>
      </c>
      <c r="I39" s="4" t="str">
        <f t="shared" si="5"/>
        <v> </v>
      </c>
      <c r="J39" s="5"/>
      <c r="K39" s="5">
        <v>17.3</v>
      </c>
      <c r="L39" s="4">
        <f t="shared" si="6"/>
        <v>3</v>
      </c>
      <c r="M39" s="4">
        <f t="shared" si="7"/>
        <v>0</v>
      </c>
      <c r="N39" s="4">
        <f t="shared" si="8"/>
        <v>-9.8565</v>
      </c>
      <c r="O39" s="4" t="str">
        <f t="shared" si="9"/>
        <v/>
      </c>
      <c r="P39" s="4">
        <f t="shared" si="10"/>
        <v>17.3</v>
      </c>
    </row>
    <row r="40" ht="15.75" customHeight="1">
      <c r="A40" s="5">
        <v>1995.0</v>
      </c>
      <c r="B40" s="4">
        <v>190.0</v>
      </c>
      <c r="C40" s="5">
        <v>10.9</v>
      </c>
      <c r="D40" s="5">
        <v>26.1</v>
      </c>
      <c r="E40" s="4">
        <f t="shared" si="1"/>
        <v>0</v>
      </c>
      <c r="F40" s="4">
        <f t="shared" si="2"/>
        <v>0</v>
      </c>
      <c r="G40" s="4">
        <f t="shared" si="3"/>
        <v>27.864</v>
      </c>
      <c r="H40" s="4">
        <f t="shared" si="4"/>
        <v>24.6215</v>
      </c>
      <c r="I40" s="4" t="str">
        <f t="shared" si="5"/>
        <v> </v>
      </c>
      <c r="J40" s="5"/>
      <c r="K40" s="5">
        <v>20.1</v>
      </c>
      <c r="L40" s="4">
        <f t="shared" si="6"/>
        <v>3</v>
      </c>
      <c r="M40" s="4">
        <f t="shared" si="7"/>
        <v>0</v>
      </c>
      <c r="N40" s="4">
        <f t="shared" si="8"/>
        <v>-10.8001</v>
      </c>
      <c r="O40" s="4" t="str">
        <f t="shared" si="9"/>
        <v/>
      </c>
      <c r="P40" s="4">
        <f t="shared" si="10"/>
        <v>20.1</v>
      </c>
    </row>
    <row r="41" ht="15.75" customHeight="1">
      <c r="A41" s="5">
        <v>1995.0</v>
      </c>
      <c r="B41" s="4">
        <v>191.0</v>
      </c>
      <c r="C41" s="5">
        <v>9.7</v>
      </c>
      <c r="D41" s="5">
        <v>21.3</v>
      </c>
      <c r="E41" s="4">
        <f t="shared" si="1"/>
        <v>0</v>
      </c>
      <c r="F41" s="4">
        <f t="shared" si="2"/>
        <v>0</v>
      </c>
      <c r="G41" s="4">
        <f t="shared" si="3"/>
        <v>29.153</v>
      </c>
      <c r="H41" s="4">
        <f t="shared" si="4"/>
        <v>25.996</v>
      </c>
      <c r="I41" s="4" t="str">
        <f t="shared" si="5"/>
        <v> </v>
      </c>
      <c r="J41" s="5"/>
      <c r="K41" s="5">
        <v>16.6</v>
      </c>
      <c r="L41" s="4">
        <f t="shared" si="6"/>
        <v>3</v>
      </c>
      <c r="M41" s="4">
        <f t="shared" si="7"/>
        <v>0</v>
      </c>
      <c r="N41" s="4">
        <f t="shared" si="8"/>
        <v>-9.5459</v>
      </c>
      <c r="O41" s="4" t="str">
        <f t="shared" si="9"/>
        <v/>
      </c>
      <c r="P41" s="4">
        <f t="shared" si="10"/>
        <v>16.6</v>
      </c>
    </row>
    <row r="42" ht="15.75" customHeight="1">
      <c r="A42" s="5">
        <v>1995.0</v>
      </c>
      <c r="B42" s="4">
        <v>192.0</v>
      </c>
      <c r="C42" s="5">
        <v>6.8</v>
      </c>
      <c r="D42" s="5">
        <v>18.5</v>
      </c>
      <c r="E42" s="4">
        <f t="shared" si="1"/>
        <v>0</v>
      </c>
      <c r="F42" s="4">
        <f t="shared" si="2"/>
        <v>0</v>
      </c>
      <c r="G42" s="4">
        <f t="shared" si="3"/>
        <v>22.78</v>
      </c>
      <c r="H42" s="4">
        <f t="shared" si="4"/>
        <v>21.0805</v>
      </c>
      <c r="I42" s="4" t="str">
        <f t="shared" si="5"/>
        <v> </v>
      </c>
      <c r="J42" s="5"/>
      <c r="K42" s="5">
        <v>13.6</v>
      </c>
      <c r="L42" s="4">
        <f t="shared" si="6"/>
        <v>3</v>
      </c>
      <c r="M42" s="4">
        <f t="shared" si="7"/>
        <v>0</v>
      </c>
      <c r="N42" s="4">
        <f t="shared" si="8"/>
        <v>-3.8233</v>
      </c>
      <c r="O42" s="4" t="str">
        <f t="shared" si="9"/>
        <v/>
      </c>
      <c r="P42" s="4">
        <f t="shared" si="10"/>
        <v>13.6</v>
      </c>
    </row>
    <row r="43" ht="15.75" customHeight="1">
      <c r="A43" s="5">
        <v>1995.0</v>
      </c>
      <c r="B43" s="4">
        <v>193.0</v>
      </c>
      <c r="C43" s="5">
        <v>6.1</v>
      </c>
      <c r="D43" s="5">
        <v>21.6</v>
      </c>
      <c r="E43" s="4">
        <f t="shared" si="1"/>
        <v>0</v>
      </c>
      <c r="F43" s="4">
        <f t="shared" si="2"/>
        <v>0</v>
      </c>
      <c r="G43" s="4">
        <f t="shared" si="3"/>
        <v>21.916</v>
      </c>
      <c r="H43" s="4">
        <f t="shared" si="4"/>
        <v>21.1435</v>
      </c>
      <c r="I43" s="4" t="str">
        <f t="shared" si="5"/>
        <v> </v>
      </c>
      <c r="J43" s="5"/>
      <c r="K43" s="5">
        <v>14.6</v>
      </c>
      <c r="L43" s="4">
        <f t="shared" si="6"/>
        <v>3</v>
      </c>
      <c r="M43" s="4">
        <f t="shared" si="7"/>
        <v>1</v>
      </c>
      <c r="N43" s="4">
        <f t="shared" si="8"/>
        <v>3.4279</v>
      </c>
      <c r="O43" s="4" t="str">
        <f t="shared" si="9"/>
        <v/>
      </c>
      <c r="P43" s="4">
        <f t="shared" si="10"/>
        <v>14.6</v>
      </c>
    </row>
    <row r="44" ht="15.75" customHeight="1">
      <c r="A44" s="5">
        <v>1995.0</v>
      </c>
      <c r="B44" s="4">
        <v>194.0</v>
      </c>
      <c r="C44" s="5">
        <v>7.8</v>
      </c>
      <c r="D44" s="5">
        <v>21.8</v>
      </c>
      <c r="E44" s="4">
        <f t="shared" si="1"/>
        <v>1</v>
      </c>
      <c r="F44" s="4">
        <f t="shared" si="2"/>
        <v>0</v>
      </c>
      <c r="G44" s="4">
        <f t="shared" si="3"/>
        <v>25.98</v>
      </c>
      <c r="H44" s="4">
        <f t="shared" si="4"/>
        <v>24.725</v>
      </c>
      <c r="I44" s="4" t="str">
        <f t="shared" si="5"/>
        <v> </v>
      </c>
      <c r="J44" s="5">
        <v>0.4</v>
      </c>
      <c r="K44" s="5">
        <v>16.0</v>
      </c>
      <c r="L44" s="4">
        <f t="shared" si="6"/>
        <v>8</v>
      </c>
      <c r="M44" s="4">
        <f t="shared" si="7"/>
        <v>0</v>
      </c>
      <c r="N44" s="4">
        <f t="shared" si="8"/>
        <v>-1.7787</v>
      </c>
      <c r="O44" s="4">
        <f t="shared" si="9"/>
        <v>0.4</v>
      </c>
      <c r="P44" s="4">
        <f t="shared" si="10"/>
        <v>16</v>
      </c>
    </row>
    <row r="45" ht="15.75" customHeight="1">
      <c r="A45" s="5">
        <v>1995.0</v>
      </c>
      <c r="B45" s="4">
        <v>195.0</v>
      </c>
      <c r="C45" s="5">
        <v>14.3</v>
      </c>
      <c r="D45" s="5">
        <v>26.3</v>
      </c>
      <c r="E45" s="4">
        <f t="shared" si="1"/>
        <v>0</v>
      </c>
      <c r="F45" s="4">
        <f t="shared" si="2"/>
        <v>0</v>
      </c>
      <c r="G45" s="4">
        <f t="shared" si="3"/>
        <v>28.928</v>
      </c>
      <c r="H45" s="4">
        <f t="shared" si="4"/>
        <v>24.141</v>
      </c>
      <c r="I45" s="4" t="str">
        <f t="shared" si="5"/>
        <v> </v>
      </c>
      <c r="J45" s="5"/>
      <c r="K45" s="5">
        <v>19.3</v>
      </c>
      <c r="L45" s="4">
        <f t="shared" si="6"/>
        <v>3</v>
      </c>
      <c r="M45" s="4">
        <f t="shared" si="7"/>
        <v>1</v>
      </c>
      <c r="N45" s="4">
        <f t="shared" si="8"/>
        <v>1.2101</v>
      </c>
      <c r="O45" s="4" t="str">
        <f t="shared" si="9"/>
        <v/>
      </c>
      <c r="P45" s="4">
        <f t="shared" si="10"/>
        <v>19.3</v>
      </c>
    </row>
    <row r="46" ht="15.75" customHeight="1">
      <c r="A46" s="5">
        <v>1995.0</v>
      </c>
      <c r="B46" s="4">
        <v>196.0</v>
      </c>
      <c r="C46" s="5">
        <v>9.3</v>
      </c>
      <c r="D46" s="5">
        <v>17.1</v>
      </c>
      <c r="E46" s="4">
        <f t="shared" si="1"/>
        <v>1</v>
      </c>
      <c r="F46" s="4">
        <f t="shared" si="2"/>
        <v>0</v>
      </c>
      <c r="G46" s="4">
        <f t="shared" si="3"/>
        <v>24.046</v>
      </c>
      <c r="H46" s="4">
        <f t="shared" si="4"/>
        <v>22.7475</v>
      </c>
      <c r="I46" s="4" t="str">
        <f t="shared" si="5"/>
        <v> </v>
      </c>
      <c r="J46" s="5">
        <v>1.4</v>
      </c>
      <c r="K46" s="5">
        <v>14.2</v>
      </c>
      <c r="L46" s="4">
        <f t="shared" si="6"/>
        <v>8</v>
      </c>
      <c r="M46" s="4">
        <f t="shared" si="7"/>
        <v>0</v>
      </c>
      <c r="N46" s="4">
        <f t="shared" si="8"/>
        <v>-3.4256</v>
      </c>
      <c r="O46" s="4">
        <f t="shared" si="9"/>
        <v>1.4</v>
      </c>
      <c r="P46" s="4">
        <f t="shared" si="10"/>
        <v>14.2</v>
      </c>
    </row>
    <row r="47" ht="15.75" customHeight="1">
      <c r="A47" s="5">
        <v>1995.0</v>
      </c>
      <c r="B47" s="4">
        <v>197.0</v>
      </c>
      <c r="C47" s="5">
        <v>9.0</v>
      </c>
      <c r="D47" s="5">
        <v>14.1</v>
      </c>
      <c r="E47" s="4">
        <f t="shared" si="1"/>
        <v>0</v>
      </c>
      <c r="F47" s="4">
        <f t="shared" si="2"/>
        <v>0</v>
      </c>
      <c r="G47" s="4">
        <f t="shared" si="3"/>
        <v>20.801</v>
      </c>
      <c r="H47" s="4">
        <f t="shared" si="4"/>
        <v>19.7825</v>
      </c>
      <c r="I47" s="4" t="str">
        <f t="shared" si="5"/>
        <v> </v>
      </c>
      <c r="J47" s="5"/>
      <c r="K47" s="5">
        <v>11.7</v>
      </c>
      <c r="L47" s="4">
        <f t="shared" si="6"/>
        <v>3</v>
      </c>
      <c r="M47" s="4">
        <f t="shared" si="7"/>
        <v>0</v>
      </c>
      <c r="N47" s="4">
        <f t="shared" si="8"/>
        <v>-9.6029</v>
      </c>
      <c r="O47" s="4" t="str">
        <f t="shared" si="9"/>
        <v/>
      </c>
      <c r="P47" s="4">
        <f t="shared" si="10"/>
        <v>11.7</v>
      </c>
    </row>
    <row r="48" ht="15.75" customHeight="1">
      <c r="A48" s="5">
        <v>1995.0</v>
      </c>
      <c r="B48" s="4">
        <v>198.0</v>
      </c>
      <c r="C48" s="5">
        <v>7.8</v>
      </c>
      <c r="D48" s="5">
        <v>20.5</v>
      </c>
      <c r="E48" s="4">
        <f t="shared" si="1"/>
        <v>0</v>
      </c>
      <c r="F48" s="4">
        <f t="shared" si="2"/>
        <v>0</v>
      </c>
      <c r="G48" s="4">
        <f t="shared" si="3"/>
        <v>29.346</v>
      </c>
      <c r="H48" s="4">
        <f t="shared" si="4"/>
        <v>27.3015</v>
      </c>
      <c r="I48" s="4" t="str">
        <f t="shared" si="5"/>
        <v> </v>
      </c>
      <c r="J48" s="5"/>
      <c r="K48" s="5">
        <v>13.6</v>
      </c>
      <c r="L48" s="4">
        <f t="shared" si="6"/>
        <v>3</v>
      </c>
      <c r="M48" s="4">
        <f t="shared" si="7"/>
        <v>0</v>
      </c>
      <c r="N48" s="4">
        <f t="shared" si="8"/>
        <v>-8.1367</v>
      </c>
      <c r="O48" s="4" t="str">
        <f t="shared" si="9"/>
        <v/>
      </c>
      <c r="P48" s="4">
        <f t="shared" si="10"/>
        <v>13.6</v>
      </c>
    </row>
    <row r="49" ht="15.75" customHeight="1">
      <c r="A49" s="5">
        <v>1995.0</v>
      </c>
      <c r="B49" s="4">
        <v>199.0</v>
      </c>
      <c r="C49" s="5">
        <v>5.1</v>
      </c>
      <c r="D49" s="5">
        <v>25.2</v>
      </c>
      <c r="E49" s="4">
        <f t="shared" si="1"/>
        <v>0</v>
      </c>
      <c r="F49" s="4">
        <f t="shared" si="2"/>
        <v>0</v>
      </c>
      <c r="G49" s="4">
        <f t="shared" si="3"/>
        <v>34.211</v>
      </c>
      <c r="H49" s="4">
        <f t="shared" si="4"/>
        <v>30.3155</v>
      </c>
      <c r="I49" s="4" t="str">
        <f t="shared" si="5"/>
        <v> </v>
      </c>
      <c r="J49" s="5"/>
      <c r="K49" s="5">
        <v>16.9</v>
      </c>
      <c r="L49" s="4">
        <f t="shared" si="6"/>
        <v>3</v>
      </c>
      <c r="M49" s="4">
        <f t="shared" si="7"/>
        <v>0</v>
      </c>
      <c r="N49" s="4">
        <f t="shared" si="8"/>
        <v>-2.1874</v>
      </c>
      <c r="O49" s="4" t="str">
        <f t="shared" si="9"/>
        <v/>
      </c>
      <c r="P49" s="4">
        <f t="shared" si="10"/>
        <v>16.9</v>
      </c>
    </row>
    <row r="50" ht="15.75" customHeight="1">
      <c r="A50" s="5">
        <v>1995.0</v>
      </c>
      <c r="B50" s="4">
        <v>200.0</v>
      </c>
      <c r="C50" s="5">
        <v>10.3</v>
      </c>
      <c r="D50" s="5">
        <v>25.0</v>
      </c>
      <c r="E50" s="4">
        <f t="shared" si="1"/>
        <v>0</v>
      </c>
      <c r="F50" s="4">
        <f t="shared" si="2"/>
        <v>0</v>
      </c>
      <c r="G50" s="4">
        <f t="shared" si="3"/>
        <v>38.024</v>
      </c>
      <c r="H50" s="4">
        <f t="shared" si="4"/>
        <v>35.2705</v>
      </c>
      <c r="I50" s="4" t="str">
        <f t="shared" si="5"/>
        <v> </v>
      </c>
      <c r="J50" s="5"/>
      <c r="K50" s="5">
        <v>17.8</v>
      </c>
      <c r="L50" s="4">
        <f t="shared" si="6"/>
        <v>3</v>
      </c>
      <c r="M50" s="4">
        <f t="shared" si="7"/>
        <v>1</v>
      </c>
      <c r="N50" s="4">
        <f t="shared" si="8"/>
        <v>6.9402</v>
      </c>
      <c r="O50" s="4" t="str">
        <f t="shared" si="9"/>
        <v/>
      </c>
      <c r="P50" s="4">
        <f t="shared" si="10"/>
        <v>17.8</v>
      </c>
    </row>
    <row r="51" ht="15.75" customHeight="1">
      <c r="A51" s="5">
        <v>1995.0</v>
      </c>
      <c r="B51" s="4">
        <v>201.0</v>
      </c>
      <c r="C51" s="5">
        <v>14.5</v>
      </c>
      <c r="D51" s="5">
        <v>19.7</v>
      </c>
      <c r="E51" s="4">
        <f t="shared" si="1"/>
        <v>1</v>
      </c>
      <c r="F51" s="4">
        <f t="shared" si="2"/>
        <v>0</v>
      </c>
      <c r="G51" s="4">
        <f t="shared" si="3"/>
        <v>34.531</v>
      </c>
      <c r="H51" s="4">
        <f t="shared" si="4"/>
        <v>33.1195</v>
      </c>
      <c r="I51" s="4" t="str">
        <f t="shared" si="5"/>
        <v> </v>
      </c>
      <c r="J51" s="5">
        <v>12.5</v>
      </c>
      <c r="K51" s="5">
        <v>16.4</v>
      </c>
      <c r="L51" s="4">
        <f t="shared" si="6"/>
        <v>8</v>
      </c>
      <c r="M51" s="4">
        <f t="shared" si="7"/>
        <v>1</v>
      </c>
      <c r="N51" s="4">
        <f t="shared" si="8"/>
        <v>5.0214</v>
      </c>
      <c r="O51" s="4">
        <f t="shared" si="9"/>
        <v>12.5</v>
      </c>
      <c r="P51" s="4">
        <f t="shared" si="10"/>
        <v>16.4</v>
      </c>
    </row>
    <row r="52" ht="15.75" customHeight="1">
      <c r="A52" s="5">
        <v>1995.0</v>
      </c>
      <c r="B52" s="4">
        <v>202.0</v>
      </c>
      <c r="C52" s="5">
        <v>14.3</v>
      </c>
      <c r="D52" s="5">
        <v>22.8</v>
      </c>
      <c r="E52" s="4">
        <f t="shared" si="1"/>
        <v>1</v>
      </c>
      <c r="F52" s="4">
        <f t="shared" si="2"/>
        <v>0</v>
      </c>
      <c r="G52" s="4">
        <f t="shared" si="3"/>
        <v>34.307</v>
      </c>
      <c r="H52" s="4">
        <f t="shared" si="4"/>
        <v>33.645</v>
      </c>
      <c r="I52" s="4" t="str">
        <f t="shared" si="5"/>
        <v> </v>
      </c>
      <c r="J52" s="5">
        <v>0.5</v>
      </c>
      <c r="K52" s="5">
        <v>17.3</v>
      </c>
      <c r="L52" s="4">
        <f t="shared" si="6"/>
        <v>8</v>
      </c>
      <c r="M52" s="4">
        <f t="shared" si="7"/>
        <v>0</v>
      </c>
      <c r="N52" s="4">
        <f t="shared" si="8"/>
        <v>-4.6992</v>
      </c>
      <c r="O52" s="4">
        <f t="shared" si="9"/>
        <v>0.5</v>
      </c>
      <c r="P52" s="4">
        <f t="shared" si="10"/>
        <v>17.3</v>
      </c>
    </row>
    <row r="53" ht="15.75" customHeight="1">
      <c r="A53" s="5">
        <v>1995.0</v>
      </c>
      <c r="B53" s="4">
        <v>203.0</v>
      </c>
      <c r="C53" s="5">
        <v>12.7</v>
      </c>
      <c r="D53" s="5">
        <v>27.1</v>
      </c>
      <c r="E53" s="4">
        <f t="shared" si="1"/>
        <v>0</v>
      </c>
      <c r="F53" s="4">
        <f t="shared" si="2"/>
        <v>0</v>
      </c>
      <c r="G53" s="4">
        <f t="shared" si="3"/>
        <v>35.187</v>
      </c>
      <c r="H53" s="4">
        <f t="shared" si="4"/>
        <v>29.8385</v>
      </c>
      <c r="I53" s="4" t="str">
        <f t="shared" si="5"/>
        <v> </v>
      </c>
      <c r="J53" s="5"/>
      <c r="K53" s="5">
        <v>20.4</v>
      </c>
      <c r="L53" s="4">
        <f t="shared" si="6"/>
        <v>3</v>
      </c>
      <c r="M53" s="4">
        <f t="shared" si="7"/>
        <v>0</v>
      </c>
      <c r="N53" s="4">
        <f t="shared" si="8"/>
        <v>-9.5739</v>
      </c>
      <c r="O53" s="4" t="str">
        <f t="shared" si="9"/>
        <v/>
      </c>
      <c r="P53" s="4">
        <f t="shared" si="10"/>
        <v>20.4</v>
      </c>
    </row>
    <row r="54" ht="15.75" customHeight="1">
      <c r="A54" s="5">
        <v>1995.0</v>
      </c>
      <c r="B54" s="4">
        <v>204.0</v>
      </c>
      <c r="C54" s="5">
        <v>14.5</v>
      </c>
      <c r="D54" s="5">
        <v>30.2</v>
      </c>
      <c r="E54" s="4">
        <f t="shared" si="1"/>
        <v>0</v>
      </c>
      <c r="F54" s="4">
        <f t="shared" si="2"/>
        <v>0</v>
      </c>
      <c r="G54" s="4">
        <f t="shared" si="3"/>
        <v>33.12</v>
      </c>
      <c r="H54" s="4">
        <f t="shared" si="4"/>
        <v>28.246</v>
      </c>
      <c r="I54" s="4" t="str">
        <f t="shared" si="5"/>
        <v> </v>
      </c>
      <c r="J54" s="5"/>
      <c r="K54" s="5">
        <v>21.1</v>
      </c>
      <c r="L54" s="4">
        <f t="shared" si="6"/>
        <v>3</v>
      </c>
      <c r="M54" s="4">
        <f t="shared" si="7"/>
        <v>0</v>
      </c>
      <c r="N54" s="4">
        <f t="shared" si="8"/>
        <v>-3.3173</v>
      </c>
      <c r="O54" s="4" t="str">
        <f t="shared" si="9"/>
        <v/>
      </c>
      <c r="P54" s="4">
        <f t="shared" si="10"/>
        <v>21.1</v>
      </c>
    </row>
    <row r="55" ht="15.75" customHeight="1">
      <c r="A55" s="5">
        <v>1995.0</v>
      </c>
      <c r="B55" s="4">
        <v>205.0</v>
      </c>
      <c r="C55" s="5">
        <v>13.8</v>
      </c>
      <c r="D55" s="5">
        <v>22.2</v>
      </c>
      <c r="E55" s="4">
        <f t="shared" si="1"/>
        <v>0</v>
      </c>
      <c r="F55" s="4">
        <f t="shared" si="2"/>
        <v>0</v>
      </c>
      <c r="G55" s="4">
        <f t="shared" si="3"/>
        <v>24.041</v>
      </c>
      <c r="H55" s="4">
        <f t="shared" si="4"/>
        <v>22.98</v>
      </c>
      <c r="I55" s="4" t="str">
        <f t="shared" si="5"/>
        <v> </v>
      </c>
      <c r="J55" s="5"/>
      <c r="K55" s="5">
        <v>17.2</v>
      </c>
      <c r="L55" s="4">
        <f t="shared" si="6"/>
        <v>3</v>
      </c>
      <c r="M55" s="4">
        <f t="shared" si="7"/>
        <v>1</v>
      </c>
      <c r="N55" s="4">
        <f t="shared" si="8"/>
        <v>2.3619</v>
      </c>
      <c r="O55" s="4" t="str">
        <f t="shared" si="9"/>
        <v/>
      </c>
      <c r="P55" s="4">
        <f t="shared" si="10"/>
        <v>17.2</v>
      </c>
    </row>
    <row r="56" ht="15.75" customHeight="1">
      <c r="A56" s="5">
        <v>1995.0</v>
      </c>
      <c r="B56" s="4">
        <v>206.0</v>
      </c>
      <c r="C56" s="5">
        <v>14.5</v>
      </c>
      <c r="D56" s="5">
        <v>19.9</v>
      </c>
      <c r="E56" s="4">
        <f t="shared" si="1"/>
        <v>1</v>
      </c>
      <c r="F56" s="4">
        <f t="shared" si="2"/>
        <v>1</v>
      </c>
      <c r="G56" s="4">
        <f t="shared" si="3"/>
        <v>28.719</v>
      </c>
      <c r="H56" s="4">
        <f t="shared" si="4"/>
        <v>28.8545</v>
      </c>
      <c r="I56" s="4">
        <f t="shared" si="5"/>
        <v>0.1355</v>
      </c>
      <c r="J56" s="5">
        <v>13.4</v>
      </c>
      <c r="K56" s="5">
        <v>16.8</v>
      </c>
      <c r="L56" s="4">
        <f t="shared" si="6"/>
        <v>8</v>
      </c>
      <c r="M56" s="4">
        <f t="shared" si="7"/>
        <v>0</v>
      </c>
      <c r="N56" s="4">
        <f t="shared" si="8"/>
        <v>-3.3886</v>
      </c>
      <c r="O56" s="4">
        <f t="shared" si="9"/>
        <v>13.4</v>
      </c>
      <c r="P56" s="4">
        <f t="shared" si="10"/>
        <v>16.8</v>
      </c>
    </row>
    <row r="57" ht="15.75" customHeight="1">
      <c r="A57" s="5">
        <v>1995.0</v>
      </c>
      <c r="B57" s="4">
        <v>207.0</v>
      </c>
      <c r="C57" s="5">
        <v>13.4</v>
      </c>
      <c r="D57" s="5">
        <v>23.1</v>
      </c>
      <c r="E57" s="4">
        <f t="shared" si="1"/>
        <v>0</v>
      </c>
      <c r="F57" s="4">
        <f t="shared" si="2"/>
        <v>0</v>
      </c>
      <c r="G57" s="4">
        <f t="shared" si="3"/>
        <v>31.384</v>
      </c>
      <c r="H57" s="4">
        <f t="shared" si="4"/>
        <v>27.0415</v>
      </c>
      <c r="I57" s="4" t="str">
        <f t="shared" si="5"/>
        <v> </v>
      </c>
      <c r="J57" s="5"/>
      <c r="K57" s="5">
        <v>17.5</v>
      </c>
      <c r="L57" s="4">
        <f t="shared" si="6"/>
        <v>3</v>
      </c>
      <c r="M57" s="4">
        <f t="shared" si="7"/>
        <v>0</v>
      </c>
      <c r="N57" s="4">
        <f t="shared" si="8"/>
        <v>-2.597</v>
      </c>
      <c r="O57" s="4" t="str">
        <f t="shared" si="9"/>
        <v/>
      </c>
      <c r="P57" s="4">
        <f t="shared" si="10"/>
        <v>17.5</v>
      </c>
    </row>
    <row r="58" ht="15.75" customHeight="1">
      <c r="A58" s="5">
        <v>1995.0</v>
      </c>
      <c r="B58" s="4">
        <v>208.0</v>
      </c>
      <c r="C58" s="5">
        <v>12.8</v>
      </c>
      <c r="D58" s="5">
        <v>20.9</v>
      </c>
      <c r="E58" s="4">
        <f t="shared" si="1"/>
        <v>0</v>
      </c>
      <c r="F58" s="4">
        <f t="shared" si="2"/>
        <v>1</v>
      </c>
      <c r="G58" s="4">
        <f t="shared" si="3"/>
        <v>26.857</v>
      </c>
      <c r="H58" s="4">
        <f t="shared" si="4"/>
        <v>27.584</v>
      </c>
      <c r="I58" s="4">
        <f t="shared" si="5"/>
        <v>0.727</v>
      </c>
      <c r="J58" s="5"/>
      <c r="K58" s="5">
        <v>16.8</v>
      </c>
      <c r="L58" s="4">
        <f t="shared" si="6"/>
        <v>3</v>
      </c>
      <c r="M58" s="4">
        <f t="shared" si="7"/>
        <v>1</v>
      </c>
      <c r="N58" s="4">
        <f t="shared" si="8"/>
        <v>8.5981</v>
      </c>
      <c r="O58" s="4" t="str">
        <f t="shared" si="9"/>
        <v/>
      </c>
      <c r="P58" s="4">
        <f t="shared" si="10"/>
        <v>16.8</v>
      </c>
    </row>
    <row r="59" ht="15.75" customHeight="1">
      <c r="A59" s="5">
        <v>1995.0</v>
      </c>
      <c r="B59" s="4">
        <v>209.0</v>
      </c>
      <c r="C59" s="5">
        <v>11.9</v>
      </c>
      <c r="D59" s="5">
        <v>16.5</v>
      </c>
      <c r="E59" s="4">
        <f t="shared" si="1"/>
        <v>1</v>
      </c>
      <c r="F59" s="4">
        <f t="shared" si="2"/>
        <v>1</v>
      </c>
      <c r="G59" s="4">
        <f t="shared" si="3"/>
        <v>30.696</v>
      </c>
      <c r="H59" s="4">
        <f t="shared" si="4"/>
        <v>30.767</v>
      </c>
      <c r="I59" s="4">
        <f t="shared" si="5"/>
        <v>0.071</v>
      </c>
      <c r="J59" s="5">
        <v>4.9</v>
      </c>
      <c r="K59" s="5">
        <v>14.7</v>
      </c>
      <c r="L59" s="4">
        <f t="shared" si="6"/>
        <v>8</v>
      </c>
      <c r="M59" s="4">
        <f t="shared" si="7"/>
        <v>1</v>
      </c>
      <c r="N59" s="4">
        <f t="shared" si="8"/>
        <v>4.4875</v>
      </c>
      <c r="O59" s="4">
        <f t="shared" si="9"/>
        <v>4.9</v>
      </c>
      <c r="P59" s="4">
        <f t="shared" si="10"/>
        <v>14.7</v>
      </c>
    </row>
    <row r="60" ht="15.75" customHeight="1">
      <c r="A60" s="5">
        <v>1995.0</v>
      </c>
      <c r="B60" s="4">
        <v>210.0</v>
      </c>
      <c r="C60" s="5">
        <v>13.7</v>
      </c>
      <c r="D60" s="5">
        <v>22.1</v>
      </c>
      <c r="E60" s="4">
        <f t="shared" si="1"/>
        <v>1</v>
      </c>
      <c r="F60" s="4">
        <f t="shared" si="2"/>
        <v>0</v>
      </c>
      <c r="G60" s="4">
        <f t="shared" si="3"/>
        <v>33.564</v>
      </c>
      <c r="H60" s="4">
        <f t="shared" si="4"/>
        <v>31.4295</v>
      </c>
      <c r="I60" s="4" t="str">
        <f t="shared" si="5"/>
        <v> </v>
      </c>
      <c r="J60" s="5">
        <v>0.9</v>
      </c>
      <c r="K60" s="5">
        <v>17.1</v>
      </c>
      <c r="L60" s="4">
        <f t="shared" si="6"/>
        <v>8</v>
      </c>
      <c r="M60" s="4">
        <f t="shared" si="7"/>
        <v>1</v>
      </c>
      <c r="N60" s="4">
        <f t="shared" si="8"/>
        <v>1.2866</v>
      </c>
      <c r="O60" s="4">
        <f t="shared" si="9"/>
        <v>0.9</v>
      </c>
      <c r="P60" s="4">
        <f t="shared" si="10"/>
        <v>17.1</v>
      </c>
    </row>
    <row r="61" ht="15.75" customHeight="1">
      <c r="A61" s="5">
        <v>1995.0</v>
      </c>
      <c r="B61" s="4">
        <v>211.0</v>
      </c>
      <c r="C61" s="5">
        <v>10.2</v>
      </c>
      <c r="D61" s="5">
        <v>26.1</v>
      </c>
      <c r="E61" s="4">
        <f t="shared" si="1"/>
        <v>0</v>
      </c>
      <c r="F61" s="4">
        <f t="shared" si="2"/>
        <v>0</v>
      </c>
      <c r="G61" s="4">
        <f t="shared" si="3"/>
        <v>33.28</v>
      </c>
      <c r="H61" s="4">
        <f t="shared" si="4"/>
        <v>30.143</v>
      </c>
      <c r="I61" s="4" t="str">
        <f t="shared" si="5"/>
        <v> </v>
      </c>
      <c r="J61" s="5"/>
      <c r="K61" s="5">
        <v>18.8</v>
      </c>
      <c r="L61" s="4">
        <f t="shared" si="6"/>
        <v>3</v>
      </c>
      <c r="M61" s="4">
        <f t="shared" si="7"/>
        <v>1</v>
      </c>
      <c r="N61" s="4">
        <f t="shared" si="8"/>
        <v>0.5914</v>
      </c>
      <c r="O61" s="4" t="str">
        <f t="shared" si="9"/>
        <v/>
      </c>
      <c r="P61" s="4">
        <f t="shared" si="10"/>
        <v>18.8</v>
      </c>
    </row>
    <row r="62" ht="15.75" customHeight="1">
      <c r="A62" s="5">
        <v>1995.0</v>
      </c>
      <c r="B62" s="4">
        <v>212.0</v>
      </c>
      <c r="C62" s="5">
        <v>13.6</v>
      </c>
      <c r="D62" s="5">
        <v>19.9</v>
      </c>
      <c r="E62" s="4">
        <f t="shared" si="1"/>
        <v>1</v>
      </c>
      <c r="F62" s="4">
        <f t="shared" si="2"/>
        <v>0</v>
      </c>
      <c r="G62" s="4">
        <f t="shared" si="3"/>
        <v>33.128</v>
      </c>
      <c r="H62" s="4">
        <f t="shared" si="4"/>
        <v>29.7095</v>
      </c>
      <c r="I62" s="4" t="str">
        <f t="shared" si="5"/>
        <v> </v>
      </c>
      <c r="J62" s="5">
        <v>2.3</v>
      </c>
      <c r="K62" s="5">
        <v>16.5</v>
      </c>
      <c r="L62" s="4">
        <f t="shared" si="6"/>
        <v>8</v>
      </c>
      <c r="M62" s="4">
        <f t="shared" si="7"/>
        <v>0</v>
      </c>
      <c r="N62" s="4">
        <f t="shared" si="8"/>
        <v>-4.1764</v>
      </c>
      <c r="O62" s="4">
        <f t="shared" si="9"/>
        <v>2.3</v>
      </c>
      <c r="P62" s="4">
        <f t="shared" si="10"/>
        <v>16.5</v>
      </c>
    </row>
    <row r="63" ht="15.75" customHeight="1">
      <c r="A63" s="5">
        <v>1995.0</v>
      </c>
      <c r="B63" s="4">
        <v>213.0</v>
      </c>
      <c r="C63" s="5">
        <v>11.7</v>
      </c>
      <c r="D63" s="5">
        <v>23.1</v>
      </c>
      <c r="E63" s="4">
        <f t="shared" si="1"/>
        <v>0</v>
      </c>
      <c r="F63" s="4">
        <f t="shared" si="2"/>
        <v>0</v>
      </c>
      <c r="G63" s="4">
        <f t="shared" si="3"/>
        <v>28.991</v>
      </c>
      <c r="H63" s="4">
        <f t="shared" si="4"/>
        <v>25.2485</v>
      </c>
      <c r="I63" s="4" t="str">
        <f t="shared" si="5"/>
        <v> </v>
      </c>
      <c r="J63" s="5"/>
      <c r="K63" s="5">
        <v>17.6</v>
      </c>
      <c r="L63" s="4">
        <f t="shared" si="6"/>
        <v>3</v>
      </c>
      <c r="M63" s="4">
        <f t="shared" si="7"/>
        <v>0</v>
      </c>
      <c r="N63" s="4">
        <f t="shared" si="8"/>
        <v>-5.439</v>
      </c>
      <c r="O63" s="4" t="str">
        <f t="shared" si="9"/>
        <v/>
      </c>
      <c r="P63" s="4">
        <f t="shared" si="10"/>
        <v>17.6</v>
      </c>
    </row>
    <row r="64" ht="15.75" customHeight="1">
      <c r="A64" s="5">
        <v>1995.0</v>
      </c>
      <c r="B64" s="4">
        <v>214.0</v>
      </c>
      <c r="C64" s="5">
        <v>11.6</v>
      </c>
      <c r="D64" s="5">
        <v>23.6</v>
      </c>
      <c r="E64" s="4">
        <f t="shared" si="1"/>
        <v>0</v>
      </c>
      <c r="F64" s="4">
        <f t="shared" si="2"/>
        <v>0</v>
      </c>
      <c r="G64" s="4">
        <f t="shared" si="3"/>
        <v>29.937</v>
      </c>
      <c r="H64" s="4">
        <f t="shared" si="4"/>
        <v>27.319</v>
      </c>
      <c r="I64" s="4" t="str">
        <f t="shared" si="5"/>
        <v> </v>
      </c>
      <c r="J64" s="5"/>
      <c r="K64" s="5">
        <v>17.8</v>
      </c>
      <c r="L64" s="4">
        <f t="shared" si="6"/>
        <v>3</v>
      </c>
      <c r="M64" s="4">
        <f t="shared" si="7"/>
        <v>0</v>
      </c>
      <c r="N64" s="4">
        <f t="shared" si="8"/>
        <v>-6.8739</v>
      </c>
      <c r="O64" s="4" t="str">
        <f t="shared" si="9"/>
        <v/>
      </c>
      <c r="P64" s="4">
        <f t="shared" si="10"/>
        <v>17.8</v>
      </c>
    </row>
    <row r="65" ht="15.75" customHeight="1">
      <c r="A65" s="5">
        <v>1995.0</v>
      </c>
      <c r="B65" s="4">
        <v>215.0</v>
      </c>
      <c r="C65" s="5">
        <v>16.9</v>
      </c>
      <c r="D65" s="5">
        <v>25.8</v>
      </c>
      <c r="E65" s="4">
        <f t="shared" si="1"/>
        <v>0</v>
      </c>
      <c r="F65" s="4">
        <f t="shared" si="2"/>
        <v>0</v>
      </c>
      <c r="G65" s="4">
        <f t="shared" si="3"/>
        <v>33.994</v>
      </c>
      <c r="H65" s="4">
        <f t="shared" si="4"/>
        <v>30.064</v>
      </c>
      <c r="I65" s="4" t="str">
        <f t="shared" si="5"/>
        <v> </v>
      </c>
      <c r="J65" s="5"/>
      <c r="K65" s="5">
        <v>18.9</v>
      </c>
      <c r="L65" s="4">
        <f t="shared" si="6"/>
        <v>3</v>
      </c>
      <c r="M65" s="4">
        <f t="shared" si="7"/>
        <v>0</v>
      </c>
      <c r="N65" s="4">
        <f t="shared" si="8"/>
        <v>-4.3491</v>
      </c>
      <c r="O65" s="4" t="str">
        <f t="shared" si="9"/>
        <v/>
      </c>
      <c r="P65" s="4">
        <f t="shared" si="10"/>
        <v>18.9</v>
      </c>
    </row>
    <row r="66" ht="15.75" customHeight="1">
      <c r="A66" s="5">
        <v>1995.0</v>
      </c>
      <c r="B66" s="4">
        <v>216.0</v>
      </c>
      <c r="C66" s="5">
        <v>16.9</v>
      </c>
      <c r="D66" s="5">
        <v>25.8</v>
      </c>
      <c r="E66" s="4">
        <f t="shared" si="1"/>
        <v>0</v>
      </c>
      <c r="F66" s="4">
        <f t="shared" si="2"/>
        <v>0</v>
      </c>
      <c r="G66" s="4">
        <f t="shared" si="3"/>
        <v>35.649</v>
      </c>
      <c r="H66" s="4">
        <f t="shared" si="4"/>
        <v>33.034</v>
      </c>
      <c r="I66" s="4" t="str">
        <f t="shared" si="5"/>
        <v> </v>
      </c>
      <c r="J66" s="5"/>
      <c r="K66" s="5">
        <v>21.0</v>
      </c>
      <c r="L66" s="4">
        <f t="shared" si="6"/>
        <v>3</v>
      </c>
      <c r="M66" s="4">
        <f t="shared" si="7"/>
        <v>1</v>
      </c>
      <c r="N66" s="4">
        <f t="shared" si="8"/>
        <v>4.5089</v>
      </c>
      <c r="O66" s="4" t="str">
        <f t="shared" si="9"/>
        <v/>
      </c>
      <c r="P66" s="4">
        <f t="shared" si="10"/>
        <v>21</v>
      </c>
    </row>
    <row r="67" ht="15.75" customHeight="1">
      <c r="A67" s="5">
        <v>1995.0</v>
      </c>
      <c r="B67" s="4">
        <v>217.0</v>
      </c>
      <c r="C67" s="5">
        <v>13.4</v>
      </c>
      <c r="D67" s="5">
        <v>20.6</v>
      </c>
      <c r="E67" s="4">
        <f t="shared" si="1"/>
        <v>1</v>
      </c>
      <c r="F67" s="4">
        <f t="shared" si="2"/>
        <v>1</v>
      </c>
      <c r="G67" s="4">
        <f t="shared" si="3"/>
        <v>27.902</v>
      </c>
      <c r="H67" s="4">
        <f t="shared" si="4"/>
        <v>28.8495</v>
      </c>
      <c r="I67" s="4">
        <f t="shared" si="5"/>
        <v>0.9475</v>
      </c>
      <c r="J67" s="5">
        <v>4.2</v>
      </c>
      <c r="K67" s="5">
        <v>17.4</v>
      </c>
      <c r="L67" s="4">
        <f t="shared" si="6"/>
        <v>8</v>
      </c>
      <c r="M67" s="4">
        <f t="shared" si="7"/>
        <v>1</v>
      </c>
      <c r="N67" s="4">
        <f t="shared" si="8"/>
        <v>3.3552</v>
      </c>
      <c r="O67" s="4">
        <f t="shared" si="9"/>
        <v>4.2</v>
      </c>
      <c r="P67" s="4">
        <f t="shared" si="10"/>
        <v>17.4</v>
      </c>
    </row>
    <row r="68" ht="15.75" customHeight="1">
      <c r="A68" s="5">
        <v>1995.0</v>
      </c>
      <c r="B68" s="4">
        <v>218.0</v>
      </c>
      <c r="C68" s="5">
        <v>10.2</v>
      </c>
      <c r="D68" s="5">
        <v>20.5</v>
      </c>
      <c r="E68" s="4">
        <f t="shared" si="1"/>
        <v>1</v>
      </c>
      <c r="F68" s="4">
        <f t="shared" si="2"/>
        <v>1</v>
      </c>
      <c r="G68" s="4">
        <f t="shared" si="3"/>
        <v>26.882</v>
      </c>
      <c r="H68" s="4">
        <f t="shared" si="4"/>
        <v>27.648</v>
      </c>
      <c r="I68" s="4">
        <f t="shared" si="5"/>
        <v>0.766</v>
      </c>
      <c r="J68" s="5">
        <v>14.4</v>
      </c>
      <c r="K68" s="5">
        <v>15.0</v>
      </c>
      <c r="L68" s="4">
        <f t="shared" si="6"/>
        <v>8</v>
      </c>
      <c r="M68" s="4">
        <f t="shared" si="7"/>
        <v>0</v>
      </c>
      <c r="N68" s="4">
        <f t="shared" si="8"/>
        <v>-5.2355</v>
      </c>
      <c r="O68" s="4">
        <f t="shared" si="9"/>
        <v>14.4</v>
      </c>
      <c r="P68" s="4">
        <f t="shared" si="10"/>
        <v>15</v>
      </c>
    </row>
    <row r="69" ht="15.75" customHeight="1">
      <c r="A69" s="5">
        <v>1995.0</v>
      </c>
      <c r="B69" s="4">
        <v>219.0</v>
      </c>
      <c r="C69" s="5">
        <v>7.6</v>
      </c>
      <c r="D69" s="5">
        <v>22.1</v>
      </c>
      <c r="E69" s="4">
        <f t="shared" si="1"/>
        <v>0</v>
      </c>
      <c r="F69" s="4">
        <f t="shared" si="2"/>
        <v>1</v>
      </c>
      <c r="G69" s="4">
        <f t="shared" si="3"/>
        <v>21.702</v>
      </c>
      <c r="H69" s="4">
        <f t="shared" si="4"/>
        <v>21.935</v>
      </c>
      <c r="I69" s="4">
        <f t="shared" si="5"/>
        <v>0.233</v>
      </c>
      <c r="J69" s="5"/>
      <c r="K69" s="5">
        <v>15.2</v>
      </c>
      <c r="L69" s="4">
        <f t="shared" si="6"/>
        <v>3</v>
      </c>
      <c r="M69" s="4">
        <f t="shared" si="7"/>
        <v>0</v>
      </c>
      <c r="N69" s="4">
        <f t="shared" si="8"/>
        <v>-4.7773</v>
      </c>
      <c r="O69" s="4" t="str">
        <f t="shared" si="9"/>
        <v/>
      </c>
      <c r="P69" s="4">
        <f t="shared" si="10"/>
        <v>15.2</v>
      </c>
    </row>
    <row r="70" ht="15.75" customHeight="1">
      <c r="A70" s="5">
        <v>1995.0</v>
      </c>
      <c r="B70" s="4">
        <v>220.0</v>
      </c>
      <c r="C70" s="5">
        <v>9.1</v>
      </c>
      <c r="D70" s="5">
        <v>25.6</v>
      </c>
      <c r="E70" s="4">
        <f t="shared" si="1"/>
        <v>0</v>
      </c>
      <c r="F70" s="4">
        <f t="shared" si="2"/>
        <v>1</v>
      </c>
      <c r="G70" s="4">
        <f t="shared" si="3"/>
        <v>23.871</v>
      </c>
      <c r="H70" s="4">
        <f t="shared" si="4"/>
        <v>24.549</v>
      </c>
      <c r="I70" s="4">
        <f t="shared" si="5"/>
        <v>0.678</v>
      </c>
      <c r="J70" s="5"/>
      <c r="K70" s="5">
        <v>16.4</v>
      </c>
      <c r="L70" s="4">
        <f t="shared" si="6"/>
        <v>3</v>
      </c>
      <c r="M70" s="4">
        <f t="shared" si="7"/>
        <v>1</v>
      </c>
      <c r="N70" s="4">
        <f t="shared" si="8"/>
        <v>4.5286</v>
      </c>
      <c r="O70" s="4" t="str">
        <f t="shared" si="9"/>
        <v/>
      </c>
      <c r="P70" s="4">
        <f t="shared" si="10"/>
        <v>16.4</v>
      </c>
    </row>
    <row r="71" ht="15.75" customHeight="1">
      <c r="A71" s="5">
        <v>1995.0</v>
      </c>
      <c r="B71" s="4">
        <v>221.0</v>
      </c>
      <c r="C71" s="5">
        <v>8.6</v>
      </c>
      <c r="D71" s="5">
        <v>16.8</v>
      </c>
      <c r="E71" s="4">
        <f t="shared" si="1"/>
        <v>1</v>
      </c>
      <c r="F71" s="4">
        <f t="shared" si="2"/>
        <v>1</v>
      </c>
      <c r="G71" s="4">
        <f t="shared" si="3"/>
        <v>18.241</v>
      </c>
      <c r="H71" s="4">
        <f t="shared" si="4"/>
        <v>20.6945</v>
      </c>
      <c r="I71" s="4">
        <f t="shared" si="5"/>
        <v>2.4535</v>
      </c>
      <c r="J71" s="5">
        <v>2.2</v>
      </c>
      <c r="K71" s="5">
        <v>12.7</v>
      </c>
      <c r="L71" s="4">
        <f t="shared" si="6"/>
        <v>8</v>
      </c>
      <c r="M71" s="4">
        <f t="shared" si="7"/>
        <v>1</v>
      </c>
      <c r="N71" s="4">
        <f t="shared" si="8"/>
        <v>12.3784</v>
      </c>
      <c r="O71" s="4">
        <f t="shared" si="9"/>
        <v>2.2</v>
      </c>
      <c r="P71" s="4">
        <f t="shared" si="10"/>
        <v>12.7</v>
      </c>
    </row>
    <row r="72" ht="15.75" customHeight="1">
      <c r="A72" s="5">
        <v>1995.0</v>
      </c>
      <c r="B72" s="4">
        <v>222.0</v>
      </c>
      <c r="C72" s="5">
        <v>7.2</v>
      </c>
      <c r="D72" s="5">
        <v>17.6</v>
      </c>
      <c r="E72" s="4">
        <f t="shared" si="1"/>
        <v>1</v>
      </c>
      <c r="F72" s="4">
        <f t="shared" si="2"/>
        <v>1</v>
      </c>
      <c r="G72" s="4">
        <f t="shared" si="3"/>
        <v>16.68</v>
      </c>
      <c r="H72" s="4">
        <f t="shared" si="4"/>
        <v>20.078</v>
      </c>
      <c r="I72" s="4">
        <f t="shared" si="5"/>
        <v>3.398</v>
      </c>
      <c r="J72" s="5">
        <v>0.7</v>
      </c>
      <c r="K72" s="5">
        <v>13.1</v>
      </c>
      <c r="L72" s="4">
        <f t="shared" si="6"/>
        <v>8</v>
      </c>
      <c r="M72" s="4">
        <f t="shared" si="7"/>
        <v>1</v>
      </c>
      <c r="N72" s="4">
        <f t="shared" si="8"/>
        <v>10.0219</v>
      </c>
      <c r="O72" s="4">
        <f t="shared" si="9"/>
        <v>0.7</v>
      </c>
      <c r="P72" s="4">
        <f t="shared" si="10"/>
        <v>13.1</v>
      </c>
    </row>
    <row r="73" ht="15.75" customHeight="1">
      <c r="A73" s="5">
        <v>1995.0</v>
      </c>
      <c r="B73" s="4">
        <v>223.0</v>
      </c>
      <c r="C73" s="5">
        <v>10.2</v>
      </c>
      <c r="D73" s="5">
        <v>14.0</v>
      </c>
      <c r="E73" s="4">
        <f t="shared" si="1"/>
        <v>1</v>
      </c>
      <c r="F73" s="4">
        <f t="shared" si="2"/>
        <v>1</v>
      </c>
      <c r="G73" s="4">
        <f t="shared" si="3"/>
        <v>15.216</v>
      </c>
      <c r="H73" s="4">
        <f t="shared" si="4"/>
        <v>17.207</v>
      </c>
      <c r="I73" s="4">
        <f t="shared" si="5"/>
        <v>1.991</v>
      </c>
      <c r="J73" s="5">
        <v>5.2</v>
      </c>
      <c r="K73" s="5">
        <v>11.9</v>
      </c>
      <c r="L73" s="4">
        <f t="shared" si="6"/>
        <v>8</v>
      </c>
      <c r="M73" s="4">
        <f t="shared" si="7"/>
        <v>1</v>
      </c>
      <c r="N73" s="4">
        <f t="shared" si="8"/>
        <v>7.2707</v>
      </c>
      <c r="O73" s="4">
        <f t="shared" si="9"/>
        <v>5.2</v>
      </c>
      <c r="P73" s="4">
        <f t="shared" si="10"/>
        <v>11.9</v>
      </c>
    </row>
    <row r="74" ht="15.75" customHeight="1">
      <c r="A74" s="5">
        <v>1995.0</v>
      </c>
      <c r="B74" s="4">
        <v>224.0</v>
      </c>
      <c r="C74" s="5">
        <v>6.7</v>
      </c>
      <c r="D74" s="5">
        <v>15.3</v>
      </c>
      <c r="E74" s="4">
        <f t="shared" si="1"/>
        <v>1</v>
      </c>
      <c r="F74" s="4">
        <f t="shared" si="2"/>
        <v>0</v>
      </c>
      <c r="G74" s="4">
        <f t="shared" si="3"/>
        <v>16.995</v>
      </c>
      <c r="H74" s="4">
        <f t="shared" si="4"/>
        <v>16.289</v>
      </c>
      <c r="I74" s="4" t="str">
        <f t="shared" si="5"/>
        <v> </v>
      </c>
      <c r="J74" s="5">
        <v>4.0</v>
      </c>
      <c r="K74" s="5">
        <v>11.3</v>
      </c>
      <c r="L74" s="4">
        <f t="shared" si="6"/>
        <v>8</v>
      </c>
      <c r="M74" s="4">
        <f t="shared" si="7"/>
        <v>1</v>
      </c>
      <c r="N74" s="4">
        <f t="shared" si="8"/>
        <v>1.5412</v>
      </c>
      <c r="O74" s="4">
        <f t="shared" si="9"/>
        <v>4</v>
      </c>
      <c r="P74" s="4">
        <f t="shared" si="10"/>
        <v>11.3</v>
      </c>
    </row>
    <row r="75" ht="15.75" customHeight="1">
      <c r="A75" s="5">
        <v>1995.0</v>
      </c>
      <c r="B75" s="4">
        <v>225.0</v>
      </c>
      <c r="C75" s="5">
        <v>7.8</v>
      </c>
      <c r="D75" s="5">
        <v>15.5</v>
      </c>
      <c r="E75" s="4">
        <f t="shared" si="1"/>
        <v>0</v>
      </c>
      <c r="F75" s="4">
        <f t="shared" si="2"/>
        <v>0</v>
      </c>
      <c r="G75" s="4">
        <f t="shared" si="3"/>
        <v>16.635</v>
      </c>
      <c r="H75" s="4">
        <f t="shared" si="4"/>
        <v>14.473</v>
      </c>
      <c r="I75" s="4" t="str">
        <f t="shared" si="5"/>
        <v> </v>
      </c>
      <c r="J75" s="5"/>
      <c r="K75" s="5">
        <v>10.7</v>
      </c>
      <c r="L75" s="4">
        <f t="shared" si="6"/>
        <v>3</v>
      </c>
      <c r="M75" s="4">
        <f t="shared" si="7"/>
        <v>1</v>
      </c>
      <c r="N75" s="4">
        <f t="shared" si="8"/>
        <v>5.8737</v>
      </c>
      <c r="O75" s="4" t="str">
        <f t="shared" si="9"/>
        <v/>
      </c>
      <c r="P75" s="4">
        <f t="shared" si="10"/>
        <v>10.7</v>
      </c>
    </row>
    <row r="76" ht="15.75" customHeight="1">
      <c r="A76" s="5">
        <v>1995.0</v>
      </c>
      <c r="B76" s="4">
        <v>226.0</v>
      </c>
      <c r="C76" s="5">
        <v>7.0</v>
      </c>
      <c r="D76" s="5">
        <v>15.5</v>
      </c>
      <c r="E76" s="4">
        <f t="shared" si="1"/>
        <v>1</v>
      </c>
      <c r="F76" s="4">
        <f t="shared" si="2"/>
        <v>0</v>
      </c>
      <c r="G76" s="4">
        <f t="shared" si="3"/>
        <v>21.189</v>
      </c>
      <c r="H76" s="4">
        <f t="shared" si="4"/>
        <v>20.0765</v>
      </c>
      <c r="I76" s="4" t="str">
        <f t="shared" si="5"/>
        <v> </v>
      </c>
      <c r="J76" s="5">
        <v>1.2</v>
      </c>
      <c r="K76" s="5">
        <v>10.7</v>
      </c>
      <c r="L76" s="4">
        <f t="shared" si="6"/>
        <v>8</v>
      </c>
      <c r="M76" s="4">
        <f t="shared" si="7"/>
        <v>0</v>
      </c>
      <c r="N76" s="4">
        <f t="shared" si="8"/>
        <v>-3.3014</v>
      </c>
      <c r="O76" s="4">
        <f t="shared" si="9"/>
        <v>1.2</v>
      </c>
      <c r="P76" s="4">
        <f t="shared" si="10"/>
        <v>10.7</v>
      </c>
    </row>
    <row r="77" ht="15.75" customHeight="1">
      <c r="A77" s="5">
        <v>1995.0</v>
      </c>
      <c r="B77" s="4">
        <v>227.0</v>
      </c>
      <c r="C77" s="5">
        <v>12.0</v>
      </c>
      <c r="D77" s="5">
        <v>16.0</v>
      </c>
      <c r="E77" s="4">
        <f t="shared" si="1"/>
        <v>0</v>
      </c>
      <c r="F77" s="4">
        <f t="shared" si="2"/>
        <v>0</v>
      </c>
      <c r="G77" s="4">
        <f t="shared" si="3"/>
        <v>25.722</v>
      </c>
      <c r="H77" s="4">
        <f t="shared" si="4"/>
        <v>20.996</v>
      </c>
      <c r="I77" s="4" t="str">
        <f t="shared" si="5"/>
        <v> </v>
      </c>
      <c r="J77" s="5"/>
      <c r="K77" s="5">
        <v>13.5</v>
      </c>
      <c r="L77" s="4">
        <f t="shared" si="6"/>
        <v>3</v>
      </c>
      <c r="M77" s="4">
        <f t="shared" si="7"/>
        <v>0</v>
      </c>
      <c r="N77" s="4">
        <f t="shared" si="8"/>
        <v>-6.893</v>
      </c>
      <c r="O77" s="4" t="str">
        <f t="shared" si="9"/>
        <v/>
      </c>
      <c r="P77" s="4">
        <f t="shared" si="10"/>
        <v>13.5</v>
      </c>
    </row>
    <row r="78" ht="15.75" customHeight="1">
      <c r="A78" s="5">
        <v>1995.0</v>
      </c>
      <c r="B78" s="4">
        <v>228.0</v>
      </c>
      <c r="C78" s="5">
        <v>8.8</v>
      </c>
      <c r="D78" s="5">
        <v>20.2</v>
      </c>
      <c r="E78" s="4">
        <f t="shared" si="1"/>
        <v>0</v>
      </c>
      <c r="F78" s="4">
        <f t="shared" si="2"/>
        <v>0</v>
      </c>
      <c r="G78" s="4">
        <f t="shared" si="3"/>
        <v>27.458</v>
      </c>
      <c r="H78" s="4">
        <f t="shared" si="4"/>
        <v>22.2835</v>
      </c>
      <c r="I78" s="4" t="str">
        <f t="shared" si="5"/>
        <v> </v>
      </c>
      <c r="J78" s="5"/>
      <c r="K78" s="5">
        <v>14.7</v>
      </c>
      <c r="L78" s="4">
        <f t="shared" si="6"/>
        <v>3</v>
      </c>
      <c r="M78" s="4">
        <f t="shared" si="7"/>
        <v>0</v>
      </c>
      <c r="N78" s="4">
        <f t="shared" si="8"/>
        <v>-5.614</v>
      </c>
      <c r="O78" s="4" t="str">
        <f t="shared" si="9"/>
        <v/>
      </c>
      <c r="P78" s="4">
        <f t="shared" si="10"/>
        <v>14.7</v>
      </c>
    </row>
    <row r="79" ht="15.75" customHeight="1">
      <c r="A79" s="5">
        <v>1995.0</v>
      </c>
      <c r="B79" s="4">
        <v>229.0</v>
      </c>
      <c r="C79" s="5">
        <v>9.7</v>
      </c>
      <c r="D79" s="5">
        <v>22.4</v>
      </c>
      <c r="E79" s="4">
        <f t="shared" si="1"/>
        <v>0</v>
      </c>
      <c r="F79" s="4">
        <f t="shared" si="2"/>
        <v>0</v>
      </c>
      <c r="G79" s="4">
        <f t="shared" si="3"/>
        <v>26.049</v>
      </c>
      <c r="H79" s="4">
        <f t="shared" si="4"/>
        <v>21.261</v>
      </c>
      <c r="I79" s="4" t="str">
        <f t="shared" si="5"/>
        <v> </v>
      </c>
      <c r="J79" s="5"/>
      <c r="K79" s="5">
        <v>16.3</v>
      </c>
      <c r="L79" s="4">
        <f t="shared" si="6"/>
        <v>3</v>
      </c>
      <c r="M79" s="4">
        <f t="shared" si="7"/>
        <v>0</v>
      </c>
      <c r="N79" s="4">
        <f t="shared" si="8"/>
        <v>-7.4581</v>
      </c>
      <c r="O79" s="4" t="str">
        <f t="shared" si="9"/>
        <v/>
      </c>
      <c r="P79" s="4">
        <f t="shared" si="10"/>
        <v>16.3</v>
      </c>
    </row>
    <row r="80" ht="15.75" customHeight="1">
      <c r="A80" s="5">
        <v>1995.0</v>
      </c>
      <c r="B80" s="4">
        <v>230.0</v>
      </c>
      <c r="C80" s="5">
        <v>14.4</v>
      </c>
      <c r="D80" s="5">
        <v>23.9</v>
      </c>
      <c r="E80" s="4">
        <f t="shared" si="1"/>
        <v>0</v>
      </c>
      <c r="F80" s="4">
        <f t="shared" si="2"/>
        <v>0</v>
      </c>
      <c r="G80" s="4">
        <f t="shared" si="3"/>
        <v>27.721</v>
      </c>
      <c r="H80" s="4">
        <f t="shared" si="4"/>
        <v>22.724</v>
      </c>
      <c r="I80" s="4" t="str">
        <f t="shared" si="5"/>
        <v> </v>
      </c>
      <c r="J80" s="5"/>
      <c r="K80" s="5">
        <v>18.4</v>
      </c>
      <c r="L80" s="4">
        <f t="shared" si="6"/>
        <v>3</v>
      </c>
      <c r="M80" s="4">
        <f t="shared" si="7"/>
        <v>0</v>
      </c>
      <c r="N80" s="4">
        <f t="shared" si="8"/>
        <v>-9.3437</v>
      </c>
      <c r="O80" s="4" t="str">
        <f t="shared" si="9"/>
        <v/>
      </c>
      <c r="P80" s="4">
        <f t="shared" si="10"/>
        <v>18.4</v>
      </c>
    </row>
    <row r="81" ht="15.75" customHeight="1">
      <c r="A81" s="5">
        <v>1995.0</v>
      </c>
      <c r="B81" s="4">
        <v>231.0</v>
      </c>
      <c r="C81" s="5">
        <v>14.5</v>
      </c>
      <c r="D81" s="5">
        <v>26.8</v>
      </c>
      <c r="E81" s="4">
        <f t="shared" si="1"/>
        <v>0</v>
      </c>
      <c r="F81" s="4">
        <f t="shared" si="2"/>
        <v>0</v>
      </c>
      <c r="G81" s="4">
        <f t="shared" si="3"/>
        <v>31.233</v>
      </c>
      <c r="H81" s="4">
        <f t="shared" si="4"/>
        <v>26.058</v>
      </c>
      <c r="I81" s="4" t="str">
        <f t="shared" si="5"/>
        <v> </v>
      </c>
      <c r="J81" s="5"/>
      <c r="K81" s="5">
        <v>20.5</v>
      </c>
      <c r="L81" s="4">
        <f t="shared" si="6"/>
        <v>3</v>
      </c>
      <c r="M81" s="4">
        <f t="shared" si="7"/>
        <v>0</v>
      </c>
      <c r="N81" s="4">
        <f t="shared" si="8"/>
        <v>-10.8697</v>
      </c>
      <c r="O81" s="4" t="str">
        <f t="shared" si="9"/>
        <v/>
      </c>
      <c r="P81" s="4">
        <f t="shared" si="10"/>
        <v>20.5</v>
      </c>
    </row>
    <row r="82" ht="15.75" customHeight="1">
      <c r="A82" s="5">
        <v>1995.0</v>
      </c>
      <c r="B82" s="4">
        <v>232.0</v>
      </c>
      <c r="C82" s="5">
        <v>12.4</v>
      </c>
      <c r="D82" s="5">
        <v>24.2</v>
      </c>
      <c r="E82" s="4">
        <f t="shared" si="1"/>
        <v>0</v>
      </c>
      <c r="F82" s="4">
        <f t="shared" si="2"/>
        <v>0</v>
      </c>
      <c r="G82" s="4">
        <f t="shared" si="3"/>
        <v>30.274</v>
      </c>
      <c r="H82" s="4">
        <f t="shared" si="4"/>
        <v>25.192</v>
      </c>
      <c r="I82" s="4" t="str">
        <f t="shared" si="5"/>
        <v> </v>
      </c>
      <c r="J82" s="5"/>
      <c r="K82" s="5">
        <v>18.6</v>
      </c>
      <c r="L82" s="4">
        <f t="shared" si="6"/>
        <v>3</v>
      </c>
      <c r="M82" s="4">
        <f t="shared" si="7"/>
        <v>0</v>
      </c>
      <c r="N82" s="4">
        <f t="shared" si="8"/>
        <v>-10.3467</v>
      </c>
      <c r="O82" s="4" t="str">
        <f t="shared" si="9"/>
        <v/>
      </c>
      <c r="P82" s="4">
        <f t="shared" si="10"/>
        <v>18.6</v>
      </c>
    </row>
    <row r="83" ht="15.75" customHeight="1">
      <c r="A83" s="5">
        <v>1995.0</v>
      </c>
      <c r="B83" s="4">
        <v>233.0</v>
      </c>
      <c r="C83" s="5">
        <v>8.6</v>
      </c>
      <c r="D83" s="5">
        <v>18.9</v>
      </c>
      <c r="E83" s="4">
        <f t="shared" si="1"/>
        <v>0</v>
      </c>
      <c r="F83" s="4">
        <f t="shared" si="2"/>
        <v>0</v>
      </c>
      <c r="G83" s="4">
        <f t="shared" si="3"/>
        <v>28.931</v>
      </c>
      <c r="H83" s="4">
        <f t="shared" si="4"/>
        <v>23.956</v>
      </c>
      <c r="I83" s="4" t="str">
        <f t="shared" si="5"/>
        <v> </v>
      </c>
      <c r="J83" s="5"/>
      <c r="K83" s="5">
        <v>13.8</v>
      </c>
      <c r="L83" s="4">
        <f t="shared" si="6"/>
        <v>3</v>
      </c>
      <c r="M83" s="4">
        <f t="shared" si="7"/>
        <v>0</v>
      </c>
      <c r="N83" s="4">
        <f t="shared" si="8"/>
        <v>-7.0885</v>
      </c>
      <c r="O83" s="4" t="str">
        <f t="shared" si="9"/>
        <v/>
      </c>
      <c r="P83" s="4">
        <f t="shared" si="10"/>
        <v>13.8</v>
      </c>
    </row>
    <row r="84" ht="15.75" customHeight="1">
      <c r="A84" s="5">
        <v>1995.0</v>
      </c>
      <c r="B84" s="4">
        <v>234.0</v>
      </c>
      <c r="C84" s="5">
        <v>6.0</v>
      </c>
      <c r="D84" s="5">
        <v>19.4</v>
      </c>
      <c r="E84" s="4">
        <f t="shared" si="1"/>
        <v>0</v>
      </c>
      <c r="F84" s="4">
        <f t="shared" si="2"/>
        <v>0</v>
      </c>
      <c r="G84" s="4">
        <f t="shared" si="3"/>
        <v>30.68</v>
      </c>
      <c r="H84" s="4">
        <f t="shared" si="4"/>
        <v>25.9535</v>
      </c>
      <c r="I84" s="4" t="str">
        <f t="shared" si="5"/>
        <v> </v>
      </c>
      <c r="J84" s="5"/>
      <c r="K84" s="5">
        <v>13.1</v>
      </c>
      <c r="L84" s="4">
        <f t="shared" si="6"/>
        <v>3</v>
      </c>
      <c r="M84" s="4">
        <f t="shared" si="7"/>
        <v>0</v>
      </c>
      <c r="N84" s="4">
        <f t="shared" si="8"/>
        <v>-6.2699</v>
      </c>
      <c r="O84" s="4" t="str">
        <f t="shared" si="9"/>
        <v/>
      </c>
      <c r="P84" s="4">
        <f t="shared" si="10"/>
        <v>13.1</v>
      </c>
    </row>
    <row r="85" ht="15.75" customHeight="1">
      <c r="A85" s="5">
        <v>1995.0</v>
      </c>
      <c r="B85" s="4">
        <v>235.0</v>
      </c>
      <c r="C85" s="5">
        <v>9.8</v>
      </c>
      <c r="D85" s="5">
        <v>24.5</v>
      </c>
      <c r="E85" s="4">
        <f t="shared" si="1"/>
        <v>0</v>
      </c>
      <c r="F85" s="4">
        <f t="shared" si="2"/>
        <v>0</v>
      </c>
      <c r="G85" s="4">
        <f t="shared" si="3"/>
        <v>36.274</v>
      </c>
      <c r="H85" s="4">
        <f t="shared" si="4"/>
        <v>30.7325</v>
      </c>
      <c r="I85" s="4" t="str">
        <f t="shared" si="5"/>
        <v> </v>
      </c>
      <c r="J85" s="5"/>
      <c r="K85" s="5">
        <v>17.6</v>
      </c>
      <c r="L85" s="4">
        <f t="shared" si="6"/>
        <v>3</v>
      </c>
      <c r="M85" s="4">
        <f t="shared" si="7"/>
        <v>0</v>
      </c>
      <c r="N85" s="4">
        <f t="shared" si="8"/>
        <v>-8.9378</v>
      </c>
      <c r="O85" s="4" t="str">
        <f t="shared" si="9"/>
        <v/>
      </c>
      <c r="P85" s="4">
        <f t="shared" si="10"/>
        <v>17.6</v>
      </c>
    </row>
    <row r="86" ht="15.75" customHeight="1">
      <c r="A86" s="5">
        <v>1995.0</v>
      </c>
      <c r="B86" s="4">
        <v>236.0</v>
      </c>
      <c r="C86" s="5">
        <v>14.2</v>
      </c>
      <c r="D86" s="5">
        <v>26.2</v>
      </c>
      <c r="E86" s="4">
        <f t="shared" si="1"/>
        <v>0</v>
      </c>
      <c r="F86" s="4">
        <f t="shared" si="2"/>
        <v>0</v>
      </c>
      <c r="G86" s="4">
        <f t="shared" si="3"/>
        <v>36.254</v>
      </c>
      <c r="H86" s="4">
        <f t="shared" si="4"/>
        <v>30.635</v>
      </c>
      <c r="I86" s="4" t="str">
        <f t="shared" si="5"/>
        <v> </v>
      </c>
      <c r="J86" s="5"/>
      <c r="K86" s="5">
        <v>20.4</v>
      </c>
      <c r="L86" s="4">
        <f t="shared" si="6"/>
        <v>3</v>
      </c>
      <c r="M86" s="4">
        <f t="shared" si="7"/>
        <v>0</v>
      </c>
      <c r="N86" s="4">
        <f t="shared" si="8"/>
        <v>-8.9932</v>
      </c>
      <c r="O86" s="4" t="str">
        <f t="shared" si="9"/>
        <v/>
      </c>
      <c r="P86" s="4">
        <f t="shared" si="10"/>
        <v>20.4</v>
      </c>
    </row>
    <row r="87" ht="15.75" customHeight="1">
      <c r="A87" s="5">
        <v>1995.0</v>
      </c>
      <c r="B87" s="4">
        <v>237.0</v>
      </c>
      <c r="C87" s="5">
        <v>13.7</v>
      </c>
      <c r="D87" s="5">
        <v>27.8</v>
      </c>
      <c r="E87" s="4">
        <f t="shared" si="1"/>
        <v>0</v>
      </c>
      <c r="F87" s="4">
        <f t="shared" si="2"/>
        <v>0</v>
      </c>
      <c r="G87" s="4">
        <f t="shared" si="3"/>
        <v>35.847</v>
      </c>
      <c r="H87" s="4">
        <f t="shared" si="4"/>
        <v>31.579</v>
      </c>
      <c r="I87" s="4" t="str">
        <f t="shared" si="5"/>
        <v> </v>
      </c>
      <c r="J87" s="5"/>
      <c r="K87" s="5">
        <v>20.5</v>
      </c>
      <c r="L87" s="4">
        <f t="shared" si="6"/>
        <v>3</v>
      </c>
      <c r="M87" s="4">
        <f t="shared" si="7"/>
        <v>0</v>
      </c>
      <c r="N87" s="4">
        <f t="shared" si="8"/>
        <v>-9.3124</v>
      </c>
      <c r="O87" s="4" t="str">
        <f t="shared" si="9"/>
        <v/>
      </c>
      <c r="P87" s="4">
        <f t="shared" si="10"/>
        <v>20.5</v>
      </c>
    </row>
    <row r="88" ht="15.75" customHeight="1">
      <c r="A88" s="5">
        <v>1995.0</v>
      </c>
      <c r="B88" s="4">
        <v>238.0</v>
      </c>
      <c r="C88" s="5">
        <v>14.5</v>
      </c>
      <c r="D88" s="5">
        <v>27.7</v>
      </c>
      <c r="E88" s="4">
        <f t="shared" si="1"/>
        <v>0</v>
      </c>
      <c r="J88" s="5"/>
      <c r="K88" s="5">
        <v>20.9</v>
      </c>
      <c r="L88" s="4">
        <f t="shared" si="6"/>
        <v>3</v>
      </c>
      <c r="O88" s="4" t="str">
        <f t="shared" si="9"/>
        <v/>
      </c>
      <c r="P88" s="4">
        <f t="shared" si="10"/>
        <v>20.9</v>
      </c>
    </row>
    <row r="89" ht="15.75" customHeight="1">
      <c r="A89" s="5">
        <v>1995.0</v>
      </c>
      <c r="B89" s="4">
        <v>239.0</v>
      </c>
      <c r="C89" s="5">
        <v>14.6</v>
      </c>
      <c r="D89" s="5">
        <v>27.0</v>
      </c>
      <c r="E89" s="4">
        <f t="shared" si="1"/>
        <v>0</v>
      </c>
      <c r="J89" s="5"/>
      <c r="K89" s="5">
        <v>20.2</v>
      </c>
      <c r="L89" s="4">
        <f t="shared" si="6"/>
        <v>3</v>
      </c>
      <c r="O89" s="4" t="str">
        <f t="shared" si="9"/>
        <v/>
      </c>
      <c r="P89" s="4">
        <f t="shared" si="10"/>
        <v>20.2</v>
      </c>
    </row>
    <row r="90" ht="15.75" customHeight="1">
      <c r="A90" s="5">
        <v>1995.0</v>
      </c>
      <c r="B90" s="4">
        <v>240.0</v>
      </c>
      <c r="C90" s="5">
        <v>15.2</v>
      </c>
      <c r="D90" s="5">
        <v>23.0</v>
      </c>
      <c r="E90" s="4">
        <f t="shared" si="1"/>
        <v>0</v>
      </c>
      <c r="J90" s="5"/>
      <c r="K90" s="5">
        <v>17.9</v>
      </c>
      <c r="L90" s="4">
        <f t="shared" si="6"/>
        <v>3</v>
      </c>
      <c r="O90" s="4" t="str">
        <f t="shared" si="9"/>
        <v/>
      </c>
      <c r="P90" s="4">
        <f t="shared" si="10"/>
        <v>17.9</v>
      </c>
    </row>
    <row r="91" ht="15.75" customHeight="1">
      <c r="A91" s="5">
        <v>1995.0</v>
      </c>
      <c r="B91" s="4">
        <v>241.0</v>
      </c>
      <c r="C91" s="5">
        <v>12.7</v>
      </c>
      <c r="D91" s="5">
        <v>22.3</v>
      </c>
      <c r="E91" s="4">
        <f t="shared" si="1"/>
        <v>1</v>
      </c>
      <c r="J91" s="5">
        <v>16.2</v>
      </c>
      <c r="K91" s="5">
        <v>16.2</v>
      </c>
      <c r="L91" s="4">
        <f t="shared" si="6"/>
        <v>8</v>
      </c>
      <c r="O91" s="4">
        <f t="shared" si="9"/>
        <v>16.2</v>
      </c>
      <c r="P91" s="4">
        <f t="shared" si="10"/>
        <v>16.2</v>
      </c>
    </row>
    <row r="92" ht="15.75" customHeight="1">
      <c r="A92" s="5">
        <v>1995.0</v>
      </c>
      <c r="B92" s="4">
        <v>242.0</v>
      </c>
      <c r="C92" s="5">
        <v>11.1</v>
      </c>
      <c r="D92" s="5">
        <v>24.3</v>
      </c>
      <c r="E92" s="4">
        <f t="shared" si="1"/>
        <v>0</v>
      </c>
      <c r="J92" s="5"/>
      <c r="K92" s="5">
        <v>17.4</v>
      </c>
      <c r="L92" s="4">
        <f t="shared" si="6"/>
        <v>3</v>
      </c>
      <c r="O92" s="4" t="str">
        <f t="shared" si="9"/>
        <v/>
      </c>
      <c r="P92" s="4">
        <f t="shared" si="10"/>
        <v>17.4</v>
      </c>
    </row>
    <row r="93" ht="15.75" customHeight="1">
      <c r="A93" s="5">
        <v>1995.0</v>
      </c>
      <c r="B93" s="4">
        <v>243.0</v>
      </c>
      <c r="C93" s="5">
        <v>14.3</v>
      </c>
      <c r="D93" s="5">
        <v>26.4</v>
      </c>
      <c r="E93" s="4">
        <f t="shared" si="1"/>
        <v>0</v>
      </c>
      <c r="J93" s="5"/>
      <c r="K93" s="5">
        <v>20.0</v>
      </c>
      <c r="L93" s="4">
        <f t="shared" si="6"/>
        <v>3</v>
      </c>
      <c r="O93" s="4" t="str">
        <f t="shared" si="9"/>
        <v/>
      </c>
      <c r="P93" s="4">
        <f t="shared" si="10"/>
        <v>20</v>
      </c>
    </row>
    <row r="94" ht="15.75" customHeight="1"/>
    <row r="95" ht="15.75" customHeight="1"/>
    <row r="96" ht="15.75" customHeight="1">
      <c r="O96" s="4">
        <f>SUM(O2:O93)</f>
        <v>134.1</v>
      </c>
      <c r="P96" s="4">
        <f>SUMIF(P2:P93,"&gt;0")/10</f>
        <v>158.45</v>
      </c>
    </row>
    <row r="97" ht="15.75" customHeight="1"/>
    <row r="98" ht="15.75" customHeight="1">
      <c r="I98" s="4">
        <f>SUM(I2:I87)</f>
        <v>20.531</v>
      </c>
      <c r="O98" s="4" t="s">
        <v>15</v>
      </c>
      <c r="P98" s="4">
        <f>O96/P96</f>
        <v>0.8463237614</v>
      </c>
    </row>
    <row r="99" ht="15.75" customHeight="1">
      <c r="I99" s="4">
        <f>SUM(I2:I31)</f>
        <v>8.392</v>
      </c>
      <c r="O99" s="4" t="s">
        <v>16</v>
      </c>
      <c r="P99" s="4">
        <f>SUM(O2:O31)/(SUM(P2:P31)/10)</f>
        <v>0.6626183247</v>
      </c>
    </row>
    <row r="100" ht="15.75" customHeight="1">
      <c r="I100" s="4">
        <f>SUM(I32:I62)</f>
        <v>1.672</v>
      </c>
      <c r="O100" s="4" t="s">
        <v>17</v>
      </c>
      <c r="P100" s="4">
        <f>SUM(O33:O62)/(SUM(P33:P62)/10)</f>
        <v>0.9803528468</v>
      </c>
    </row>
    <row r="101" ht="15.75" customHeight="1">
      <c r="I101" s="4">
        <f>SUM(I63:I93)</f>
        <v>10.467</v>
      </c>
      <c r="O101" s="4" t="s">
        <v>18</v>
      </c>
      <c r="P101" s="4">
        <f>SUM(O63:O93)/(SUM(P63:P93)/10)</f>
        <v>0.9436923681</v>
      </c>
    </row>
    <row r="102" ht="15.75" customHeight="1">
      <c r="I102" s="4">
        <f>SUMIF(I2:I87,"&gt;0")</f>
        <v>20.531</v>
      </c>
    </row>
    <row r="103" ht="15.75" customHeight="1">
      <c r="I103" s="4">
        <f>SUMIF(I2:I31,"&gt;0")</f>
        <v>8.392</v>
      </c>
    </row>
    <row r="104" ht="15.75" customHeight="1">
      <c r="I104" s="4">
        <f>SUMIF(I32:I62,"&gt;0")</f>
        <v>1.672</v>
      </c>
      <c r="P104" s="4">
        <f>SUM(O16:O35)/(SUM(P16:P35)/10)</f>
        <v>1.102040816</v>
      </c>
    </row>
    <row r="105" ht="15.75" customHeight="1">
      <c r="I105" s="4">
        <f>SUMIF(I63:I87,"&gt;0")</f>
        <v>10.467</v>
      </c>
      <c r="P105" s="4">
        <f>SUM(O36:O55)/(SUM(P36:P55)/10)</f>
        <v>0.7735961768</v>
      </c>
    </row>
    <row r="106" ht="15.75" customHeight="1">
      <c r="P106" s="4">
        <f>SUM(O56:O77)/(SUM(P56:P77)/10)</f>
        <v>1.564147627</v>
      </c>
    </row>
    <row r="107" ht="15.75" customHeight="1">
      <c r="P107" s="4">
        <f>SUM(O16:O77)/(SUM(P16:P77)/10)</f>
        <v>1.148940345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1" t="s">
        <v>8</v>
      </c>
      <c r="K1" s="1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1996.0</v>
      </c>
      <c r="B2" s="9">
        <v>153.0</v>
      </c>
      <c r="C2" s="5">
        <v>5.0</v>
      </c>
      <c r="D2" s="5">
        <v>16.4</v>
      </c>
      <c r="E2" s="4">
        <f t="shared" ref="E2:E93" si="1">IF(J2&gt;0,1,0)</f>
        <v>0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25.224</v>
      </c>
      <c r="H2" s="4">
        <f t="shared" ref="H2:H87" si="4">0.63 * D2 + 0.37 * D3 + 0.49 * D4 + 0.22 * D5 + 0.65 * D6 + 0.24 *C2 - 0.06 * C3- 0.15 * C4 - 0.135 * C5 + 0.15 * C6 + 4.88 * E2 + 3.55 * E3 + 3.34 *E4 + 2.5 * E5 + 2.29 *E6-31.34</f>
        <v>23.411</v>
      </c>
      <c r="I2" s="4" t="str">
        <f t="shared" ref="I2:I87" si="5">IF((H2-G2)&gt;0,H2-G2," ")</f>
        <v> </v>
      </c>
      <c r="J2" s="5"/>
      <c r="K2" s="5">
        <v>11.6</v>
      </c>
      <c r="L2" s="4">
        <f t="shared" ref="L2:L93" si="6">IF(E2&gt;0,8,3)</f>
        <v>3</v>
      </c>
      <c r="M2" s="4">
        <f t="shared" ref="M2:M87" si="7">IF(N2&gt;=0,1,0)</f>
        <v>0</v>
      </c>
      <c r="N2" s="4">
        <f t="shared" ref="N2:N87" si="8">-0.216*D2-0.191*D3-0.119*D4+0.004*C2-0.171*C3+0.628*C4-0.479*L2+0.513*L3+0.046*L4+5.947*E2+6.699*E3+4.328*E4-1.788</f>
        <v>-9.0762</v>
      </c>
      <c r="O2" s="4" t="str">
        <f t="shared" ref="O2:O93" si="9">IF(K2&gt;10,J2,0)</f>
        <v/>
      </c>
      <c r="P2" s="4">
        <f t="shared" ref="P2:P93" si="10">IF(K2&gt;10,K2,0)</f>
        <v>11.6</v>
      </c>
    </row>
    <row r="3">
      <c r="A3" s="4">
        <v>1996.0</v>
      </c>
      <c r="B3" s="9">
        <v>154.0</v>
      </c>
      <c r="C3" s="5">
        <v>3.9</v>
      </c>
      <c r="D3" s="5">
        <v>21.1</v>
      </c>
      <c r="E3" s="4">
        <f t="shared" si="1"/>
        <v>0</v>
      </c>
      <c r="F3" s="4">
        <f t="shared" si="2"/>
        <v>0</v>
      </c>
      <c r="G3" s="4">
        <f t="shared" si="3"/>
        <v>28.518</v>
      </c>
      <c r="H3" s="4">
        <f t="shared" si="4"/>
        <v>24.9285</v>
      </c>
      <c r="I3" s="4" t="str">
        <f t="shared" si="5"/>
        <v> </v>
      </c>
      <c r="J3" s="5"/>
      <c r="K3" s="5">
        <v>13.8</v>
      </c>
      <c r="L3" s="4">
        <f t="shared" si="6"/>
        <v>3</v>
      </c>
      <c r="M3" s="4">
        <f t="shared" si="7"/>
        <v>0</v>
      </c>
      <c r="N3" s="4">
        <f t="shared" si="8"/>
        <v>-9.4629</v>
      </c>
      <c r="O3" s="4" t="str">
        <f t="shared" si="9"/>
        <v/>
      </c>
      <c r="P3" s="4">
        <f t="shared" si="10"/>
        <v>13.8</v>
      </c>
    </row>
    <row r="4">
      <c r="A4" s="4">
        <v>1996.0</v>
      </c>
      <c r="B4" s="9">
        <v>155.0</v>
      </c>
      <c r="C4" s="5">
        <v>5.8</v>
      </c>
      <c r="D4" s="5">
        <v>24.8</v>
      </c>
      <c r="E4" s="4">
        <f t="shared" si="1"/>
        <v>0</v>
      </c>
      <c r="F4" s="4">
        <f t="shared" si="2"/>
        <v>0</v>
      </c>
      <c r="G4" s="4">
        <f t="shared" si="3"/>
        <v>31.976</v>
      </c>
      <c r="H4" s="4">
        <f t="shared" si="4"/>
        <v>28.796</v>
      </c>
      <c r="I4" s="4" t="str">
        <f t="shared" si="5"/>
        <v> </v>
      </c>
      <c r="J4" s="5"/>
      <c r="K4" s="5">
        <v>16.5</v>
      </c>
      <c r="L4" s="4">
        <f t="shared" si="6"/>
        <v>3</v>
      </c>
      <c r="M4" s="4">
        <f t="shared" si="7"/>
        <v>0</v>
      </c>
      <c r="N4" s="4">
        <f t="shared" si="8"/>
        <v>-4.7635</v>
      </c>
      <c r="O4" s="4" t="str">
        <f t="shared" si="9"/>
        <v/>
      </c>
      <c r="P4" s="4">
        <f t="shared" si="10"/>
        <v>16.5</v>
      </c>
    </row>
    <row r="5">
      <c r="A5" s="4">
        <v>1996.0</v>
      </c>
      <c r="B5" s="9">
        <v>156.0</v>
      </c>
      <c r="C5" s="5">
        <v>9.0</v>
      </c>
      <c r="D5" s="5">
        <v>27.7</v>
      </c>
      <c r="E5" s="4">
        <f t="shared" si="1"/>
        <v>0</v>
      </c>
      <c r="F5" s="4">
        <f t="shared" si="2"/>
        <v>0</v>
      </c>
      <c r="G5" s="4">
        <f t="shared" si="3"/>
        <v>30.484</v>
      </c>
      <c r="H5" s="4">
        <f t="shared" si="4"/>
        <v>28.471</v>
      </c>
      <c r="I5" s="4" t="str">
        <f t="shared" si="5"/>
        <v> </v>
      </c>
      <c r="J5" s="5"/>
      <c r="K5" s="5">
        <v>19.8</v>
      </c>
      <c r="L5" s="4">
        <f t="shared" si="6"/>
        <v>3</v>
      </c>
      <c r="M5" s="4">
        <f t="shared" si="7"/>
        <v>0</v>
      </c>
      <c r="N5" s="4">
        <f t="shared" si="8"/>
        <v>-1.5548</v>
      </c>
      <c r="O5" s="4" t="str">
        <f t="shared" si="9"/>
        <v/>
      </c>
      <c r="P5" s="4">
        <f t="shared" si="10"/>
        <v>19.8</v>
      </c>
    </row>
    <row r="6">
      <c r="A6" s="4">
        <v>1996.0</v>
      </c>
      <c r="B6" s="9">
        <v>157.0</v>
      </c>
      <c r="C6" s="5">
        <v>11.5</v>
      </c>
      <c r="D6" s="5">
        <v>23.8</v>
      </c>
      <c r="E6" s="4">
        <f t="shared" si="1"/>
        <v>1</v>
      </c>
      <c r="F6" s="4">
        <f t="shared" si="2"/>
        <v>0</v>
      </c>
      <c r="G6" s="4">
        <f t="shared" si="3"/>
        <v>31.61</v>
      </c>
      <c r="H6" s="4">
        <f t="shared" si="4"/>
        <v>29.48</v>
      </c>
      <c r="I6" s="4" t="str">
        <f t="shared" si="5"/>
        <v> </v>
      </c>
      <c r="J6" s="5">
        <v>0.2</v>
      </c>
      <c r="K6" s="5">
        <v>16.8</v>
      </c>
      <c r="L6" s="4">
        <f t="shared" si="6"/>
        <v>8</v>
      </c>
      <c r="M6" s="4">
        <f t="shared" si="7"/>
        <v>0</v>
      </c>
      <c r="N6" s="4">
        <f t="shared" si="8"/>
        <v>-4.4482</v>
      </c>
      <c r="O6" s="4">
        <f t="shared" si="9"/>
        <v>0.2</v>
      </c>
      <c r="P6" s="4">
        <f t="shared" si="10"/>
        <v>16.8</v>
      </c>
    </row>
    <row r="7">
      <c r="A7" s="4">
        <v>1996.0</v>
      </c>
      <c r="B7" s="9">
        <v>158.0</v>
      </c>
      <c r="C7" s="5">
        <v>9.0</v>
      </c>
      <c r="D7" s="5">
        <v>20.7</v>
      </c>
      <c r="E7" s="4">
        <f t="shared" si="1"/>
        <v>0</v>
      </c>
      <c r="F7" s="4">
        <f t="shared" si="2"/>
        <v>0</v>
      </c>
      <c r="G7" s="4">
        <f t="shared" si="3"/>
        <v>28.535</v>
      </c>
      <c r="H7" s="4">
        <f t="shared" si="4"/>
        <v>24.841</v>
      </c>
      <c r="I7" s="4" t="str">
        <f t="shared" si="5"/>
        <v> </v>
      </c>
      <c r="J7" s="5"/>
      <c r="K7" s="5">
        <v>15.2</v>
      </c>
      <c r="L7" s="4">
        <f t="shared" si="6"/>
        <v>3</v>
      </c>
      <c r="M7" s="4">
        <f t="shared" si="7"/>
        <v>0</v>
      </c>
      <c r="N7" s="4">
        <f t="shared" si="8"/>
        <v>-3.3369</v>
      </c>
      <c r="O7" s="4" t="str">
        <f t="shared" si="9"/>
        <v/>
      </c>
      <c r="P7" s="4">
        <f t="shared" si="10"/>
        <v>15.2</v>
      </c>
    </row>
    <row r="8">
      <c r="A8" s="4">
        <v>1996.0</v>
      </c>
      <c r="B8" s="9">
        <v>159.0</v>
      </c>
      <c r="C8" s="5">
        <v>11.0</v>
      </c>
      <c r="D8" s="5">
        <v>23.3</v>
      </c>
      <c r="E8" s="4">
        <f t="shared" si="1"/>
        <v>0</v>
      </c>
      <c r="F8" s="4">
        <f t="shared" si="2"/>
        <v>0</v>
      </c>
      <c r="G8" s="4">
        <f t="shared" si="3"/>
        <v>30.43</v>
      </c>
      <c r="H8" s="4">
        <f t="shared" si="4"/>
        <v>27.297</v>
      </c>
      <c r="I8" s="4" t="str">
        <f t="shared" si="5"/>
        <v> </v>
      </c>
      <c r="J8" s="5"/>
      <c r="K8" s="5">
        <v>17.5</v>
      </c>
      <c r="L8" s="4">
        <f t="shared" si="6"/>
        <v>3</v>
      </c>
      <c r="M8" s="4">
        <f t="shared" si="7"/>
        <v>1</v>
      </c>
      <c r="N8" s="4">
        <f t="shared" si="8"/>
        <v>0.8007</v>
      </c>
      <c r="O8" s="4" t="str">
        <f t="shared" si="9"/>
        <v/>
      </c>
      <c r="P8" s="4">
        <f t="shared" si="10"/>
        <v>17.5</v>
      </c>
    </row>
    <row r="9">
      <c r="A9" s="4">
        <v>1996.0</v>
      </c>
      <c r="B9" s="9">
        <v>160.0</v>
      </c>
      <c r="C9" s="5">
        <v>10.6</v>
      </c>
      <c r="D9" s="5">
        <v>18.8</v>
      </c>
      <c r="E9" s="4">
        <f t="shared" si="1"/>
        <v>1</v>
      </c>
      <c r="F9" s="4">
        <f t="shared" si="2"/>
        <v>0</v>
      </c>
      <c r="G9" s="4">
        <f t="shared" si="3"/>
        <v>32.729</v>
      </c>
      <c r="H9" s="4">
        <f t="shared" si="4"/>
        <v>29.34</v>
      </c>
      <c r="I9" s="4" t="str">
        <f t="shared" si="5"/>
        <v> </v>
      </c>
      <c r="J9" s="5">
        <v>0.3</v>
      </c>
      <c r="K9" s="5">
        <v>15.0</v>
      </c>
      <c r="L9" s="4">
        <f t="shared" si="6"/>
        <v>8</v>
      </c>
      <c r="M9" s="4">
        <f t="shared" si="7"/>
        <v>0</v>
      </c>
      <c r="N9" s="4">
        <f t="shared" si="8"/>
        <v>-4.6761</v>
      </c>
      <c r="O9" s="4">
        <f t="shared" si="9"/>
        <v>0.3</v>
      </c>
      <c r="P9" s="4">
        <f t="shared" si="10"/>
        <v>15</v>
      </c>
    </row>
    <row r="10">
      <c r="A10" s="4">
        <v>1996.0</v>
      </c>
      <c r="B10" s="9">
        <v>161.0</v>
      </c>
      <c r="C10" s="5">
        <v>9.8</v>
      </c>
      <c r="D10" s="5">
        <v>22.5</v>
      </c>
      <c r="E10" s="4">
        <f t="shared" si="1"/>
        <v>0</v>
      </c>
      <c r="F10" s="4">
        <f t="shared" si="2"/>
        <v>0</v>
      </c>
      <c r="G10" s="4">
        <f t="shared" si="3"/>
        <v>34.317</v>
      </c>
      <c r="H10" s="4">
        <f t="shared" si="4"/>
        <v>31.865</v>
      </c>
      <c r="I10" s="4" t="str">
        <f t="shared" si="5"/>
        <v> </v>
      </c>
      <c r="J10" s="5"/>
      <c r="K10" s="5">
        <v>16.2</v>
      </c>
      <c r="L10" s="4">
        <f t="shared" si="6"/>
        <v>3</v>
      </c>
      <c r="M10" s="4">
        <f t="shared" si="7"/>
        <v>0</v>
      </c>
      <c r="N10" s="4">
        <f t="shared" si="8"/>
        <v>-7.771</v>
      </c>
      <c r="O10" s="4" t="str">
        <f t="shared" si="9"/>
        <v/>
      </c>
      <c r="P10" s="4">
        <f t="shared" si="10"/>
        <v>16.2</v>
      </c>
    </row>
    <row r="11">
      <c r="A11" s="4">
        <v>1996.0</v>
      </c>
      <c r="B11" s="9">
        <v>162.0</v>
      </c>
      <c r="C11" s="5">
        <v>10.2</v>
      </c>
      <c r="D11" s="5">
        <v>26.0</v>
      </c>
      <c r="E11" s="4">
        <f t="shared" si="1"/>
        <v>0</v>
      </c>
      <c r="F11" s="4">
        <f t="shared" si="2"/>
        <v>0</v>
      </c>
      <c r="G11" s="4">
        <f t="shared" si="3"/>
        <v>34.498</v>
      </c>
      <c r="H11" s="4">
        <f t="shared" si="4"/>
        <v>31.158</v>
      </c>
      <c r="I11" s="4" t="str">
        <f t="shared" si="5"/>
        <v> </v>
      </c>
      <c r="J11" s="5"/>
      <c r="K11" s="5">
        <v>20.0</v>
      </c>
      <c r="L11" s="4">
        <f t="shared" si="6"/>
        <v>3</v>
      </c>
      <c r="M11" s="4">
        <f t="shared" si="7"/>
        <v>0</v>
      </c>
      <c r="N11" s="4">
        <f t="shared" si="8"/>
        <v>-11.8918</v>
      </c>
      <c r="O11" s="4" t="str">
        <f t="shared" si="9"/>
        <v/>
      </c>
      <c r="P11" s="4">
        <f t="shared" si="10"/>
        <v>20</v>
      </c>
    </row>
    <row r="12">
      <c r="A12" s="4">
        <v>1996.0</v>
      </c>
      <c r="B12" s="9">
        <v>163.0</v>
      </c>
      <c r="C12" s="5">
        <v>13.0</v>
      </c>
      <c r="D12" s="5">
        <v>24.0</v>
      </c>
      <c r="E12" s="4">
        <f t="shared" si="1"/>
        <v>0</v>
      </c>
      <c r="F12" s="4">
        <f t="shared" si="2"/>
        <v>0</v>
      </c>
      <c r="G12" s="4">
        <f t="shared" si="3"/>
        <v>31.235</v>
      </c>
      <c r="H12" s="4">
        <f t="shared" si="4"/>
        <v>30.491</v>
      </c>
      <c r="I12" s="4" t="str">
        <f t="shared" si="5"/>
        <v> </v>
      </c>
      <c r="J12" s="5"/>
      <c r="K12" s="5">
        <v>19.0</v>
      </c>
      <c r="L12" s="4">
        <f t="shared" si="6"/>
        <v>3</v>
      </c>
      <c r="M12" s="4">
        <f t="shared" si="7"/>
        <v>0</v>
      </c>
      <c r="N12" s="4">
        <f t="shared" si="8"/>
        <v>-1.5352</v>
      </c>
      <c r="O12" s="4" t="str">
        <f t="shared" si="9"/>
        <v/>
      </c>
      <c r="P12" s="4">
        <f t="shared" si="10"/>
        <v>19</v>
      </c>
    </row>
    <row r="13">
      <c r="A13" s="4">
        <v>1996.0</v>
      </c>
      <c r="B13" s="9">
        <v>164.0</v>
      </c>
      <c r="C13" s="5">
        <v>8.4</v>
      </c>
      <c r="D13" s="5">
        <v>27.2</v>
      </c>
      <c r="E13" s="4">
        <f t="shared" si="1"/>
        <v>0</v>
      </c>
      <c r="F13" s="4">
        <f t="shared" si="2"/>
        <v>1</v>
      </c>
      <c r="G13" s="4">
        <f t="shared" si="3"/>
        <v>30.146</v>
      </c>
      <c r="H13" s="4">
        <f t="shared" si="4"/>
        <v>30.4715</v>
      </c>
      <c r="I13" s="4">
        <f t="shared" si="5"/>
        <v>0.3255</v>
      </c>
      <c r="J13" s="5"/>
      <c r="K13" s="5">
        <v>20.3</v>
      </c>
      <c r="L13" s="4">
        <f t="shared" si="6"/>
        <v>3</v>
      </c>
      <c r="M13" s="4">
        <f t="shared" si="7"/>
        <v>1</v>
      </c>
      <c r="N13" s="4">
        <f t="shared" si="8"/>
        <v>4.0194</v>
      </c>
      <c r="O13" s="4" t="str">
        <f t="shared" si="9"/>
        <v/>
      </c>
      <c r="P13" s="4">
        <f t="shared" si="10"/>
        <v>20.3</v>
      </c>
    </row>
    <row r="14">
      <c r="A14" s="4">
        <v>1996.0</v>
      </c>
      <c r="B14" s="9">
        <v>165.0</v>
      </c>
      <c r="C14" s="5">
        <v>16.8</v>
      </c>
      <c r="D14" s="5">
        <v>28.0</v>
      </c>
      <c r="E14" s="4">
        <f t="shared" si="1"/>
        <v>1</v>
      </c>
      <c r="F14" s="4">
        <f t="shared" si="2"/>
        <v>1</v>
      </c>
      <c r="G14" s="4">
        <f t="shared" si="3"/>
        <v>31.158</v>
      </c>
      <c r="H14" s="4">
        <f t="shared" si="4"/>
        <v>33.3635</v>
      </c>
      <c r="I14" s="4">
        <f t="shared" si="5"/>
        <v>2.2055</v>
      </c>
      <c r="J14" s="5">
        <v>2.7</v>
      </c>
      <c r="K14" s="5">
        <v>21.3</v>
      </c>
      <c r="L14" s="4">
        <f t="shared" si="6"/>
        <v>8</v>
      </c>
      <c r="M14" s="4">
        <f t="shared" si="7"/>
        <v>1</v>
      </c>
      <c r="N14" s="4">
        <f t="shared" si="8"/>
        <v>8.7697</v>
      </c>
      <c r="O14" s="4">
        <f t="shared" si="9"/>
        <v>2.7</v>
      </c>
      <c r="P14" s="4">
        <f t="shared" si="10"/>
        <v>21.3</v>
      </c>
    </row>
    <row r="15">
      <c r="A15" s="4">
        <v>1996.0</v>
      </c>
      <c r="B15" s="9">
        <v>166.0</v>
      </c>
      <c r="C15" s="5">
        <v>13.0</v>
      </c>
      <c r="D15" s="5">
        <v>19.8</v>
      </c>
      <c r="E15" s="4">
        <f t="shared" si="1"/>
        <v>1</v>
      </c>
      <c r="F15" s="4">
        <f t="shared" si="2"/>
        <v>1</v>
      </c>
      <c r="G15" s="4">
        <f t="shared" si="3"/>
        <v>22.907</v>
      </c>
      <c r="H15" s="4">
        <f t="shared" si="4"/>
        <v>26.3475</v>
      </c>
      <c r="I15" s="4">
        <f t="shared" si="5"/>
        <v>3.4405</v>
      </c>
      <c r="J15" s="5">
        <v>1.4</v>
      </c>
      <c r="K15" s="5">
        <v>16.4</v>
      </c>
      <c r="L15" s="4">
        <f t="shared" si="6"/>
        <v>8</v>
      </c>
      <c r="M15" s="4">
        <f t="shared" si="7"/>
        <v>1</v>
      </c>
      <c r="N15" s="4">
        <f t="shared" si="8"/>
        <v>10.0724</v>
      </c>
      <c r="O15" s="4">
        <f t="shared" si="9"/>
        <v>1.4</v>
      </c>
      <c r="P15" s="4">
        <f t="shared" si="10"/>
        <v>16.4</v>
      </c>
    </row>
    <row r="16">
      <c r="A16" s="4">
        <v>1996.0</v>
      </c>
      <c r="B16" s="9">
        <v>167.0</v>
      </c>
      <c r="C16" s="5">
        <v>10.9</v>
      </c>
      <c r="D16" s="5">
        <v>16.1</v>
      </c>
      <c r="E16" s="4">
        <f t="shared" si="1"/>
        <v>1</v>
      </c>
      <c r="F16" s="4">
        <f t="shared" si="2"/>
        <v>1</v>
      </c>
      <c r="G16" s="4">
        <f t="shared" si="3"/>
        <v>23.547</v>
      </c>
      <c r="H16" s="4">
        <f t="shared" si="4"/>
        <v>25.0225</v>
      </c>
      <c r="I16" s="4">
        <f t="shared" si="5"/>
        <v>1.4755</v>
      </c>
      <c r="J16" s="5">
        <v>5.8</v>
      </c>
      <c r="K16" s="5">
        <v>13.1</v>
      </c>
      <c r="L16" s="4">
        <f t="shared" si="6"/>
        <v>8</v>
      </c>
      <c r="M16" s="4">
        <f t="shared" si="7"/>
        <v>1</v>
      </c>
      <c r="N16" s="4">
        <f t="shared" si="8"/>
        <v>11.2241</v>
      </c>
      <c r="O16" s="4">
        <f t="shared" si="9"/>
        <v>5.8</v>
      </c>
      <c r="P16" s="4">
        <f t="shared" si="10"/>
        <v>13.1</v>
      </c>
    </row>
    <row r="17">
      <c r="A17" s="4">
        <v>1996.0</v>
      </c>
      <c r="B17" s="9">
        <v>168.0</v>
      </c>
      <c r="C17" s="5">
        <v>8.5</v>
      </c>
      <c r="D17" s="5">
        <v>16.2</v>
      </c>
      <c r="E17" s="4">
        <f t="shared" si="1"/>
        <v>1</v>
      </c>
      <c r="F17" s="4">
        <f t="shared" si="2"/>
        <v>1</v>
      </c>
      <c r="G17" s="4">
        <f t="shared" si="3"/>
        <v>21.32</v>
      </c>
      <c r="H17" s="4">
        <f t="shared" si="4"/>
        <v>23.507</v>
      </c>
      <c r="I17" s="4">
        <f t="shared" si="5"/>
        <v>2.187</v>
      </c>
      <c r="J17" s="5">
        <v>0.5</v>
      </c>
      <c r="K17" s="5">
        <v>11.6</v>
      </c>
      <c r="L17" s="4">
        <f t="shared" si="6"/>
        <v>8</v>
      </c>
      <c r="M17" s="4">
        <f t="shared" si="7"/>
        <v>1</v>
      </c>
      <c r="N17" s="4">
        <f t="shared" si="8"/>
        <v>10.7162</v>
      </c>
      <c r="O17" s="4">
        <f t="shared" si="9"/>
        <v>0.5</v>
      </c>
      <c r="P17" s="4">
        <f t="shared" si="10"/>
        <v>11.6</v>
      </c>
    </row>
    <row r="18">
      <c r="A18" s="4">
        <v>1996.0</v>
      </c>
      <c r="B18" s="9">
        <v>169.0</v>
      </c>
      <c r="C18" s="5">
        <v>8.3</v>
      </c>
      <c r="D18" s="5">
        <v>15.4</v>
      </c>
      <c r="E18" s="4">
        <f t="shared" si="1"/>
        <v>1</v>
      </c>
      <c r="F18" s="4">
        <f t="shared" si="2"/>
        <v>1</v>
      </c>
      <c r="G18" s="4">
        <f t="shared" si="3"/>
        <v>21.566</v>
      </c>
      <c r="H18" s="4">
        <f t="shared" si="4"/>
        <v>23.575</v>
      </c>
      <c r="I18" s="4">
        <f t="shared" si="5"/>
        <v>2.009</v>
      </c>
      <c r="J18" s="5">
        <v>4.9</v>
      </c>
      <c r="K18" s="5">
        <v>10.8</v>
      </c>
      <c r="L18" s="4">
        <f t="shared" si="6"/>
        <v>8</v>
      </c>
      <c r="M18" s="4">
        <f t="shared" si="7"/>
        <v>1</v>
      </c>
      <c r="N18" s="4">
        <f t="shared" si="8"/>
        <v>4.3754</v>
      </c>
      <c r="O18" s="4">
        <f t="shared" si="9"/>
        <v>4.9</v>
      </c>
      <c r="P18" s="4">
        <f t="shared" si="10"/>
        <v>10.8</v>
      </c>
    </row>
    <row r="19">
      <c r="A19" s="4">
        <v>1996.0</v>
      </c>
      <c r="B19" s="9">
        <v>170.0</v>
      </c>
      <c r="C19" s="5">
        <v>7.3</v>
      </c>
      <c r="D19" s="5">
        <v>15.7</v>
      </c>
      <c r="E19" s="4">
        <f t="shared" si="1"/>
        <v>1</v>
      </c>
      <c r="F19" s="4">
        <f t="shared" si="2"/>
        <v>1</v>
      </c>
      <c r="G19" s="4">
        <f t="shared" si="3"/>
        <v>25.369</v>
      </c>
      <c r="H19" s="4">
        <f t="shared" si="4"/>
        <v>25.5265</v>
      </c>
      <c r="I19" s="4">
        <f t="shared" si="5"/>
        <v>0.1575</v>
      </c>
      <c r="J19" s="5">
        <v>9.1</v>
      </c>
      <c r="K19" s="5">
        <v>10.6</v>
      </c>
      <c r="L19" s="4">
        <f t="shared" si="6"/>
        <v>8</v>
      </c>
      <c r="M19" s="4">
        <f t="shared" si="7"/>
        <v>0</v>
      </c>
      <c r="N19" s="4">
        <f t="shared" si="8"/>
        <v>-1.1795</v>
      </c>
      <c r="O19" s="4">
        <f t="shared" si="9"/>
        <v>9.1</v>
      </c>
      <c r="P19" s="4">
        <f t="shared" si="10"/>
        <v>10.6</v>
      </c>
    </row>
    <row r="20">
      <c r="A20" s="4">
        <v>1996.0</v>
      </c>
      <c r="B20" s="9">
        <v>171.0</v>
      </c>
      <c r="C20" s="5">
        <v>5.2</v>
      </c>
      <c r="D20" s="5">
        <v>22.0</v>
      </c>
      <c r="E20" s="4">
        <f t="shared" si="1"/>
        <v>0</v>
      </c>
      <c r="F20" s="4">
        <f t="shared" si="2"/>
        <v>0</v>
      </c>
      <c r="G20" s="4">
        <f t="shared" si="3"/>
        <v>27.664</v>
      </c>
      <c r="H20" s="4">
        <f t="shared" si="4"/>
        <v>25.9025</v>
      </c>
      <c r="I20" s="4" t="str">
        <f t="shared" si="5"/>
        <v> </v>
      </c>
      <c r="J20" s="5"/>
      <c r="K20" s="5">
        <v>15.0</v>
      </c>
      <c r="L20" s="4">
        <f t="shared" si="6"/>
        <v>3</v>
      </c>
      <c r="M20" s="4">
        <f t="shared" si="7"/>
        <v>0</v>
      </c>
      <c r="N20" s="4">
        <f t="shared" si="8"/>
        <v>-2.0813</v>
      </c>
      <c r="O20" s="4" t="str">
        <f t="shared" si="9"/>
        <v/>
      </c>
      <c r="P20" s="4">
        <f t="shared" si="10"/>
        <v>15</v>
      </c>
    </row>
    <row r="21" ht="15.75" customHeight="1">
      <c r="A21" s="4">
        <v>1996.0</v>
      </c>
      <c r="B21" s="9">
        <v>172.0</v>
      </c>
      <c r="C21" s="5">
        <v>12.2</v>
      </c>
      <c r="D21" s="5">
        <v>20.1</v>
      </c>
      <c r="E21" s="4">
        <f t="shared" si="1"/>
        <v>0</v>
      </c>
      <c r="F21" s="4">
        <f t="shared" si="2"/>
        <v>0</v>
      </c>
      <c r="G21" s="4">
        <f t="shared" si="3"/>
        <v>36.028</v>
      </c>
      <c r="H21" s="4">
        <f t="shared" si="4"/>
        <v>35.153</v>
      </c>
      <c r="I21" s="4" t="str">
        <f t="shared" si="5"/>
        <v> </v>
      </c>
      <c r="J21" s="5"/>
      <c r="K21" s="5">
        <v>16.0</v>
      </c>
      <c r="L21" s="4">
        <f t="shared" si="6"/>
        <v>3</v>
      </c>
      <c r="M21" s="4">
        <f t="shared" si="7"/>
        <v>1</v>
      </c>
      <c r="N21" s="4">
        <f t="shared" si="8"/>
        <v>6.1776</v>
      </c>
      <c r="O21" s="4" t="str">
        <f t="shared" si="9"/>
        <v/>
      </c>
      <c r="P21" s="4">
        <f t="shared" si="10"/>
        <v>16</v>
      </c>
    </row>
    <row r="22" ht="15.75" customHeight="1">
      <c r="A22" s="4">
        <v>1996.0</v>
      </c>
      <c r="B22" s="9">
        <v>173.0</v>
      </c>
      <c r="C22" s="5">
        <v>12.5</v>
      </c>
      <c r="D22" s="5">
        <v>19.2</v>
      </c>
      <c r="E22" s="4">
        <f t="shared" si="1"/>
        <v>1</v>
      </c>
      <c r="F22" s="4">
        <f t="shared" si="2"/>
        <v>0</v>
      </c>
      <c r="G22" s="4">
        <f t="shared" si="3"/>
        <v>32.495</v>
      </c>
      <c r="H22" s="4">
        <f t="shared" si="4"/>
        <v>31.3135</v>
      </c>
      <c r="I22" s="4" t="str">
        <f t="shared" si="5"/>
        <v> </v>
      </c>
      <c r="J22" s="5">
        <v>0.5</v>
      </c>
      <c r="K22" s="5">
        <v>15.8</v>
      </c>
      <c r="L22" s="4">
        <f t="shared" si="6"/>
        <v>8</v>
      </c>
      <c r="M22" s="4">
        <f t="shared" si="7"/>
        <v>1</v>
      </c>
      <c r="N22" s="4">
        <f t="shared" si="8"/>
        <v>9.0644</v>
      </c>
      <c r="O22" s="4">
        <f t="shared" si="9"/>
        <v>0.5</v>
      </c>
      <c r="P22" s="4">
        <f t="shared" si="10"/>
        <v>15.8</v>
      </c>
    </row>
    <row r="23" ht="15.75" customHeight="1">
      <c r="A23" s="4">
        <v>1996.0</v>
      </c>
      <c r="B23" s="9">
        <v>174.0</v>
      </c>
      <c r="C23" s="5">
        <v>10.9</v>
      </c>
      <c r="D23" s="5">
        <v>23.9</v>
      </c>
      <c r="E23" s="4">
        <f t="shared" si="1"/>
        <v>1</v>
      </c>
      <c r="F23" s="4">
        <f t="shared" si="2"/>
        <v>0</v>
      </c>
      <c r="G23" s="4">
        <f t="shared" si="3"/>
        <v>32.249</v>
      </c>
      <c r="H23" s="4">
        <f t="shared" si="4"/>
        <v>30.7705</v>
      </c>
      <c r="I23" s="4" t="str">
        <f t="shared" si="5"/>
        <v> </v>
      </c>
      <c r="J23" s="5">
        <v>0.2</v>
      </c>
      <c r="K23" s="5">
        <v>18.2</v>
      </c>
      <c r="L23" s="4">
        <f t="shared" si="6"/>
        <v>8</v>
      </c>
      <c r="M23" s="4">
        <f t="shared" si="7"/>
        <v>1</v>
      </c>
      <c r="N23" s="4">
        <f t="shared" si="8"/>
        <v>1.3134</v>
      </c>
      <c r="O23" s="4">
        <f t="shared" si="9"/>
        <v>0.2</v>
      </c>
      <c r="P23" s="4">
        <f t="shared" si="10"/>
        <v>18.2</v>
      </c>
    </row>
    <row r="24" ht="15.75" customHeight="1">
      <c r="A24" s="4">
        <v>1996.0</v>
      </c>
      <c r="B24" s="9">
        <v>175.0</v>
      </c>
      <c r="C24" s="5">
        <v>17.8</v>
      </c>
      <c r="D24" s="5">
        <v>24.0</v>
      </c>
      <c r="E24" s="4">
        <f t="shared" si="1"/>
        <v>0</v>
      </c>
      <c r="F24" s="4">
        <f t="shared" si="2"/>
        <v>0</v>
      </c>
      <c r="G24" s="4">
        <f t="shared" si="3"/>
        <v>31.842</v>
      </c>
      <c r="H24" s="4">
        <f t="shared" si="4"/>
        <v>29.2785</v>
      </c>
      <c r="I24" s="4" t="str">
        <f t="shared" si="5"/>
        <v> </v>
      </c>
      <c r="J24" s="5"/>
      <c r="K24" s="5">
        <v>20.8</v>
      </c>
      <c r="L24" s="4">
        <f t="shared" si="6"/>
        <v>3</v>
      </c>
      <c r="M24" s="4">
        <f t="shared" si="7"/>
        <v>1</v>
      </c>
      <c r="N24" s="4">
        <f t="shared" si="8"/>
        <v>0.2568</v>
      </c>
      <c r="O24" s="4" t="str">
        <f t="shared" si="9"/>
        <v/>
      </c>
      <c r="P24" s="4">
        <f t="shared" si="10"/>
        <v>20.8</v>
      </c>
    </row>
    <row r="25" ht="15.75" customHeight="1">
      <c r="A25" s="4">
        <v>1996.0</v>
      </c>
      <c r="B25" s="9">
        <v>176.0</v>
      </c>
      <c r="C25" s="5">
        <v>17.7</v>
      </c>
      <c r="D25" s="5">
        <v>30.4</v>
      </c>
      <c r="E25" s="4">
        <f t="shared" si="1"/>
        <v>1</v>
      </c>
      <c r="F25" s="4">
        <f t="shared" si="2"/>
        <v>1</v>
      </c>
      <c r="G25" s="4">
        <f t="shared" si="3"/>
        <v>30.231</v>
      </c>
      <c r="H25" s="4">
        <f t="shared" si="4"/>
        <v>30.4025</v>
      </c>
      <c r="I25" s="4">
        <f t="shared" si="5"/>
        <v>0.1715</v>
      </c>
      <c r="J25" s="5">
        <v>0.7</v>
      </c>
      <c r="K25" s="5">
        <v>23.2</v>
      </c>
      <c r="L25" s="4">
        <f t="shared" si="6"/>
        <v>8</v>
      </c>
      <c r="M25" s="4">
        <f t="shared" si="7"/>
        <v>0</v>
      </c>
      <c r="N25" s="4">
        <f t="shared" si="8"/>
        <v>-7.6385</v>
      </c>
      <c r="O25" s="4">
        <f t="shared" si="9"/>
        <v>0.7</v>
      </c>
      <c r="P25" s="4">
        <f t="shared" si="10"/>
        <v>23.2</v>
      </c>
    </row>
    <row r="26" ht="15.75" customHeight="1">
      <c r="A26" s="4">
        <v>1996.0</v>
      </c>
      <c r="B26" s="9">
        <v>177.0</v>
      </c>
      <c r="C26" s="5">
        <v>14.1</v>
      </c>
      <c r="D26" s="5">
        <v>19.9</v>
      </c>
      <c r="E26" s="4">
        <f t="shared" si="1"/>
        <v>0</v>
      </c>
      <c r="F26" s="4">
        <f t="shared" si="2"/>
        <v>1</v>
      </c>
      <c r="G26" s="4">
        <f t="shared" si="3"/>
        <v>19.933</v>
      </c>
      <c r="H26" s="4">
        <f t="shared" si="4"/>
        <v>20.1115</v>
      </c>
      <c r="I26" s="4">
        <f t="shared" si="5"/>
        <v>0.1785</v>
      </c>
      <c r="J26" s="5"/>
      <c r="K26" s="5">
        <v>16.7</v>
      </c>
      <c r="L26" s="4">
        <f t="shared" si="6"/>
        <v>3</v>
      </c>
      <c r="M26" s="4">
        <f t="shared" si="7"/>
        <v>0</v>
      </c>
      <c r="N26" s="4">
        <f t="shared" si="8"/>
        <v>-5.5161</v>
      </c>
      <c r="O26" s="4" t="str">
        <f t="shared" si="9"/>
        <v/>
      </c>
      <c r="P26" s="4">
        <f t="shared" si="10"/>
        <v>16.7</v>
      </c>
    </row>
    <row r="27" ht="15.75" customHeight="1">
      <c r="A27" s="4">
        <v>1996.0</v>
      </c>
      <c r="B27" s="9">
        <v>178.0</v>
      </c>
      <c r="C27" s="5">
        <v>8.5</v>
      </c>
      <c r="D27" s="5">
        <v>19.1</v>
      </c>
      <c r="E27" s="4">
        <f t="shared" si="1"/>
        <v>0</v>
      </c>
      <c r="F27" s="4">
        <f t="shared" si="2"/>
        <v>0</v>
      </c>
      <c r="G27" s="4">
        <f t="shared" si="3"/>
        <v>21.728</v>
      </c>
      <c r="H27" s="4">
        <f t="shared" si="4"/>
        <v>21.1585</v>
      </c>
      <c r="I27" s="4" t="str">
        <f t="shared" si="5"/>
        <v> </v>
      </c>
      <c r="J27" s="5"/>
      <c r="K27" s="5">
        <v>15.1</v>
      </c>
      <c r="L27" s="4">
        <f t="shared" si="6"/>
        <v>3</v>
      </c>
      <c r="M27" s="4">
        <f t="shared" si="7"/>
        <v>1</v>
      </c>
      <c r="N27" s="4">
        <f t="shared" si="8"/>
        <v>8.7954</v>
      </c>
      <c r="O27" s="4" t="str">
        <f t="shared" si="9"/>
        <v/>
      </c>
      <c r="P27" s="4">
        <f t="shared" si="10"/>
        <v>15.1</v>
      </c>
    </row>
    <row r="28" ht="15.75" customHeight="1">
      <c r="A28" s="4">
        <v>1996.0</v>
      </c>
      <c r="B28" s="9">
        <v>179.0</v>
      </c>
      <c r="C28" s="5">
        <v>5.3</v>
      </c>
      <c r="D28" s="5">
        <v>21.1</v>
      </c>
      <c r="E28" s="4">
        <f t="shared" si="1"/>
        <v>1</v>
      </c>
      <c r="F28" s="4">
        <f t="shared" si="2"/>
        <v>1</v>
      </c>
      <c r="G28" s="4">
        <f t="shared" si="3"/>
        <v>24.344</v>
      </c>
      <c r="H28" s="4">
        <f t="shared" si="4"/>
        <v>26.0495</v>
      </c>
      <c r="I28" s="4">
        <f t="shared" si="5"/>
        <v>1.7055</v>
      </c>
      <c r="J28" s="5">
        <v>3.3</v>
      </c>
      <c r="K28" s="5">
        <v>14.3</v>
      </c>
      <c r="L28" s="4">
        <f t="shared" si="6"/>
        <v>8</v>
      </c>
      <c r="M28" s="4">
        <f t="shared" si="7"/>
        <v>1</v>
      </c>
      <c r="N28" s="4">
        <f t="shared" si="8"/>
        <v>11.6701</v>
      </c>
      <c r="O28" s="4">
        <f t="shared" si="9"/>
        <v>3.3</v>
      </c>
      <c r="P28" s="4">
        <f t="shared" si="10"/>
        <v>14.3</v>
      </c>
    </row>
    <row r="29" ht="15.75" customHeight="1">
      <c r="A29" s="4">
        <v>1996.0</v>
      </c>
      <c r="B29" s="9">
        <v>180.0</v>
      </c>
      <c r="C29" s="5">
        <v>11.3</v>
      </c>
      <c r="D29" s="5">
        <v>13.0</v>
      </c>
      <c r="E29" s="4">
        <f t="shared" si="1"/>
        <v>1</v>
      </c>
      <c r="F29" s="4">
        <f t="shared" si="2"/>
        <v>1</v>
      </c>
      <c r="G29" s="4">
        <f t="shared" si="3"/>
        <v>7.751</v>
      </c>
      <c r="H29" s="4">
        <f t="shared" si="4"/>
        <v>10.644</v>
      </c>
      <c r="I29" s="4">
        <f t="shared" si="5"/>
        <v>2.893</v>
      </c>
      <c r="J29" s="5">
        <v>14.8</v>
      </c>
      <c r="K29" s="5">
        <v>12.1</v>
      </c>
      <c r="L29" s="4">
        <f t="shared" si="6"/>
        <v>8</v>
      </c>
      <c r="M29" s="4">
        <f t="shared" si="7"/>
        <v>1</v>
      </c>
      <c r="N29" s="4">
        <f t="shared" si="8"/>
        <v>9.0181</v>
      </c>
      <c r="O29" s="4">
        <f t="shared" si="9"/>
        <v>14.8</v>
      </c>
      <c r="P29" s="4">
        <f t="shared" si="10"/>
        <v>12.1</v>
      </c>
    </row>
    <row r="30" ht="15.75" customHeight="1">
      <c r="A30" s="4">
        <v>1996.0</v>
      </c>
      <c r="B30" s="9">
        <v>181.0</v>
      </c>
      <c r="C30" s="5">
        <v>10.1</v>
      </c>
      <c r="D30" s="5">
        <v>13.0</v>
      </c>
      <c r="E30" s="4">
        <f t="shared" si="1"/>
        <v>1</v>
      </c>
      <c r="F30" s="4">
        <f t="shared" si="2"/>
        <v>1</v>
      </c>
      <c r="G30" s="4">
        <f t="shared" si="3"/>
        <v>17.651</v>
      </c>
      <c r="H30" s="4">
        <f t="shared" si="4"/>
        <v>20.277</v>
      </c>
      <c r="I30" s="4">
        <f t="shared" si="5"/>
        <v>2.626</v>
      </c>
      <c r="J30" s="5">
        <v>24.6</v>
      </c>
      <c r="K30" s="5">
        <v>11.5</v>
      </c>
      <c r="L30" s="4">
        <f t="shared" si="6"/>
        <v>8</v>
      </c>
      <c r="M30" s="4">
        <f t="shared" si="7"/>
        <v>1</v>
      </c>
      <c r="N30" s="4">
        <f t="shared" si="8"/>
        <v>1.3123</v>
      </c>
      <c r="O30" s="4">
        <f t="shared" si="9"/>
        <v>24.6</v>
      </c>
      <c r="P30" s="4">
        <f t="shared" si="10"/>
        <v>11.5</v>
      </c>
    </row>
    <row r="31" ht="15.75" customHeight="1">
      <c r="A31" s="4">
        <v>1996.0</v>
      </c>
      <c r="B31" s="9">
        <v>182.0</v>
      </c>
      <c r="C31" s="5">
        <v>11.5</v>
      </c>
      <c r="D31" s="5">
        <v>21.0</v>
      </c>
      <c r="E31" s="4">
        <f t="shared" si="1"/>
        <v>0</v>
      </c>
      <c r="F31" s="4">
        <f t="shared" si="2"/>
        <v>0</v>
      </c>
      <c r="G31" s="4">
        <f t="shared" si="3"/>
        <v>19.01</v>
      </c>
      <c r="H31" s="4">
        <f t="shared" si="4"/>
        <v>15.2895</v>
      </c>
      <c r="I31" s="4" t="str">
        <f t="shared" si="5"/>
        <v> </v>
      </c>
      <c r="J31" s="5"/>
      <c r="K31" s="5">
        <v>15.8</v>
      </c>
      <c r="L31" s="4">
        <f t="shared" si="6"/>
        <v>3</v>
      </c>
      <c r="M31" s="4">
        <f t="shared" si="7"/>
        <v>1</v>
      </c>
      <c r="N31" s="4">
        <f t="shared" si="8"/>
        <v>4.3869</v>
      </c>
      <c r="O31" s="4" t="str">
        <f t="shared" si="9"/>
        <v/>
      </c>
      <c r="P31" s="4">
        <f t="shared" si="10"/>
        <v>15.8</v>
      </c>
    </row>
    <row r="32" ht="15.75" customHeight="1">
      <c r="A32" s="4">
        <v>1996.0</v>
      </c>
      <c r="B32" s="9">
        <v>183.0</v>
      </c>
      <c r="C32" s="5">
        <v>10.0</v>
      </c>
      <c r="D32" s="5">
        <v>23.4</v>
      </c>
      <c r="E32" s="4">
        <f t="shared" si="1"/>
        <v>1</v>
      </c>
      <c r="F32" s="4">
        <f t="shared" si="2"/>
        <v>1</v>
      </c>
      <c r="G32" s="4">
        <f t="shared" si="3"/>
        <v>23.199</v>
      </c>
      <c r="H32" s="4">
        <f t="shared" si="4"/>
        <v>23.677</v>
      </c>
      <c r="I32" s="4">
        <f t="shared" si="5"/>
        <v>0.478</v>
      </c>
      <c r="J32" s="5">
        <v>6.6</v>
      </c>
      <c r="K32" s="5">
        <v>15.5</v>
      </c>
      <c r="L32" s="4">
        <f t="shared" si="6"/>
        <v>8</v>
      </c>
      <c r="M32" s="4">
        <f t="shared" si="7"/>
        <v>1</v>
      </c>
      <c r="N32" s="4">
        <f t="shared" si="8"/>
        <v>3.6978</v>
      </c>
      <c r="O32" s="4">
        <f t="shared" si="9"/>
        <v>6.6</v>
      </c>
      <c r="P32" s="4">
        <f t="shared" si="10"/>
        <v>15.5</v>
      </c>
    </row>
    <row r="33" ht="15.75" customHeight="1">
      <c r="A33" s="4">
        <v>1996.0</v>
      </c>
      <c r="B33" s="9">
        <v>184.0</v>
      </c>
      <c r="C33" s="5">
        <v>12.2</v>
      </c>
      <c r="D33" s="5">
        <v>2.7</v>
      </c>
      <c r="E33" s="4">
        <f t="shared" si="1"/>
        <v>0</v>
      </c>
      <c r="F33" s="4">
        <f t="shared" si="2"/>
        <v>1</v>
      </c>
      <c r="G33" s="4">
        <f t="shared" si="3"/>
        <v>16.346</v>
      </c>
      <c r="H33" s="4">
        <f t="shared" si="4"/>
        <v>16.6355</v>
      </c>
      <c r="I33" s="4">
        <f t="shared" si="5"/>
        <v>0.2895</v>
      </c>
      <c r="J33" s="5"/>
      <c r="K33" s="5">
        <v>15.2</v>
      </c>
      <c r="L33" s="4">
        <f t="shared" si="6"/>
        <v>3</v>
      </c>
      <c r="M33" s="4">
        <f t="shared" si="7"/>
        <v>1</v>
      </c>
      <c r="N33" s="4">
        <f t="shared" si="8"/>
        <v>5.9604</v>
      </c>
      <c r="O33" s="4" t="str">
        <f t="shared" si="9"/>
        <v/>
      </c>
      <c r="P33" s="4">
        <f t="shared" si="10"/>
        <v>15.2</v>
      </c>
    </row>
    <row r="34" ht="15.75" customHeight="1">
      <c r="A34" s="4">
        <v>1996.0</v>
      </c>
      <c r="B34" s="9">
        <v>185.0</v>
      </c>
      <c r="C34" s="5">
        <v>11.3</v>
      </c>
      <c r="D34" s="5">
        <v>19.7</v>
      </c>
      <c r="E34" s="4">
        <f t="shared" si="1"/>
        <v>1</v>
      </c>
      <c r="F34" s="4">
        <f t="shared" si="2"/>
        <v>0</v>
      </c>
      <c r="G34" s="4">
        <f t="shared" si="3"/>
        <v>33.556</v>
      </c>
      <c r="H34" s="4">
        <f t="shared" si="4"/>
        <v>32.012</v>
      </c>
      <c r="I34" s="4" t="str">
        <f t="shared" si="5"/>
        <v> </v>
      </c>
      <c r="J34" s="5">
        <v>3.9</v>
      </c>
      <c r="K34" s="5">
        <v>15.9</v>
      </c>
      <c r="L34" s="4">
        <f t="shared" si="6"/>
        <v>8</v>
      </c>
      <c r="M34" s="4">
        <f t="shared" si="7"/>
        <v>0</v>
      </c>
      <c r="N34" s="4">
        <f t="shared" si="8"/>
        <v>-1.0117</v>
      </c>
      <c r="O34" s="4">
        <f t="shared" si="9"/>
        <v>3.9</v>
      </c>
      <c r="P34" s="4">
        <f t="shared" si="10"/>
        <v>15.9</v>
      </c>
    </row>
    <row r="35" ht="15.75" customHeight="1">
      <c r="A35" s="4">
        <v>1996.0</v>
      </c>
      <c r="B35" s="9">
        <v>186.0</v>
      </c>
      <c r="C35" s="5">
        <v>10.8</v>
      </c>
      <c r="D35" s="5">
        <v>19.4</v>
      </c>
      <c r="E35" s="4">
        <f t="shared" si="1"/>
        <v>0</v>
      </c>
      <c r="F35" s="4">
        <f t="shared" si="2"/>
        <v>0</v>
      </c>
      <c r="G35" s="4">
        <f t="shared" si="3"/>
        <v>30.918</v>
      </c>
      <c r="H35" s="4">
        <f t="shared" si="4"/>
        <v>27.793</v>
      </c>
      <c r="I35" s="4" t="str">
        <f t="shared" si="5"/>
        <v> </v>
      </c>
      <c r="J35" s="5"/>
      <c r="K35" s="5">
        <v>15.3</v>
      </c>
      <c r="L35" s="4">
        <f t="shared" si="6"/>
        <v>3</v>
      </c>
      <c r="M35" s="4">
        <f t="shared" si="7"/>
        <v>1</v>
      </c>
      <c r="N35" s="4">
        <f t="shared" si="8"/>
        <v>3.5132</v>
      </c>
      <c r="O35" s="4" t="str">
        <f t="shared" si="9"/>
        <v/>
      </c>
      <c r="P35" s="4">
        <f t="shared" si="10"/>
        <v>15.3</v>
      </c>
    </row>
    <row r="36" ht="15.75" customHeight="1">
      <c r="A36" s="4">
        <v>1996.0</v>
      </c>
      <c r="B36" s="9">
        <v>187.0</v>
      </c>
      <c r="C36" s="5">
        <v>7.9</v>
      </c>
      <c r="D36" s="5">
        <v>23.3</v>
      </c>
      <c r="E36" s="4">
        <f t="shared" si="1"/>
        <v>1</v>
      </c>
      <c r="F36" s="4">
        <f t="shared" si="2"/>
        <v>0</v>
      </c>
      <c r="G36" s="4">
        <f t="shared" si="3"/>
        <v>39.642</v>
      </c>
      <c r="H36" s="4">
        <f t="shared" si="4"/>
        <v>35.7095</v>
      </c>
      <c r="I36" s="4" t="str">
        <f t="shared" si="5"/>
        <v> </v>
      </c>
      <c r="J36" s="5">
        <v>2.4</v>
      </c>
      <c r="K36" s="5">
        <v>17.0</v>
      </c>
      <c r="L36" s="4">
        <f t="shared" si="6"/>
        <v>8</v>
      </c>
      <c r="M36" s="4">
        <f t="shared" si="7"/>
        <v>0</v>
      </c>
      <c r="N36" s="4">
        <f t="shared" si="8"/>
        <v>-3.8887</v>
      </c>
      <c r="O36" s="4">
        <f t="shared" si="9"/>
        <v>2.4</v>
      </c>
      <c r="P36" s="4">
        <f t="shared" si="10"/>
        <v>17</v>
      </c>
    </row>
    <row r="37" ht="15.75" customHeight="1">
      <c r="A37" s="4">
        <v>1996.0</v>
      </c>
      <c r="B37" s="9">
        <v>188.0</v>
      </c>
      <c r="C37" s="5">
        <v>14.0</v>
      </c>
      <c r="D37" s="5">
        <v>25.6</v>
      </c>
      <c r="E37" s="4">
        <f t="shared" si="1"/>
        <v>0</v>
      </c>
      <c r="F37" s="4">
        <f t="shared" si="2"/>
        <v>0</v>
      </c>
      <c r="G37" s="4">
        <f t="shared" si="3"/>
        <v>42.251</v>
      </c>
      <c r="H37" s="4">
        <f t="shared" si="4"/>
        <v>36.0955</v>
      </c>
      <c r="I37" s="4" t="str">
        <f t="shared" si="5"/>
        <v> </v>
      </c>
      <c r="J37" s="5"/>
      <c r="K37" s="5">
        <v>20.0</v>
      </c>
      <c r="L37" s="4">
        <f t="shared" si="6"/>
        <v>3</v>
      </c>
      <c r="M37" s="4">
        <f t="shared" si="7"/>
        <v>0</v>
      </c>
      <c r="N37" s="4">
        <f t="shared" si="8"/>
        <v>-7.2358</v>
      </c>
      <c r="O37" s="4" t="str">
        <f t="shared" si="9"/>
        <v/>
      </c>
      <c r="P37" s="4">
        <f t="shared" si="10"/>
        <v>20</v>
      </c>
    </row>
    <row r="38" ht="15.75" customHeight="1">
      <c r="A38" s="4">
        <v>1996.0</v>
      </c>
      <c r="B38" s="9">
        <v>189.0</v>
      </c>
      <c r="C38" s="5">
        <v>15.2</v>
      </c>
      <c r="D38" s="5">
        <v>26.5</v>
      </c>
      <c r="E38" s="4">
        <f t="shared" si="1"/>
        <v>0</v>
      </c>
      <c r="F38" s="4">
        <f t="shared" si="2"/>
        <v>0</v>
      </c>
      <c r="G38" s="4">
        <f t="shared" si="3"/>
        <v>47.262</v>
      </c>
      <c r="H38" s="4">
        <f t="shared" si="4"/>
        <v>40.2075</v>
      </c>
      <c r="I38" s="4" t="str">
        <f t="shared" si="5"/>
        <v> </v>
      </c>
      <c r="J38" s="5"/>
      <c r="K38" s="5">
        <v>21.5</v>
      </c>
      <c r="L38" s="4">
        <f t="shared" si="6"/>
        <v>3</v>
      </c>
      <c r="M38" s="4">
        <f t="shared" si="7"/>
        <v>0</v>
      </c>
      <c r="N38" s="4">
        <f t="shared" si="8"/>
        <v>-8.9118</v>
      </c>
      <c r="O38" s="4" t="str">
        <f t="shared" si="9"/>
        <v/>
      </c>
      <c r="P38" s="4">
        <f t="shared" si="10"/>
        <v>21.5</v>
      </c>
    </row>
    <row r="39" ht="15.75" customHeight="1">
      <c r="A39" s="4">
        <v>1996.0</v>
      </c>
      <c r="B39" s="9">
        <v>190.0</v>
      </c>
      <c r="C39" s="5">
        <v>16.5</v>
      </c>
      <c r="D39" s="5">
        <v>24.5</v>
      </c>
      <c r="E39" s="4">
        <f t="shared" si="1"/>
        <v>0</v>
      </c>
      <c r="F39" s="4">
        <f t="shared" si="2"/>
        <v>0</v>
      </c>
      <c r="G39" s="4">
        <f t="shared" si="3"/>
        <v>48.739</v>
      </c>
      <c r="H39" s="4">
        <f t="shared" si="4"/>
        <v>42.07</v>
      </c>
      <c r="I39" s="4" t="str">
        <f t="shared" si="5"/>
        <v> </v>
      </c>
      <c r="J39" s="5"/>
      <c r="K39" s="5">
        <v>20.4</v>
      </c>
      <c r="L39" s="4">
        <f t="shared" si="6"/>
        <v>3</v>
      </c>
      <c r="M39" s="4">
        <f t="shared" si="7"/>
        <v>0</v>
      </c>
      <c r="N39" s="4">
        <f t="shared" si="8"/>
        <v>-6.1666</v>
      </c>
      <c r="O39" s="4" t="str">
        <f t="shared" si="9"/>
        <v/>
      </c>
      <c r="P39" s="4">
        <f t="shared" si="10"/>
        <v>20.4</v>
      </c>
    </row>
    <row r="40" ht="15.75" customHeight="1">
      <c r="A40" s="4">
        <v>1996.0</v>
      </c>
      <c r="B40" s="9">
        <v>191.0</v>
      </c>
      <c r="C40" s="5">
        <v>15.3</v>
      </c>
      <c r="D40" s="5">
        <v>32.0</v>
      </c>
      <c r="E40" s="4">
        <f t="shared" si="1"/>
        <v>0</v>
      </c>
      <c r="F40" s="4">
        <f t="shared" si="2"/>
        <v>0</v>
      </c>
      <c r="G40" s="4">
        <f t="shared" si="3"/>
        <v>48.679</v>
      </c>
      <c r="H40" s="4">
        <f t="shared" si="4"/>
        <v>42.6695</v>
      </c>
      <c r="I40" s="4" t="str">
        <f t="shared" si="5"/>
        <v> </v>
      </c>
      <c r="J40" s="5"/>
      <c r="K40" s="5">
        <v>24.4</v>
      </c>
      <c r="L40" s="4">
        <f t="shared" si="6"/>
        <v>3</v>
      </c>
      <c r="M40" s="4">
        <f t="shared" si="7"/>
        <v>0</v>
      </c>
      <c r="N40" s="4">
        <f t="shared" si="8"/>
        <v>-9.5613</v>
      </c>
      <c r="O40" s="4" t="str">
        <f t="shared" si="9"/>
        <v/>
      </c>
      <c r="P40" s="4">
        <f t="shared" si="10"/>
        <v>24.4</v>
      </c>
    </row>
    <row r="41" ht="15.75" customHeight="1">
      <c r="A41" s="4">
        <v>1996.0</v>
      </c>
      <c r="B41" s="9">
        <v>192.0</v>
      </c>
      <c r="C41" s="5">
        <v>21.1</v>
      </c>
      <c r="D41" s="5">
        <v>32.9</v>
      </c>
      <c r="E41" s="4">
        <f t="shared" si="1"/>
        <v>0</v>
      </c>
      <c r="F41" s="4">
        <f t="shared" si="2"/>
        <v>0</v>
      </c>
      <c r="G41" s="4">
        <f t="shared" si="3"/>
        <v>48.232</v>
      </c>
      <c r="H41" s="4">
        <f t="shared" si="4"/>
        <v>41.899</v>
      </c>
      <c r="I41" s="4" t="str">
        <f t="shared" si="5"/>
        <v> </v>
      </c>
      <c r="J41" s="5"/>
      <c r="K41" s="5">
        <v>27.5</v>
      </c>
      <c r="L41" s="4">
        <f t="shared" si="6"/>
        <v>3</v>
      </c>
      <c r="M41" s="4">
        <f t="shared" si="7"/>
        <v>0</v>
      </c>
      <c r="N41" s="4">
        <f t="shared" si="8"/>
        <v>-8.5019</v>
      </c>
      <c r="O41" s="4" t="str">
        <f t="shared" si="9"/>
        <v/>
      </c>
      <c r="P41" s="4">
        <f t="shared" si="10"/>
        <v>27.5</v>
      </c>
    </row>
    <row r="42" ht="15.75" customHeight="1">
      <c r="A42" s="4">
        <v>1996.0</v>
      </c>
      <c r="B42" s="9">
        <v>193.0</v>
      </c>
      <c r="C42" s="5">
        <v>20.4</v>
      </c>
      <c r="D42" s="5">
        <v>34.3</v>
      </c>
      <c r="E42" s="4">
        <f t="shared" si="1"/>
        <v>0</v>
      </c>
      <c r="F42" s="4">
        <f t="shared" si="2"/>
        <v>0</v>
      </c>
      <c r="G42" s="4">
        <f t="shared" si="3"/>
        <v>44.777</v>
      </c>
      <c r="H42" s="4">
        <f t="shared" si="4"/>
        <v>39.0895</v>
      </c>
      <c r="I42" s="4" t="str">
        <f t="shared" si="5"/>
        <v> </v>
      </c>
      <c r="J42" s="5"/>
      <c r="K42" s="5">
        <v>28.0</v>
      </c>
      <c r="L42" s="4">
        <f t="shared" si="6"/>
        <v>3</v>
      </c>
      <c r="M42" s="4">
        <f t="shared" si="7"/>
        <v>0</v>
      </c>
      <c r="N42" s="4">
        <f t="shared" si="8"/>
        <v>-7.057</v>
      </c>
      <c r="O42" s="4" t="str">
        <f t="shared" si="9"/>
        <v/>
      </c>
      <c r="P42" s="4">
        <f t="shared" si="10"/>
        <v>28</v>
      </c>
    </row>
    <row r="43" ht="15.75" customHeight="1">
      <c r="A43" s="4">
        <v>1996.0</v>
      </c>
      <c r="B43" s="9">
        <v>194.0</v>
      </c>
      <c r="C43" s="5">
        <v>22.5</v>
      </c>
      <c r="D43" s="5">
        <v>33.8</v>
      </c>
      <c r="E43" s="4">
        <f t="shared" si="1"/>
        <v>0</v>
      </c>
      <c r="F43" s="4">
        <f t="shared" si="2"/>
        <v>0</v>
      </c>
      <c r="G43" s="4">
        <f t="shared" si="3"/>
        <v>42.755</v>
      </c>
      <c r="H43" s="4">
        <f t="shared" si="4"/>
        <v>36.8015</v>
      </c>
      <c r="I43" s="4" t="str">
        <f t="shared" si="5"/>
        <v> </v>
      </c>
      <c r="J43" s="5"/>
      <c r="K43" s="5">
        <v>28.1</v>
      </c>
      <c r="L43" s="4">
        <f t="shared" si="6"/>
        <v>3</v>
      </c>
      <c r="M43" s="4">
        <f t="shared" si="7"/>
        <v>0</v>
      </c>
      <c r="N43" s="4">
        <f t="shared" si="8"/>
        <v>-1.4326</v>
      </c>
      <c r="O43" s="4" t="str">
        <f t="shared" si="9"/>
        <v/>
      </c>
      <c r="P43" s="4">
        <f t="shared" si="10"/>
        <v>28.1</v>
      </c>
    </row>
    <row r="44" ht="15.75" customHeight="1">
      <c r="A44" s="4">
        <v>1996.0</v>
      </c>
      <c r="B44" s="9">
        <v>195.0</v>
      </c>
      <c r="C44" s="5">
        <v>16.8</v>
      </c>
      <c r="D44" s="5">
        <v>25.1</v>
      </c>
      <c r="E44" s="4">
        <f t="shared" si="1"/>
        <v>1</v>
      </c>
      <c r="F44" s="4">
        <f t="shared" si="2"/>
        <v>0</v>
      </c>
      <c r="G44" s="4">
        <f t="shared" si="3"/>
        <v>32.647</v>
      </c>
      <c r="H44" s="4">
        <f t="shared" si="4"/>
        <v>29.08</v>
      </c>
      <c r="I44" s="4" t="str">
        <f t="shared" si="5"/>
        <v> </v>
      </c>
      <c r="J44" s="5">
        <v>1.4</v>
      </c>
      <c r="K44" s="5">
        <v>22.3</v>
      </c>
      <c r="L44" s="4">
        <f t="shared" si="6"/>
        <v>8</v>
      </c>
      <c r="M44" s="4">
        <f t="shared" si="7"/>
        <v>0</v>
      </c>
      <c r="N44" s="4">
        <f t="shared" si="8"/>
        <v>-4.2229</v>
      </c>
      <c r="O44" s="4">
        <f t="shared" si="9"/>
        <v>1.4</v>
      </c>
      <c r="P44" s="4">
        <f t="shared" si="10"/>
        <v>22.3</v>
      </c>
    </row>
    <row r="45" ht="15.75" customHeight="1">
      <c r="A45" s="4">
        <v>1996.0</v>
      </c>
      <c r="B45" s="9">
        <v>196.0</v>
      </c>
      <c r="C45" s="5">
        <v>13.5</v>
      </c>
      <c r="D45" s="5">
        <v>23.1</v>
      </c>
      <c r="E45" s="4">
        <f t="shared" si="1"/>
        <v>0</v>
      </c>
      <c r="F45" s="4">
        <f t="shared" si="2"/>
        <v>0</v>
      </c>
      <c r="G45" s="4">
        <f t="shared" si="3"/>
        <v>26.556</v>
      </c>
      <c r="H45" s="4">
        <f t="shared" si="4"/>
        <v>23.551</v>
      </c>
      <c r="I45" s="4" t="str">
        <f t="shared" si="5"/>
        <v> </v>
      </c>
      <c r="J45" s="5"/>
      <c r="K45" s="5">
        <v>18.8</v>
      </c>
      <c r="L45" s="4">
        <f t="shared" si="6"/>
        <v>3</v>
      </c>
      <c r="M45" s="4">
        <f t="shared" si="7"/>
        <v>0</v>
      </c>
      <c r="N45" s="4">
        <f t="shared" si="8"/>
        <v>-9.0987</v>
      </c>
      <c r="O45" s="4" t="str">
        <f t="shared" si="9"/>
        <v/>
      </c>
      <c r="P45" s="4">
        <f t="shared" si="10"/>
        <v>18.8</v>
      </c>
    </row>
    <row r="46" ht="15.75" customHeight="1">
      <c r="A46" s="4">
        <v>1996.0</v>
      </c>
      <c r="B46" s="9">
        <v>197.0</v>
      </c>
      <c r="C46" s="5">
        <v>13.5</v>
      </c>
      <c r="D46" s="5">
        <v>22.1</v>
      </c>
      <c r="E46" s="4">
        <f t="shared" si="1"/>
        <v>0</v>
      </c>
      <c r="F46" s="4">
        <f t="shared" si="2"/>
        <v>0</v>
      </c>
      <c r="G46" s="4">
        <f t="shared" si="3"/>
        <v>27.886</v>
      </c>
      <c r="H46" s="4">
        <f t="shared" si="4"/>
        <v>23.529</v>
      </c>
      <c r="I46" s="4" t="str">
        <f t="shared" si="5"/>
        <v> </v>
      </c>
      <c r="J46" s="5"/>
      <c r="K46" s="5">
        <v>18.1</v>
      </c>
      <c r="L46" s="4">
        <f t="shared" si="6"/>
        <v>3</v>
      </c>
      <c r="M46" s="4">
        <f t="shared" si="7"/>
        <v>0</v>
      </c>
      <c r="N46" s="4">
        <f t="shared" si="8"/>
        <v>-8.8347</v>
      </c>
      <c r="O46" s="4" t="str">
        <f t="shared" si="9"/>
        <v/>
      </c>
      <c r="P46" s="4">
        <f t="shared" si="10"/>
        <v>18.1</v>
      </c>
    </row>
    <row r="47" ht="15.75" customHeight="1">
      <c r="A47" s="4">
        <v>1996.0</v>
      </c>
      <c r="B47" s="9">
        <v>198.0</v>
      </c>
      <c r="C47" s="5">
        <v>10.8</v>
      </c>
      <c r="D47" s="5">
        <v>24.1</v>
      </c>
      <c r="E47" s="4">
        <f t="shared" si="1"/>
        <v>0</v>
      </c>
      <c r="F47" s="4">
        <f t="shared" si="2"/>
        <v>0</v>
      </c>
      <c r="G47" s="4">
        <f t="shared" si="3"/>
        <v>24.653</v>
      </c>
      <c r="H47" s="4">
        <f t="shared" si="4"/>
        <v>21.7895</v>
      </c>
      <c r="I47" s="4" t="str">
        <f t="shared" si="5"/>
        <v> </v>
      </c>
      <c r="J47" s="5"/>
      <c r="K47" s="5">
        <v>17.0</v>
      </c>
      <c r="L47" s="4">
        <f t="shared" si="6"/>
        <v>3</v>
      </c>
      <c r="M47" s="4">
        <f t="shared" si="7"/>
        <v>0</v>
      </c>
      <c r="N47" s="4">
        <f t="shared" si="8"/>
        <v>-4.8655</v>
      </c>
      <c r="O47" s="4" t="str">
        <f t="shared" si="9"/>
        <v/>
      </c>
      <c r="P47" s="4">
        <f t="shared" si="10"/>
        <v>17</v>
      </c>
    </row>
    <row r="48" ht="15.75" customHeight="1">
      <c r="A48" s="4">
        <v>1996.0</v>
      </c>
      <c r="B48" s="9">
        <v>199.0</v>
      </c>
      <c r="C48" s="5">
        <v>10.2</v>
      </c>
      <c r="D48" s="5">
        <v>21.2</v>
      </c>
      <c r="E48" s="4">
        <f t="shared" si="1"/>
        <v>0</v>
      </c>
      <c r="F48" s="4">
        <f t="shared" si="2"/>
        <v>1</v>
      </c>
      <c r="G48" s="4">
        <f t="shared" si="3"/>
        <v>23.155</v>
      </c>
      <c r="H48" s="4">
        <f t="shared" si="4"/>
        <v>23.162</v>
      </c>
      <c r="I48" s="4">
        <f t="shared" si="5"/>
        <v>0.007</v>
      </c>
      <c r="J48" s="5"/>
      <c r="K48" s="5">
        <v>15.4</v>
      </c>
      <c r="L48" s="4">
        <f t="shared" si="6"/>
        <v>3</v>
      </c>
      <c r="M48" s="4">
        <f t="shared" si="7"/>
        <v>0</v>
      </c>
      <c r="N48" s="4">
        <f t="shared" si="8"/>
        <v>-0.494</v>
      </c>
      <c r="O48" s="4" t="str">
        <f t="shared" si="9"/>
        <v/>
      </c>
      <c r="P48" s="4">
        <f t="shared" si="10"/>
        <v>15.4</v>
      </c>
    </row>
    <row r="49" ht="15.75" customHeight="1">
      <c r="A49" s="4">
        <v>1996.0</v>
      </c>
      <c r="B49" s="9">
        <v>200.0</v>
      </c>
      <c r="C49" s="5">
        <v>8.6</v>
      </c>
      <c r="D49" s="5">
        <v>19.5</v>
      </c>
      <c r="E49" s="4">
        <f t="shared" si="1"/>
        <v>1</v>
      </c>
      <c r="F49" s="4">
        <f t="shared" si="2"/>
        <v>1</v>
      </c>
      <c r="G49" s="4">
        <f t="shared" si="3"/>
        <v>20.536</v>
      </c>
      <c r="H49" s="4">
        <f t="shared" si="4"/>
        <v>20.797</v>
      </c>
      <c r="I49" s="4">
        <f t="shared" si="5"/>
        <v>0.261</v>
      </c>
      <c r="J49" s="5">
        <v>0.7</v>
      </c>
      <c r="K49" s="5">
        <v>13.7</v>
      </c>
      <c r="L49" s="4">
        <f t="shared" si="6"/>
        <v>8</v>
      </c>
      <c r="M49" s="4">
        <f t="shared" si="7"/>
        <v>0</v>
      </c>
      <c r="N49" s="4">
        <f t="shared" si="8"/>
        <v>-4.0733</v>
      </c>
      <c r="O49" s="4">
        <f t="shared" si="9"/>
        <v>0.7</v>
      </c>
      <c r="P49" s="4">
        <f t="shared" si="10"/>
        <v>13.7</v>
      </c>
    </row>
    <row r="50" ht="15.75" customHeight="1">
      <c r="A50" s="4">
        <v>1996.0</v>
      </c>
      <c r="B50" s="9">
        <v>201.0</v>
      </c>
      <c r="C50" s="5">
        <v>6.5</v>
      </c>
      <c r="D50" s="5">
        <v>21.5</v>
      </c>
      <c r="E50" s="4">
        <f t="shared" si="1"/>
        <v>0</v>
      </c>
      <c r="F50" s="4">
        <f t="shared" si="2"/>
        <v>1</v>
      </c>
      <c r="G50" s="4">
        <f t="shared" si="3"/>
        <v>17.542</v>
      </c>
      <c r="H50" s="4">
        <f t="shared" si="4"/>
        <v>17.899</v>
      </c>
      <c r="I50" s="4">
        <f t="shared" si="5"/>
        <v>0.357</v>
      </c>
      <c r="J50" s="5"/>
      <c r="K50" s="5">
        <v>14.7</v>
      </c>
      <c r="L50" s="4">
        <f t="shared" si="6"/>
        <v>3</v>
      </c>
      <c r="M50" s="4">
        <f t="shared" si="7"/>
        <v>0</v>
      </c>
      <c r="N50" s="4">
        <f t="shared" si="8"/>
        <v>-0.4467</v>
      </c>
      <c r="O50" s="4" t="str">
        <f t="shared" si="9"/>
        <v/>
      </c>
      <c r="P50" s="4">
        <f t="shared" si="10"/>
        <v>14.7</v>
      </c>
    </row>
    <row r="51" ht="15.75" customHeight="1">
      <c r="A51" s="4">
        <v>1996.0</v>
      </c>
      <c r="B51" s="9">
        <v>202.0</v>
      </c>
      <c r="C51" s="5">
        <v>8.6</v>
      </c>
      <c r="D51" s="5">
        <v>17.5</v>
      </c>
      <c r="E51" s="4">
        <f t="shared" si="1"/>
        <v>0</v>
      </c>
      <c r="F51" s="4">
        <f t="shared" si="2"/>
        <v>1</v>
      </c>
      <c r="G51" s="4">
        <f t="shared" si="3"/>
        <v>17.889</v>
      </c>
      <c r="H51" s="4">
        <f t="shared" si="4"/>
        <v>19.4025</v>
      </c>
      <c r="I51" s="4">
        <f t="shared" si="5"/>
        <v>1.5135</v>
      </c>
      <c r="J51" s="5"/>
      <c r="K51" s="5">
        <v>13.8</v>
      </c>
      <c r="L51" s="4">
        <f t="shared" si="6"/>
        <v>3</v>
      </c>
      <c r="M51" s="4">
        <f t="shared" si="7"/>
        <v>1</v>
      </c>
      <c r="N51" s="4">
        <f t="shared" si="8"/>
        <v>8.1229</v>
      </c>
      <c r="O51" s="4" t="str">
        <f t="shared" si="9"/>
        <v/>
      </c>
      <c r="P51" s="4">
        <f t="shared" si="10"/>
        <v>13.8</v>
      </c>
    </row>
    <row r="52" ht="15.75" customHeight="1">
      <c r="A52" s="4">
        <v>1996.0</v>
      </c>
      <c r="B52" s="9">
        <v>203.0</v>
      </c>
      <c r="C52" s="5">
        <v>13.0</v>
      </c>
      <c r="D52" s="5">
        <v>18.4</v>
      </c>
      <c r="E52" s="4">
        <f t="shared" si="1"/>
        <v>1</v>
      </c>
      <c r="F52" s="4">
        <f t="shared" si="2"/>
        <v>1</v>
      </c>
      <c r="G52" s="4">
        <f t="shared" si="3"/>
        <v>25.122</v>
      </c>
      <c r="H52" s="4">
        <f t="shared" si="4"/>
        <v>28.0165</v>
      </c>
      <c r="I52" s="4">
        <f t="shared" si="5"/>
        <v>2.8945</v>
      </c>
      <c r="J52" s="5">
        <v>0.5</v>
      </c>
      <c r="K52" s="5">
        <v>14.8</v>
      </c>
      <c r="L52" s="4">
        <f t="shared" si="6"/>
        <v>8</v>
      </c>
      <c r="M52" s="4">
        <f t="shared" si="7"/>
        <v>1</v>
      </c>
      <c r="N52" s="4">
        <f t="shared" si="8"/>
        <v>12.7179</v>
      </c>
      <c r="O52" s="4">
        <f t="shared" si="9"/>
        <v>0.5</v>
      </c>
      <c r="P52" s="4">
        <f t="shared" si="10"/>
        <v>14.8</v>
      </c>
    </row>
    <row r="53" ht="15.75" customHeight="1">
      <c r="A53" s="4">
        <v>1996.0</v>
      </c>
      <c r="B53" s="9">
        <v>204.0</v>
      </c>
      <c r="C53" s="5">
        <v>11.2</v>
      </c>
      <c r="D53" s="5">
        <v>14.3</v>
      </c>
      <c r="E53" s="4">
        <f t="shared" si="1"/>
        <v>1</v>
      </c>
      <c r="F53" s="4">
        <f t="shared" si="2"/>
        <v>1</v>
      </c>
      <c r="G53" s="4">
        <f t="shared" si="3"/>
        <v>25.103</v>
      </c>
      <c r="H53" s="4">
        <f t="shared" si="4"/>
        <v>27.0375</v>
      </c>
      <c r="I53" s="4">
        <f t="shared" si="5"/>
        <v>1.9345</v>
      </c>
      <c r="J53" s="5">
        <v>5.1</v>
      </c>
      <c r="K53" s="5">
        <v>12.7</v>
      </c>
      <c r="L53" s="4">
        <f t="shared" si="6"/>
        <v>8</v>
      </c>
      <c r="M53" s="4">
        <f t="shared" si="7"/>
        <v>1</v>
      </c>
      <c r="N53" s="4">
        <f t="shared" si="8"/>
        <v>12.6377</v>
      </c>
      <c r="O53" s="4">
        <f t="shared" si="9"/>
        <v>5.1</v>
      </c>
      <c r="P53" s="4">
        <f t="shared" si="10"/>
        <v>12.7</v>
      </c>
    </row>
    <row r="54" ht="15.75" customHeight="1">
      <c r="A54" s="4">
        <v>1996.0</v>
      </c>
      <c r="B54" s="9">
        <v>205.0</v>
      </c>
      <c r="C54" s="5">
        <v>11.5</v>
      </c>
      <c r="D54" s="5">
        <v>14.8</v>
      </c>
      <c r="E54" s="4">
        <f t="shared" si="1"/>
        <v>1</v>
      </c>
      <c r="F54" s="4">
        <f t="shared" si="2"/>
        <v>1</v>
      </c>
      <c r="G54" s="4">
        <f t="shared" si="3"/>
        <v>26.506</v>
      </c>
      <c r="H54" s="4">
        <f t="shared" si="4"/>
        <v>27.7845</v>
      </c>
      <c r="I54" s="4">
        <f t="shared" si="5"/>
        <v>1.2785</v>
      </c>
      <c r="J54" s="5">
        <v>6.2</v>
      </c>
      <c r="K54" s="5">
        <v>12.4</v>
      </c>
      <c r="L54" s="4">
        <f t="shared" si="6"/>
        <v>8</v>
      </c>
      <c r="M54" s="4">
        <f t="shared" si="7"/>
        <v>1</v>
      </c>
      <c r="N54" s="4">
        <f t="shared" si="8"/>
        <v>11.2945</v>
      </c>
      <c r="O54" s="4">
        <f t="shared" si="9"/>
        <v>6.2</v>
      </c>
      <c r="P54" s="4">
        <f t="shared" si="10"/>
        <v>12.4</v>
      </c>
    </row>
    <row r="55" ht="15.75" customHeight="1">
      <c r="A55" s="4">
        <v>1996.0</v>
      </c>
      <c r="B55" s="9">
        <v>206.0</v>
      </c>
      <c r="C55" s="5">
        <v>10.7</v>
      </c>
      <c r="D55" s="5">
        <v>17.4</v>
      </c>
      <c r="E55" s="4">
        <f t="shared" si="1"/>
        <v>1</v>
      </c>
      <c r="F55" s="4">
        <f t="shared" si="2"/>
        <v>1</v>
      </c>
      <c r="G55" s="4">
        <f t="shared" si="3"/>
        <v>29.816</v>
      </c>
      <c r="H55" s="4">
        <f t="shared" si="4"/>
        <v>30.4685</v>
      </c>
      <c r="I55" s="4">
        <f t="shared" si="5"/>
        <v>0.6525</v>
      </c>
      <c r="J55" s="5">
        <v>6.1</v>
      </c>
      <c r="K55" s="5">
        <v>13.4</v>
      </c>
      <c r="L55" s="4">
        <f t="shared" si="6"/>
        <v>8</v>
      </c>
      <c r="M55" s="4">
        <f t="shared" si="7"/>
        <v>1</v>
      </c>
      <c r="N55" s="4">
        <f t="shared" si="8"/>
        <v>6.5919</v>
      </c>
      <c r="O55" s="4">
        <f t="shared" si="9"/>
        <v>6.1</v>
      </c>
      <c r="P55" s="4">
        <f t="shared" si="10"/>
        <v>13.4</v>
      </c>
    </row>
    <row r="56" ht="15.75" customHeight="1">
      <c r="A56" s="4">
        <v>1996.0</v>
      </c>
      <c r="B56" s="9">
        <v>207.0</v>
      </c>
      <c r="C56" s="5">
        <v>10.1</v>
      </c>
      <c r="D56" s="5">
        <v>21.6</v>
      </c>
      <c r="E56" s="4">
        <f t="shared" si="1"/>
        <v>1</v>
      </c>
      <c r="F56" s="4">
        <f t="shared" si="2"/>
        <v>0</v>
      </c>
      <c r="G56" s="4">
        <f t="shared" si="3"/>
        <v>33.333</v>
      </c>
      <c r="H56" s="4">
        <f t="shared" si="4"/>
        <v>32.778</v>
      </c>
      <c r="I56" s="4" t="str">
        <f t="shared" si="5"/>
        <v> </v>
      </c>
      <c r="J56" s="5">
        <v>2.1</v>
      </c>
      <c r="K56" s="5">
        <v>15.1</v>
      </c>
      <c r="L56" s="4">
        <f t="shared" si="6"/>
        <v>8</v>
      </c>
      <c r="M56" s="4">
        <f t="shared" si="7"/>
        <v>0</v>
      </c>
      <c r="N56" s="4">
        <f t="shared" si="8"/>
        <v>-2.7162</v>
      </c>
      <c r="O56" s="4">
        <f t="shared" si="9"/>
        <v>2.1</v>
      </c>
      <c r="P56" s="4">
        <f t="shared" si="10"/>
        <v>15.1</v>
      </c>
    </row>
    <row r="57" ht="15.75" customHeight="1">
      <c r="A57" s="4">
        <v>1996.0</v>
      </c>
      <c r="B57" s="9">
        <v>208.0</v>
      </c>
      <c r="C57" s="5">
        <v>12.3</v>
      </c>
      <c r="D57" s="5">
        <v>23.8</v>
      </c>
      <c r="E57" s="4">
        <f t="shared" si="1"/>
        <v>0</v>
      </c>
      <c r="F57" s="4">
        <f t="shared" si="2"/>
        <v>0</v>
      </c>
      <c r="G57" s="4">
        <f t="shared" si="3"/>
        <v>34.296</v>
      </c>
      <c r="H57" s="4">
        <f t="shared" si="4"/>
        <v>30.7865</v>
      </c>
      <c r="I57" s="4" t="str">
        <f t="shared" si="5"/>
        <v> </v>
      </c>
      <c r="J57" s="5"/>
      <c r="K57" s="5">
        <v>18.2</v>
      </c>
      <c r="L57" s="4">
        <f t="shared" si="6"/>
        <v>3</v>
      </c>
      <c r="M57" s="4">
        <f t="shared" si="7"/>
        <v>0</v>
      </c>
      <c r="N57" s="4">
        <f t="shared" si="8"/>
        <v>-3.6866</v>
      </c>
      <c r="O57" s="4" t="str">
        <f t="shared" si="9"/>
        <v/>
      </c>
      <c r="P57" s="4">
        <f t="shared" si="10"/>
        <v>18.2</v>
      </c>
    </row>
    <row r="58" ht="15.75" customHeight="1">
      <c r="A58" s="4">
        <v>1996.0</v>
      </c>
      <c r="B58" s="9">
        <v>209.0</v>
      </c>
      <c r="C58" s="5">
        <v>14.7</v>
      </c>
      <c r="D58" s="5">
        <v>22.5</v>
      </c>
      <c r="E58" s="4">
        <f t="shared" si="1"/>
        <v>0</v>
      </c>
      <c r="F58" s="4">
        <f t="shared" si="2"/>
        <v>1</v>
      </c>
      <c r="G58" s="4">
        <f t="shared" si="3"/>
        <v>35.06</v>
      </c>
      <c r="H58" s="4">
        <f t="shared" si="4"/>
        <v>35.2645</v>
      </c>
      <c r="I58" s="4">
        <f t="shared" si="5"/>
        <v>0.2045</v>
      </c>
      <c r="J58" s="5"/>
      <c r="K58" s="5">
        <v>18.2</v>
      </c>
      <c r="L58" s="4">
        <f t="shared" si="6"/>
        <v>3</v>
      </c>
      <c r="M58" s="4">
        <f t="shared" si="7"/>
        <v>1</v>
      </c>
      <c r="N58" s="4">
        <f t="shared" si="8"/>
        <v>6.0257</v>
      </c>
      <c r="O58" s="4" t="str">
        <f t="shared" si="9"/>
        <v/>
      </c>
      <c r="P58" s="4">
        <f t="shared" si="10"/>
        <v>18.2</v>
      </c>
    </row>
    <row r="59" ht="15.75" customHeight="1">
      <c r="A59" s="4">
        <v>1996.0</v>
      </c>
      <c r="B59" s="9">
        <v>210.0</v>
      </c>
      <c r="C59" s="5">
        <v>12.8</v>
      </c>
      <c r="D59" s="5">
        <v>23.8</v>
      </c>
      <c r="E59" s="4">
        <f t="shared" si="1"/>
        <v>1</v>
      </c>
      <c r="F59" s="4">
        <f t="shared" si="2"/>
        <v>0</v>
      </c>
      <c r="G59" s="4">
        <f t="shared" si="3"/>
        <v>37.197</v>
      </c>
      <c r="H59" s="4">
        <f t="shared" si="4"/>
        <v>35.7715</v>
      </c>
      <c r="I59" s="4" t="str">
        <f t="shared" si="5"/>
        <v> </v>
      </c>
      <c r="J59" s="5">
        <v>11.8</v>
      </c>
      <c r="K59" s="5">
        <v>17.3</v>
      </c>
      <c r="L59" s="4">
        <f t="shared" si="6"/>
        <v>8</v>
      </c>
      <c r="M59" s="4">
        <f t="shared" si="7"/>
        <v>1</v>
      </c>
      <c r="N59" s="4">
        <f t="shared" si="8"/>
        <v>3.4253</v>
      </c>
      <c r="O59" s="4">
        <f t="shared" si="9"/>
        <v>11.8</v>
      </c>
      <c r="P59" s="4">
        <f t="shared" si="10"/>
        <v>17.3</v>
      </c>
    </row>
    <row r="60" ht="15.75" customHeight="1">
      <c r="A60" s="4">
        <v>1996.0</v>
      </c>
      <c r="B60" s="9">
        <v>211.0</v>
      </c>
      <c r="C60" s="5">
        <v>13.1</v>
      </c>
      <c r="D60" s="5">
        <v>24.7</v>
      </c>
      <c r="E60" s="4">
        <f t="shared" si="1"/>
        <v>1</v>
      </c>
      <c r="F60" s="4">
        <f t="shared" si="2"/>
        <v>0</v>
      </c>
      <c r="G60" s="4">
        <f t="shared" si="3"/>
        <v>36.437</v>
      </c>
      <c r="H60" s="4">
        <f t="shared" si="4"/>
        <v>33.959</v>
      </c>
      <c r="I60" s="4" t="str">
        <f t="shared" si="5"/>
        <v> </v>
      </c>
      <c r="J60" s="5">
        <v>1.0</v>
      </c>
      <c r="K60" s="5">
        <v>18.2</v>
      </c>
      <c r="L60" s="4">
        <f t="shared" si="6"/>
        <v>8</v>
      </c>
      <c r="M60" s="4">
        <f t="shared" si="7"/>
        <v>1</v>
      </c>
      <c r="N60" s="4">
        <f t="shared" si="8"/>
        <v>1.8824</v>
      </c>
      <c r="O60" s="4">
        <f t="shared" si="9"/>
        <v>1</v>
      </c>
      <c r="P60" s="4">
        <f t="shared" si="10"/>
        <v>18.2</v>
      </c>
    </row>
    <row r="61" ht="15.75" customHeight="1">
      <c r="A61" s="4">
        <v>1996.0</v>
      </c>
      <c r="B61" s="9">
        <v>212.0</v>
      </c>
      <c r="C61" s="5">
        <v>11.3</v>
      </c>
      <c r="D61" s="5">
        <v>24.3</v>
      </c>
      <c r="E61" s="4">
        <f t="shared" si="1"/>
        <v>0</v>
      </c>
      <c r="F61" s="4">
        <f t="shared" si="2"/>
        <v>0</v>
      </c>
      <c r="G61" s="4">
        <f t="shared" si="3"/>
        <v>33.192</v>
      </c>
      <c r="H61" s="4">
        <f t="shared" si="4"/>
        <v>31.1185</v>
      </c>
      <c r="I61" s="4" t="str">
        <f t="shared" si="5"/>
        <v> </v>
      </c>
      <c r="J61" s="5"/>
      <c r="K61" s="5">
        <v>18.7</v>
      </c>
      <c r="L61" s="4">
        <f t="shared" si="6"/>
        <v>3</v>
      </c>
      <c r="M61" s="4">
        <f t="shared" si="7"/>
        <v>1</v>
      </c>
      <c r="N61" s="4">
        <f t="shared" si="8"/>
        <v>1.0474</v>
      </c>
      <c r="O61" s="4" t="str">
        <f t="shared" si="9"/>
        <v/>
      </c>
      <c r="P61" s="4">
        <f t="shared" si="10"/>
        <v>18.7</v>
      </c>
    </row>
    <row r="62" ht="15.75" customHeight="1">
      <c r="A62" s="4">
        <v>1996.0</v>
      </c>
      <c r="B62" s="9">
        <v>213.0</v>
      </c>
      <c r="C62" s="5">
        <v>15.9</v>
      </c>
      <c r="D62" s="5">
        <v>23.6</v>
      </c>
      <c r="E62" s="4">
        <f t="shared" si="1"/>
        <v>1</v>
      </c>
      <c r="F62" s="4">
        <f t="shared" si="2"/>
        <v>0</v>
      </c>
      <c r="G62" s="4">
        <f t="shared" si="3"/>
        <v>35.772</v>
      </c>
      <c r="H62" s="4">
        <f t="shared" si="4"/>
        <v>33.4825</v>
      </c>
      <c r="I62" s="4" t="str">
        <f t="shared" si="5"/>
        <v> </v>
      </c>
      <c r="J62" s="5">
        <v>11.8</v>
      </c>
      <c r="K62" s="5">
        <v>18.7</v>
      </c>
      <c r="L62" s="4">
        <f t="shared" si="6"/>
        <v>8</v>
      </c>
      <c r="M62" s="4">
        <f t="shared" si="7"/>
        <v>0</v>
      </c>
      <c r="N62" s="4">
        <f t="shared" si="8"/>
        <v>-5.5611</v>
      </c>
      <c r="O62" s="4">
        <f t="shared" si="9"/>
        <v>11.8</v>
      </c>
      <c r="P62" s="4">
        <f t="shared" si="10"/>
        <v>18.7</v>
      </c>
    </row>
    <row r="63" ht="15.75" customHeight="1">
      <c r="A63" s="4">
        <v>1996.0</v>
      </c>
      <c r="B63" s="9">
        <v>214.0</v>
      </c>
      <c r="C63" s="5">
        <v>13.4</v>
      </c>
      <c r="D63" s="5">
        <v>22.3</v>
      </c>
      <c r="E63" s="4">
        <f t="shared" si="1"/>
        <v>0</v>
      </c>
      <c r="F63" s="4">
        <f t="shared" si="2"/>
        <v>0</v>
      </c>
      <c r="G63" s="4">
        <f t="shared" si="3"/>
        <v>31.953</v>
      </c>
      <c r="H63" s="4">
        <f t="shared" si="4"/>
        <v>27.8245</v>
      </c>
      <c r="I63" s="4" t="str">
        <f t="shared" si="5"/>
        <v> </v>
      </c>
      <c r="J63" s="5"/>
      <c r="K63" s="5">
        <v>17.3</v>
      </c>
      <c r="L63" s="4">
        <f t="shared" si="6"/>
        <v>3</v>
      </c>
      <c r="M63" s="4">
        <f t="shared" si="7"/>
        <v>0</v>
      </c>
      <c r="N63" s="4">
        <f t="shared" si="8"/>
        <v>-4.2667</v>
      </c>
      <c r="O63" s="4" t="str">
        <f t="shared" si="9"/>
        <v/>
      </c>
      <c r="P63" s="4">
        <f t="shared" si="10"/>
        <v>17.3</v>
      </c>
    </row>
    <row r="64" ht="15.75" customHeight="1">
      <c r="A64" s="4">
        <v>1996.0</v>
      </c>
      <c r="B64" s="9">
        <v>215.0</v>
      </c>
      <c r="C64" s="5">
        <v>11.1</v>
      </c>
      <c r="D64" s="5">
        <v>24.8</v>
      </c>
      <c r="E64" s="4">
        <f t="shared" si="1"/>
        <v>0</v>
      </c>
      <c r="F64" s="4">
        <f t="shared" si="2"/>
        <v>0</v>
      </c>
      <c r="G64" s="4">
        <f t="shared" si="3"/>
        <v>31.88</v>
      </c>
      <c r="H64" s="4">
        <f t="shared" si="4"/>
        <v>28.302</v>
      </c>
      <c r="I64" s="4" t="str">
        <f t="shared" si="5"/>
        <v> </v>
      </c>
      <c r="J64" s="5"/>
      <c r="K64" s="5">
        <v>17.9</v>
      </c>
      <c r="L64" s="4">
        <f t="shared" si="6"/>
        <v>3</v>
      </c>
      <c r="M64" s="4">
        <f t="shared" si="7"/>
        <v>1</v>
      </c>
      <c r="N64" s="4">
        <f t="shared" si="8"/>
        <v>1.198</v>
      </c>
      <c r="O64" s="4" t="str">
        <f t="shared" si="9"/>
        <v/>
      </c>
      <c r="P64" s="4">
        <f t="shared" si="10"/>
        <v>17.9</v>
      </c>
    </row>
    <row r="65" ht="15.75" customHeight="1">
      <c r="A65" s="4">
        <v>1996.0</v>
      </c>
      <c r="B65" s="9">
        <v>216.0</v>
      </c>
      <c r="C65" s="5">
        <v>11.3</v>
      </c>
      <c r="D65" s="5">
        <v>25.0</v>
      </c>
      <c r="E65" s="4">
        <f t="shared" si="1"/>
        <v>1</v>
      </c>
      <c r="F65" s="4">
        <f t="shared" si="2"/>
        <v>0</v>
      </c>
      <c r="G65" s="4">
        <f t="shared" si="3"/>
        <v>25.865</v>
      </c>
      <c r="H65" s="4">
        <f t="shared" si="4"/>
        <v>23.0765</v>
      </c>
      <c r="I65" s="4" t="str">
        <f t="shared" si="5"/>
        <v> </v>
      </c>
      <c r="J65" s="5">
        <v>7.8</v>
      </c>
      <c r="K65" s="5">
        <v>18.1</v>
      </c>
      <c r="L65" s="4">
        <f t="shared" si="6"/>
        <v>8</v>
      </c>
      <c r="M65" s="4">
        <f t="shared" si="7"/>
        <v>0</v>
      </c>
      <c r="N65" s="4">
        <f t="shared" si="8"/>
        <v>-6.5117</v>
      </c>
      <c r="O65" s="4">
        <f t="shared" si="9"/>
        <v>7.8</v>
      </c>
      <c r="P65" s="4">
        <f t="shared" si="10"/>
        <v>18.1</v>
      </c>
    </row>
    <row r="66" ht="15.75" customHeight="1">
      <c r="A66" s="4">
        <v>1996.0</v>
      </c>
      <c r="B66" s="9">
        <v>217.0</v>
      </c>
      <c r="C66" s="5">
        <v>13.1</v>
      </c>
      <c r="D66" s="5">
        <v>22.9</v>
      </c>
      <c r="E66" s="4">
        <f t="shared" si="1"/>
        <v>0</v>
      </c>
      <c r="F66" s="4">
        <f t="shared" si="2"/>
        <v>0</v>
      </c>
      <c r="G66" s="4">
        <f t="shared" si="3"/>
        <v>24.251</v>
      </c>
      <c r="H66" s="4">
        <f t="shared" si="4"/>
        <v>19.784</v>
      </c>
      <c r="I66" s="4" t="str">
        <f t="shared" si="5"/>
        <v> </v>
      </c>
      <c r="J66" s="5"/>
      <c r="K66" s="5">
        <v>18.4</v>
      </c>
      <c r="L66" s="4">
        <f t="shared" si="6"/>
        <v>3</v>
      </c>
      <c r="M66" s="4">
        <f t="shared" si="7"/>
        <v>0</v>
      </c>
      <c r="N66" s="4">
        <f t="shared" si="8"/>
        <v>-8.9495</v>
      </c>
      <c r="O66" s="4" t="str">
        <f t="shared" si="9"/>
        <v/>
      </c>
      <c r="P66" s="4">
        <f t="shared" si="10"/>
        <v>18.4</v>
      </c>
    </row>
    <row r="67" ht="15.75" customHeight="1">
      <c r="A67" s="4">
        <v>1996.0</v>
      </c>
      <c r="B67" s="9">
        <v>218.0</v>
      </c>
      <c r="C67" s="5">
        <v>9.8</v>
      </c>
      <c r="D67" s="5">
        <v>22.7</v>
      </c>
      <c r="E67" s="4">
        <f t="shared" si="1"/>
        <v>0</v>
      </c>
      <c r="F67" s="4">
        <f t="shared" si="2"/>
        <v>0</v>
      </c>
      <c r="G67" s="4">
        <f t="shared" si="3"/>
        <v>20.374</v>
      </c>
      <c r="H67" s="4">
        <f t="shared" si="4"/>
        <v>16.054</v>
      </c>
      <c r="I67" s="4" t="str">
        <f t="shared" si="5"/>
        <v> </v>
      </c>
      <c r="J67" s="5"/>
      <c r="K67" s="5">
        <v>16.6</v>
      </c>
      <c r="L67" s="4">
        <f t="shared" si="6"/>
        <v>3</v>
      </c>
      <c r="M67" s="4">
        <f t="shared" si="7"/>
        <v>0</v>
      </c>
      <c r="N67" s="4">
        <f t="shared" si="8"/>
        <v>-9.8434</v>
      </c>
      <c r="O67" s="4" t="str">
        <f t="shared" si="9"/>
        <v/>
      </c>
      <c r="P67" s="4">
        <f t="shared" si="10"/>
        <v>16.6</v>
      </c>
    </row>
    <row r="68" ht="15.75" customHeight="1">
      <c r="A68" s="4">
        <v>1996.0</v>
      </c>
      <c r="B68" s="9">
        <v>219.0</v>
      </c>
      <c r="C68" s="5">
        <v>9.9</v>
      </c>
      <c r="D68" s="5">
        <v>22.8</v>
      </c>
      <c r="E68" s="4">
        <f t="shared" si="1"/>
        <v>0</v>
      </c>
      <c r="F68" s="4">
        <f t="shared" si="2"/>
        <v>0</v>
      </c>
      <c r="G68" s="4">
        <f t="shared" si="3"/>
        <v>22.146</v>
      </c>
      <c r="H68" s="4">
        <f t="shared" si="4"/>
        <v>17.509</v>
      </c>
      <c r="I68" s="4" t="str">
        <f t="shared" si="5"/>
        <v> </v>
      </c>
      <c r="J68" s="5"/>
      <c r="K68" s="5">
        <v>16.6</v>
      </c>
      <c r="L68" s="4">
        <f t="shared" si="6"/>
        <v>3</v>
      </c>
      <c r="M68" s="4">
        <f t="shared" si="7"/>
        <v>0</v>
      </c>
      <c r="N68" s="4">
        <f t="shared" si="8"/>
        <v>-9.6522</v>
      </c>
      <c r="O68" s="4" t="str">
        <f t="shared" si="9"/>
        <v/>
      </c>
      <c r="P68" s="4">
        <f t="shared" si="10"/>
        <v>16.6</v>
      </c>
    </row>
    <row r="69" ht="15.75" customHeight="1">
      <c r="A69" s="4">
        <v>1996.0</v>
      </c>
      <c r="B69" s="9">
        <v>220.0</v>
      </c>
      <c r="C69" s="5">
        <v>6.8</v>
      </c>
      <c r="D69" s="5">
        <v>13.9</v>
      </c>
      <c r="E69" s="4">
        <f t="shared" si="1"/>
        <v>0</v>
      </c>
      <c r="F69" s="4">
        <f t="shared" si="2"/>
        <v>0</v>
      </c>
      <c r="G69" s="4">
        <f t="shared" si="3"/>
        <v>19.739</v>
      </c>
      <c r="H69" s="4">
        <f t="shared" si="4"/>
        <v>18.354</v>
      </c>
      <c r="I69" s="4" t="str">
        <f t="shared" si="5"/>
        <v> </v>
      </c>
      <c r="J69" s="5"/>
      <c r="K69" s="5">
        <v>11.6</v>
      </c>
      <c r="L69" s="4">
        <f t="shared" si="6"/>
        <v>3</v>
      </c>
      <c r="M69" s="4">
        <f t="shared" si="7"/>
        <v>0</v>
      </c>
      <c r="N69" s="4">
        <f t="shared" si="8"/>
        <v>-6.4107</v>
      </c>
      <c r="O69" s="4" t="str">
        <f t="shared" si="9"/>
        <v/>
      </c>
      <c r="P69" s="4">
        <f t="shared" si="10"/>
        <v>11.6</v>
      </c>
    </row>
    <row r="70" ht="15.75" customHeight="1">
      <c r="A70" s="4">
        <v>1996.0</v>
      </c>
      <c r="B70" s="9">
        <v>221.0</v>
      </c>
      <c r="C70" s="5">
        <v>4.8</v>
      </c>
      <c r="D70" s="5">
        <v>20.3</v>
      </c>
      <c r="E70" s="4">
        <f t="shared" si="1"/>
        <v>0</v>
      </c>
      <c r="F70" s="4">
        <f t="shared" si="2"/>
        <v>0</v>
      </c>
      <c r="G70" s="4">
        <f t="shared" si="3"/>
        <v>27.048</v>
      </c>
      <c r="H70" s="4">
        <f t="shared" si="4"/>
        <v>22.826</v>
      </c>
      <c r="I70" s="4" t="str">
        <f t="shared" si="5"/>
        <v> </v>
      </c>
      <c r="J70" s="5"/>
      <c r="K70" s="5">
        <v>13.2</v>
      </c>
      <c r="L70" s="4">
        <f t="shared" si="6"/>
        <v>3</v>
      </c>
      <c r="M70" s="4">
        <f t="shared" si="7"/>
        <v>0</v>
      </c>
      <c r="N70" s="4">
        <f t="shared" si="8"/>
        <v>-9.6723</v>
      </c>
      <c r="O70" s="4" t="str">
        <f t="shared" si="9"/>
        <v/>
      </c>
      <c r="P70" s="4">
        <f t="shared" si="10"/>
        <v>13.2</v>
      </c>
    </row>
    <row r="71" ht="15.75" customHeight="1">
      <c r="A71" s="4">
        <v>1996.0</v>
      </c>
      <c r="B71" s="9">
        <v>222.0</v>
      </c>
      <c r="C71" s="5">
        <v>8.0</v>
      </c>
      <c r="D71" s="5">
        <v>18.6</v>
      </c>
      <c r="E71" s="4">
        <f t="shared" si="1"/>
        <v>0</v>
      </c>
      <c r="F71" s="4">
        <f t="shared" si="2"/>
        <v>0</v>
      </c>
      <c r="G71" s="4">
        <f t="shared" si="3"/>
        <v>28.559</v>
      </c>
      <c r="H71" s="4">
        <f t="shared" si="4"/>
        <v>27.791</v>
      </c>
      <c r="I71" s="4" t="str">
        <f t="shared" si="5"/>
        <v> </v>
      </c>
      <c r="J71" s="5"/>
      <c r="K71" s="5">
        <v>12.7</v>
      </c>
      <c r="L71" s="4">
        <f t="shared" si="6"/>
        <v>3</v>
      </c>
      <c r="M71" s="4">
        <f t="shared" si="7"/>
        <v>0</v>
      </c>
      <c r="N71" s="4">
        <f t="shared" si="8"/>
        <v>-2.3771</v>
      </c>
      <c r="O71" s="4" t="str">
        <f t="shared" si="9"/>
        <v/>
      </c>
      <c r="P71" s="4">
        <f t="shared" si="10"/>
        <v>12.7</v>
      </c>
    </row>
    <row r="72" ht="15.75" customHeight="1">
      <c r="A72" s="4">
        <v>1996.0</v>
      </c>
      <c r="B72" s="9">
        <v>223.0</v>
      </c>
      <c r="C72" s="5">
        <v>6.0</v>
      </c>
      <c r="D72" s="5">
        <v>21.9</v>
      </c>
      <c r="E72" s="4">
        <f t="shared" si="1"/>
        <v>0</v>
      </c>
      <c r="F72" s="4">
        <f t="shared" si="2"/>
        <v>0</v>
      </c>
      <c r="G72" s="4">
        <f t="shared" si="3"/>
        <v>31.711</v>
      </c>
      <c r="H72" s="4">
        <f t="shared" si="4"/>
        <v>29.286</v>
      </c>
      <c r="I72" s="4" t="str">
        <f t="shared" si="5"/>
        <v> </v>
      </c>
      <c r="J72" s="5"/>
      <c r="K72" s="5">
        <v>14.2</v>
      </c>
      <c r="L72" s="4">
        <f t="shared" si="6"/>
        <v>3</v>
      </c>
      <c r="M72" s="4">
        <f t="shared" si="7"/>
        <v>0</v>
      </c>
      <c r="N72" s="4">
        <f t="shared" si="8"/>
        <v>-1.5632</v>
      </c>
      <c r="O72" s="4" t="str">
        <f t="shared" si="9"/>
        <v/>
      </c>
      <c r="P72" s="4">
        <f t="shared" si="10"/>
        <v>14.2</v>
      </c>
    </row>
    <row r="73" ht="15.75" customHeight="1">
      <c r="A73" s="4">
        <v>1996.0</v>
      </c>
      <c r="B73" s="9">
        <v>224.0</v>
      </c>
      <c r="C73" s="5">
        <v>10.8</v>
      </c>
      <c r="D73" s="5">
        <v>25.0</v>
      </c>
      <c r="E73" s="4">
        <f t="shared" si="1"/>
        <v>1</v>
      </c>
      <c r="F73" s="4">
        <f t="shared" si="2"/>
        <v>0</v>
      </c>
      <c r="G73" s="4">
        <f t="shared" si="3"/>
        <v>37.212</v>
      </c>
      <c r="H73" s="4">
        <f t="shared" si="4"/>
        <v>35.352</v>
      </c>
      <c r="I73" s="4" t="str">
        <f t="shared" si="5"/>
        <v> </v>
      </c>
      <c r="J73" s="5">
        <v>2.1</v>
      </c>
      <c r="K73" s="5">
        <v>16.6</v>
      </c>
      <c r="L73" s="4">
        <f t="shared" si="6"/>
        <v>8</v>
      </c>
      <c r="M73" s="4">
        <f t="shared" si="7"/>
        <v>0</v>
      </c>
      <c r="N73" s="4">
        <f t="shared" si="8"/>
        <v>-1.6394</v>
      </c>
      <c r="O73" s="4">
        <f t="shared" si="9"/>
        <v>2.1</v>
      </c>
      <c r="P73" s="4">
        <f t="shared" si="10"/>
        <v>16.6</v>
      </c>
    </row>
    <row r="74" ht="15.75" customHeight="1">
      <c r="A74" s="4">
        <v>1996.0</v>
      </c>
      <c r="B74" s="9">
        <v>225.0</v>
      </c>
      <c r="C74" s="5">
        <v>8.0</v>
      </c>
      <c r="D74" s="5">
        <v>25.0</v>
      </c>
      <c r="E74" s="4">
        <f t="shared" si="1"/>
        <v>0</v>
      </c>
      <c r="F74" s="4">
        <f t="shared" si="2"/>
        <v>0</v>
      </c>
      <c r="G74" s="4">
        <f t="shared" si="3"/>
        <v>33.694</v>
      </c>
      <c r="H74" s="4">
        <f t="shared" si="4"/>
        <v>30.286</v>
      </c>
      <c r="I74" s="4" t="str">
        <f t="shared" si="5"/>
        <v> </v>
      </c>
      <c r="J74" s="5"/>
      <c r="K74" s="5">
        <v>16.9</v>
      </c>
      <c r="L74" s="4">
        <f t="shared" si="6"/>
        <v>3</v>
      </c>
      <c r="M74" s="4">
        <f t="shared" si="7"/>
        <v>0</v>
      </c>
      <c r="N74" s="4">
        <f t="shared" si="8"/>
        <v>-1.679</v>
      </c>
      <c r="O74" s="4" t="str">
        <f t="shared" si="9"/>
        <v/>
      </c>
      <c r="P74" s="4">
        <f t="shared" si="10"/>
        <v>16.9</v>
      </c>
    </row>
    <row r="75" ht="15.75" customHeight="1">
      <c r="A75" s="4">
        <v>1996.0</v>
      </c>
      <c r="B75" s="9">
        <v>226.0</v>
      </c>
      <c r="C75" s="5">
        <v>9.8</v>
      </c>
      <c r="D75" s="5">
        <v>24.0</v>
      </c>
      <c r="E75" s="4">
        <f t="shared" si="1"/>
        <v>1</v>
      </c>
      <c r="F75" s="4">
        <f t="shared" si="2"/>
        <v>0</v>
      </c>
      <c r="G75" s="4">
        <f t="shared" si="3"/>
        <v>35.871</v>
      </c>
      <c r="H75" s="4">
        <f t="shared" si="4"/>
        <v>32.6015</v>
      </c>
      <c r="I75" s="4" t="str">
        <f t="shared" si="5"/>
        <v> </v>
      </c>
      <c r="J75" s="5">
        <v>1.2</v>
      </c>
      <c r="K75" s="5">
        <v>16.7</v>
      </c>
      <c r="L75" s="4">
        <f t="shared" si="6"/>
        <v>8</v>
      </c>
      <c r="M75" s="4">
        <f t="shared" si="7"/>
        <v>0</v>
      </c>
      <c r="N75" s="4">
        <f t="shared" si="8"/>
        <v>-6.9195</v>
      </c>
      <c r="O75" s="4">
        <f t="shared" si="9"/>
        <v>1.2</v>
      </c>
      <c r="P75" s="4">
        <f t="shared" si="10"/>
        <v>16.7</v>
      </c>
    </row>
    <row r="76" ht="15.75" customHeight="1">
      <c r="A76" s="4">
        <v>1996.0</v>
      </c>
      <c r="B76" s="9">
        <v>227.0</v>
      </c>
      <c r="C76" s="5">
        <v>7.8</v>
      </c>
      <c r="D76" s="5">
        <v>22.4</v>
      </c>
      <c r="E76" s="4">
        <f t="shared" si="1"/>
        <v>0</v>
      </c>
      <c r="F76" s="4">
        <f t="shared" si="2"/>
        <v>0</v>
      </c>
      <c r="G76" s="4">
        <f t="shared" si="3"/>
        <v>32.551</v>
      </c>
      <c r="H76" s="4">
        <f t="shared" si="4"/>
        <v>27.5055</v>
      </c>
      <c r="I76" s="4" t="str">
        <f t="shared" si="5"/>
        <v> </v>
      </c>
      <c r="J76" s="5"/>
      <c r="K76" s="5">
        <v>15.6</v>
      </c>
      <c r="L76" s="4">
        <f t="shared" si="6"/>
        <v>3</v>
      </c>
      <c r="M76" s="4">
        <f t="shared" si="7"/>
        <v>0</v>
      </c>
      <c r="N76" s="4">
        <f t="shared" si="8"/>
        <v>-9.2916</v>
      </c>
      <c r="O76" s="4" t="str">
        <f t="shared" si="9"/>
        <v/>
      </c>
      <c r="P76" s="4">
        <f t="shared" si="10"/>
        <v>15.6</v>
      </c>
    </row>
    <row r="77" ht="15.75" customHeight="1">
      <c r="A77" s="4">
        <v>1996.0</v>
      </c>
      <c r="B77" s="9">
        <v>228.0</v>
      </c>
      <c r="C77" s="5">
        <v>7.6</v>
      </c>
      <c r="D77" s="5">
        <v>24.7</v>
      </c>
      <c r="E77" s="4">
        <f t="shared" si="1"/>
        <v>0</v>
      </c>
      <c r="F77" s="4">
        <f t="shared" si="2"/>
        <v>0</v>
      </c>
      <c r="G77" s="4">
        <f t="shared" si="3"/>
        <v>35.111</v>
      </c>
      <c r="H77" s="4">
        <f t="shared" si="4"/>
        <v>29.85</v>
      </c>
      <c r="I77" s="4" t="str">
        <f t="shared" si="5"/>
        <v> </v>
      </c>
      <c r="J77" s="5"/>
      <c r="K77" s="5">
        <v>16.6</v>
      </c>
      <c r="L77" s="4">
        <f t="shared" si="6"/>
        <v>3</v>
      </c>
      <c r="M77" s="4">
        <f t="shared" si="7"/>
        <v>0</v>
      </c>
      <c r="N77" s="4">
        <f t="shared" si="8"/>
        <v>-10.3819</v>
      </c>
      <c r="O77" s="4" t="str">
        <f t="shared" si="9"/>
        <v/>
      </c>
      <c r="P77" s="4">
        <f t="shared" si="10"/>
        <v>16.6</v>
      </c>
    </row>
    <row r="78" ht="15.75" customHeight="1">
      <c r="A78" s="4">
        <v>1996.0</v>
      </c>
      <c r="B78" s="9">
        <v>229.0</v>
      </c>
      <c r="C78" s="5">
        <v>9.7</v>
      </c>
      <c r="D78" s="5">
        <v>25.3</v>
      </c>
      <c r="E78" s="4">
        <f t="shared" si="1"/>
        <v>0</v>
      </c>
      <c r="F78" s="4">
        <f t="shared" si="2"/>
        <v>0</v>
      </c>
      <c r="G78" s="4">
        <f t="shared" si="3"/>
        <v>37.064</v>
      </c>
      <c r="H78" s="4">
        <f t="shared" si="4"/>
        <v>31.5965</v>
      </c>
      <c r="I78" s="4" t="str">
        <f t="shared" si="5"/>
        <v> </v>
      </c>
      <c r="J78" s="5"/>
      <c r="K78" s="5">
        <v>17.4</v>
      </c>
      <c r="L78" s="4">
        <f t="shared" si="6"/>
        <v>3</v>
      </c>
      <c r="M78" s="4">
        <f t="shared" si="7"/>
        <v>0</v>
      </c>
      <c r="N78" s="4">
        <f t="shared" si="8"/>
        <v>-10.667</v>
      </c>
      <c r="O78" s="4" t="str">
        <f t="shared" si="9"/>
        <v/>
      </c>
      <c r="P78" s="4">
        <f t="shared" si="10"/>
        <v>17.4</v>
      </c>
    </row>
    <row r="79" ht="15.75" customHeight="1">
      <c r="A79" s="4">
        <v>1996.0</v>
      </c>
      <c r="B79" s="9">
        <v>230.0</v>
      </c>
      <c r="C79" s="5">
        <v>9.7</v>
      </c>
      <c r="D79" s="5">
        <v>26.3</v>
      </c>
      <c r="E79" s="4">
        <f t="shared" si="1"/>
        <v>0</v>
      </c>
      <c r="F79" s="4">
        <f t="shared" si="2"/>
        <v>0</v>
      </c>
      <c r="G79" s="4">
        <f t="shared" si="3"/>
        <v>37.887</v>
      </c>
      <c r="H79" s="4">
        <f t="shared" si="4"/>
        <v>32.3005</v>
      </c>
      <c r="I79" s="4" t="str">
        <f t="shared" si="5"/>
        <v> </v>
      </c>
      <c r="J79" s="5"/>
      <c r="K79" s="5">
        <v>18.3</v>
      </c>
      <c r="L79" s="4">
        <f t="shared" si="6"/>
        <v>3</v>
      </c>
      <c r="M79" s="4">
        <f t="shared" si="7"/>
        <v>0</v>
      </c>
      <c r="N79" s="4">
        <f t="shared" si="8"/>
        <v>-10.8166</v>
      </c>
      <c r="O79" s="4" t="str">
        <f t="shared" si="9"/>
        <v/>
      </c>
      <c r="P79" s="4">
        <f t="shared" si="10"/>
        <v>18.3</v>
      </c>
    </row>
    <row r="80" ht="15.75" customHeight="1">
      <c r="A80" s="4">
        <v>1996.0</v>
      </c>
      <c r="B80" s="9">
        <v>231.0</v>
      </c>
      <c r="C80" s="5">
        <v>9.8</v>
      </c>
      <c r="D80" s="5">
        <v>26.6</v>
      </c>
      <c r="E80" s="4">
        <f t="shared" si="1"/>
        <v>0</v>
      </c>
      <c r="F80" s="4">
        <f t="shared" si="2"/>
        <v>0</v>
      </c>
      <c r="G80" s="4">
        <f t="shared" si="3"/>
        <v>38.736</v>
      </c>
      <c r="H80" s="4">
        <f t="shared" si="4"/>
        <v>32.8995</v>
      </c>
      <c r="I80" s="4" t="str">
        <f t="shared" si="5"/>
        <v> </v>
      </c>
      <c r="J80" s="5"/>
      <c r="K80" s="5">
        <v>18.4</v>
      </c>
      <c r="L80" s="4">
        <f t="shared" si="6"/>
        <v>3</v>
      </c>
      <c r="M80" s="4">
        <f t="shared" si="7"/>
        <v>0</v>
      </c>
      <c r="N80" s="4">
        <f t="shared" si="8"/>
        <v>-10.542</v>
      </c>
      <c r="O80" s="4" t="str">
        <f t="shared" si="9"/>
        <v/>
      </c>
      <c r="P80" s="4">
        <f t="shared" si="10"/>
        <v>18.4</v>
      </c>
    </row>
    <row r="81" ht="15.75" customHeight="1">
      <c r="A81" s="4">
        <v>1996.0</v>
      </c>
      <c r="B81" s="9">
        <v>232.0</v>
      </c>
      <c r="C81" s="5">
        <v>10.1</v>
      </c>
      <c r="D81" s="5">
        <v>27.0</v>
      </c>
      <c r="E81" s="4">
        <f t="shared" si="1"/>
        <v>0</v>
      </c>
      <c r="F81" s="4">
        <f t="shared" si="2"/>
        <v>0</v>
      </c>
      <c r="G81" s="4">
        <f t="shared" si="3"/>
        <v>35.589</v>
      </c>
      <c r="H81" s="4">
        <f t="shared" si="4"/>
        <v>32.6315</v>
      </c>
      <c r="I81" s="4" t="str">
        <f t="shared" si="5"/>
        <v> </v>
      </c>
      <c r="J81" s="5"/>
      <c r="K81" s="5">
        <v>18.8</v>
      </c>
      <c r="L81" s="4">
        <f t="shared" si="6"/>
        <v>3</v>
      </c>
      <c r="M81" s="4">
        <f t="shared" si="7"/>
        <v>0</v>
      </c>
      <c r="N81" s="4">
        <f t="shared" si="8"/>
        <v>-10.2713</v>
      </c>
      <c r="O81" s="4" t="str">
        <f t="shared" si="9"/>
        <v/>
      </c>
      <c r="P81" s="4">
        <f t="shared" si="10"/>
        <v>18.8</v>
      </c>
    </row>
    <row r="82" ht="15.75" customHeight="1">
      <c r="A82" s="4">
        <v>1996.0</v>
      </c>
      <c r="B82" s="9">
        <v>233.0</v>
      </c>
      <c r="C82" s="5">
        <v>10.9</v>
      </c>
      <c r="D82" s="5">
        <v>27.3</v>
      </c>
      <c r="E82" s="4">
        <f t="shared" si="1"/>
        <v>0</v>
      </c>
      <c r="F82" s="4">
        <f t="shared" si="2"/>
        <v>0</v>
      </c>
      <c r="G82" s="4">
        <f t="shared" si="3"/>
        <v>33.404</v>
      </c>
      <c r="H82" s="4">
        <f t="shared" si="4"/>
        <v>28.761</v>
      </c>
      <c r="I82" s="4" t="str">
        <f t="shared" si="5"/>
        <v> </v>
      </c>
      <c r="J82" s="5"/>
      <c r="K82" s="5">
        <v>19.5</v>
      </c>
      <c r="L82" s="4">
        <f t="shared" si="6"/>
        <v>3</v>
      </c>
      <c r="M82" s="4">
        <f t="shared" si="7"/>
        <v>0</v>
      </c>
      <c r="N82" s="4">
        <f t="shared" si="8"/>
        <v>-10.6022</v>
      </c>
      <c r="O82" s="4" t="str">
        <f t="shared" si="9"/>
        <v/>
      </c>
      <c r="P82" s="4">
        <f t="shared" si="10"/>
        <v>19.5</v>
      </c>
    </row>
    <row r="83" ht="15.75" customHeight="1">
      <c r="A83" s="4">
        <v>1996.0</v>
      </c>
      <c r="B83" s="9">
        <v>234.0</v>
      </c>
      <c r="C83" s="5">
        <v>11.7</v>
      </c>
      <c r="D83" s="5">
        <v>26.9</v>
      </c>
      <c r="E83" s="4">
        <f t="shared" si="1"/>
        <v>0</v>
      </c>
      <c r="F83" s="4">
        <f t="shared" si="2"/>
        <v>0</v>
      </c>
      <c r="G83" s="4">
        <f t="shared" si="3"/>
        <v>31.813</v>
      </c>
      <c r="H83" s="4">
        <f t="shared" si="4"/>
        <v>27.154</v>
      </c>
      <c r="I83" s="4" t="str">
        <f t="shared" si="5"/>
        <v> </v>
      </c>
      <c r="J83" s="5"/>
      <c r="K83" s="5">
        <v>19.6</v>
      </c>
      <c r="L83" s="4">
        <f t="shared" si="6"/>
        <v>3</v>
      </c>
      <c r="M83" s="4">
        <f t="shared" si="7"/>
        <v>0</v>
      </c>
      <c r="N83" s="4">
        <f t="shared" si="8"/>
        <v>-2.1968</v>
      </c>
      <c r="O83" s="4" t="str">
        <f t="shared" si="9"/>
        <v/>
      </c>
      <c r="P83" s="4">
        <f t="shared" si="10"/>
        <v>19.6</v>
      </c>
    </row>
    <row r="84" ht="15.75" customHeight="1">
      <c r="A84" s="4">
        <v>1996.0</v>
      </c>
      <c r="B84" s="9">
        <v>235.0</v>
      </c>
      <c r="C84" s="5">
        <v>11.5</v>
      </c>
      <c r="D84" s="5">
        <v>27.6</v>
      </c>
      <c r="E84" s="4">
        <f t="shared" si="1"/>
        <v>0</v>
      </c>
      <c r="F84" s="4">
        <f t="shared" si="2"/>
        <v>0</v>
      </c>
      <c r="G84" s="4">
        <f t="shared" si="3"/>
        <v>28.642</v>
      </c>
      <c r="H84" s="4">
        <f t="shared" si="4"/>
        <v>24.0335</v>
      </c>
      <c r="I84" s="4" t="str">
        <f t="shared" si="5"/>
        <v> </v>
      </c>
      <c r="J84" s="5"/>
      <c r="K84" s="5">
        <v>20.4</v>
      </c>
      <c r="L84" s="4">
        <f t="shared" si="6"/>
        <v>3</v>
      </c>
      <c r="M84" s="4">
        <f t="shared" si="7"/>
        <v>1</v>
      </c>
      <c r="N84" s="4">
        <f t="shared" si="8"/>
        <v>1.8574</v>
      </c>
      <c r="O84" s="4" t="str">
        <f t="shared" si="9"/>
        <v/>
      </c>
      <c r="P84" s="4">
        <f t="shared" si="10"/>
        <v>20.4</v>
      </c>
    </row>
    <row r="85" ht="15.75" customHeight="1">
      <c r="A85" s="4">
        <v>1996.0</v>
      </c>
      <c r="B85" s="9">
        <v>236.0</v>
      </c>
      <c r="C85" s="5">
        <v>16.6</v>
      </c>
      <c r="D85" s="5">
        <v>22.1</v>
      </c>
      <c r="E85" s="4">
        <f t="shared" si="1"/>
        <v>1</v>
      </c>
      <c r="F85" s="4">
        <f t="shared" si="2"/>
        <v>0</v>
      </c>
      <c r="G85" s="4">
        <f t="shared" si="3"/>
        <v>28.355</v>
      </c>
      <c r="H85" s="4">
        <f t="shared" si="4"/>
        <v>25.5575</v>
      </c>
      <c r="I85" s="4" t="str">
        <f t="shared" si="5"/>
        <v> </v>
      </c>
      <c r="J85" s="5">
        <v>1.0</v>
      </c>
      <c r="K85" s="5">
        <v>19.4</v>
      </c>
      <c r="L85" s="4">
        <f t="shared" si="6"/>
        <v>8</v>
      </c>
      <c r="M85" s="4">
        <f t="shared" si="7"/>
        <v>0</v>
      </c>
      <c r="N85" s="4">
        <f t="shared" si="8"/>
        <v>-4.2932</v>
      </c>
      <c r="O85" s="4">
        <f t="shared" si="9"/>
        <v>1</v>
      </c>
      <c r="P85" s="4">
        <f t="shared" si="10"/>
        <v>19.4</v>
      </c>
    </row>
    <row r="86" ht="15.75" customHeight="1">
      <c r="A86" s="4">
        <v>1996.0</v>
      </c>
      <c r="B86" s="9">
        <v>237.0</v>
      </c>
      <c r="C86" s="5">
        <v>14.8</v>
      </c>
      <c r="D86" s="5">
        <v>18.3</v>
      </c>
      <c r="E86" s="4">
        <f t="shared" si="1"/>
        <v>0</v>
      </c>
      <c r="F86" s="4">
        <f t="shared" si="2"/>
        <v>0</v>
      </c>
      <c r="G86" s="4">
        <f t="shared" si="3"/>
        <v>26.055</v>
      </c>
      <c r="H86" s="4">
        <f t="shared" si="4"/>
        <v>21.5945</v>
      </c>
      <c r="I86" s="4" t="str">
        <f t="shared" si="5"/>
        <v> </v>
      </c>
      <c r="J86" s="5"/>
      <c r="K86" s="5">
        <v>16.5</v>
      </c>
      <c r="L86" s="4">
        <f t="shared" si="6"/>
        <v>3</v>
      </c>
      <c r="M86" s="4">
        <f t="shared" si="7"/>
        <v>0</v>
      </c>
      <c r="N86" s="4">
        <f t="shared" si="8"/>
        <v>-9.8131</v>
      </c>
      <c r="O86" s="4" t="str">
        <f t="shared" si="9"/>
        <v/>
      </c>
      <c r="P86" s="4">
        <f t="shared" si="10"/>
        <v>16.5</v>
      </c>
    </row>
    <row r="87" ht="15.75" customHeight="1">
      <c r="A87" s="4">
        <v>1996.0</v>
      </c>
      <c r="B87" s="9">
        <v>238.0</v>
      </c>
      <c r="C87" s="5">
        <v>11.1</v>
      </c>
      <c r="D87" s="5">
        <v>21.3</v>
      </c>
      <c r="E87" s="4">
        <f t="shared" si="1"/>
        <v>0</v>
      </c>
      <c r="F87" s="4">
        <f t="shared" si="2"/>
        <v>0</v>
      </c>
      <c r="G87" s="4">
        <f t="shared" si="3"/>
        <v>28.648</v>
      </c>
      <c r="H87" s="4">
        <f t="shared" si="4"/>
        <v>23.8595</v>
      </c>
      <c r="I87" s="4" t="str">
        <f t="shared" si="5"/>
        <v> </v>
      </c>
      <c r="J87" s="5"/>
      <c r="K87" s="5">
        <v>16.0</v>
      </c>
      <c r="L87" s="4">
        <f t="shared" si="6"/>
        <v>3</v>
      </c>
      <c r="M87" s="4">
        <f t="shared" si="7"/>
        <v>0</v>
      </c>
      <c r="N87" s="4">
        <f t="shared" si="8"/>
        <v>-10.0902</v>
      </c>
      <c r="O87" s="4" t="str">
        <f t="shared" si="9"/>
        <v/>
      </c>
      <c r="P87" s="4">
        <f t="shared" si="10"/>
        <v>16</v>
      </c>
    </row>
    <row r="88" ht="15.75" customHeight="1">
      <c r="A88" s="4">
        <v>1996.0</v>
      </c>
      <c r="B88" s="9">
        <v>239.0</v>
      </c>
      <c r="C88" s="5">
        <v>6.5</v>
      </c>
      <c r="D88" s="5">
        <v>20.9</v>
      </c>
      <c r="E88" s="4">
        <f t="shared" si="1"/>
        <v>0</v>
      </c>
      <c r="J88" s="5"/>
      <c r="K88" s="5">
        <v>14.3</v>
      </c>
      <c r="L88" s="4">
        <f t="shared" si="6"/>
        <v>3</v>
      </c>
      <c r="O88" s="4" t="str">
        <f t="shared" si="9"/>
        <v/>
      </c>
      <c r="P88" s="4">
        <f t="shared" si="10"/>
        <v>14.3</v>
      </c>
    </row>
    <row r="89" ht="15.75" customHeight="1">
      <c r="A89" s="4">
        <v>1996.0</v>
      </c>
      <c r="B89" s="9">
        <v>240.0</v>
      </c>
      <c r="C89" s="5">
        <v>6.1</v>
      </c>
      <c r="D89" s="5">
        <v>22.8</v>
      </c>
      <c r="E89" s="4">
        <f t="shared" si="1"/>
        <v>0</v>
      </c>
      <c r="J89" s="5"/>
      <c r="K89" s="5">
        <v>14.8</v>
      </c>
      <c r="L89" s="4">
        <f t="shared" si="6"/>
        <v>3</v>
      </c>
      <c r="O89" s="4" t="str">
        <f t="shared" si="9"/>
        <v/>
      </c>
      <c r="P89" s="4">
        <f t="shared" si="10"/>
        <v>14.8</v>
      </c>
    </row>
    <row r="90" ht="15.75" customHeight="1">
      <c r="A90" s="4">
        <v>1996.0</v>
      </c>
      <c r="B90" s="9">
        <v>241.0</v>
      </c>
      <c r="C90" s="5">
        <v>7.5</v>
      </c>
      <c r="D90" s="5">
        <v>24.7</v>
      </c>
      <c r="E90" s="4">
        <f t="shared" si="1"/>
        <v>0</v>
      </c>
      <c r="J90" s="5"/>
      <c r="K90" s="5">
        <v>16.1</v>
      </c>
      <c r="L90" s="4">
        <f t="shared" si="6"/>
        <v>3</v>
      </c>
      <c r="O90" s="4" t="str">
        <f t="shared" si="9"/>
        <v/>
      </c>
      <c r="P90" s="4">
        <f t="shared" si="10"/>
        <v>16.1</v>
      </c>
    </row>
    <row r="91" ht="15.75" customHeight="1">
      <c r="A91" s="4">
        <v>1996.0</v>
      </c>
      <c r="B91" s="9">
        <v>242.0</v>
      </c>
      <c r="C91" s="5">
        <v>7.8</v>
      </c>
      <c r="D91" s="5">
        <v>24.5</v>
      </c>
      <c r="E91" s="4">
        <f t="shared" si="1"/>
        <v>0</v>
      </c>
      <c r="J91" s="5"/>
      <c r="K91" s="5" t="s">
        <v>19</v>
      </c>
      <c r="L91" s="4">
        <f t="shared" si="6"/>
        <v>3</v>
      </c>
      <c r="O91" s="4" t="str">
        <f t="shared" si="9"/>
        <v/>
      </c>
      <c r="P91" s="4" t="str">
        <f t="shared" si="10"/>
        <v>1б,4</v>
      </c>
    </row>
    <row r="92" ht="15.75" customHeight="1">
      <c r="A92" s="4">
        <v>1996.0</v>
      </c>
      <c r="B92" s="9">
        <v>243.0</v>
      </c>
      <c r="C92" s="5">
        <v>10.9</v>
      </c>
      <c r="D92" s="5">
        <v>26.4</v>
      </c>
      <c r="E92" s="4">
        <f t="shared" si="1"/>
        <v>0</v>
      </c>
      <c r="J92" s="5"/>
      <c r="K92" s="5">
        <v>17.7</v>
      </c>
      <c r="L92" s="4">
        <f t="shared" si="6"/>
        <v>3</v>
      </c>
      <c r="O92" s="4" t="str">
        <f t="shared" si="9"/>
        <v/>
      </c>
      <c r="P92" s="4">
        <f t="shared" si="10"/>
        <v>17.7</v>
      </c>
    </row>
    <row r="93" ht="15.75" customHeight="1">
      <c r="A93" s="4">
        <v>1996.0</v>
      </c>
      <c r="B93" s="9">
        <v>244.0</v>
      </c>
      <c r="C93" s="5">
        <v>7.2</v>
      </c>
      <c r="D93" s="5">
        <v>26.1</v>
      </c>
      <c r="E93" s="4">
        <f t="shared" si="1"/>
        <v>0</v>
      </c>
      <c r="J93" s="5"/>
      <c r="K93" s="5">
        <v>16.6</v>
      </c>
      <c r="L93" s="4">
        <f t="shared" si="6"/>
        <v>3</v>
      </c>
      <c r="O93" s="4" t="str">
        <f t="shared" si="9"/>
        <v/>
      </c>
      <c r="P93" s="4">
        <f t="shared" si="10"/>
        <v>16.6</v>
      </c>
    </row>
    <row r="94" ht="15.75" customHeight="1"/>
    <row r="95" ht="15.75" customHeight="1"/>
    <row r="96" ht="15.75" customHeight="1">
      <c r="O96" s="4">
        <f>SUM(O2:O93)</f>
        <v>140.7</v>
      </c>
      <c r="P96" s="4">
        <f>SUMIF(P2:P93,"&gt;0")/10</f>
        <v>154.31</v>
      </c>
    </row>
    <row r="97" ht="15.75" customHeight="1"/>
    <row r="98" ht="15.75" customHeight="1">
      <c r="I98" s="4">
        <f>SUM(I2:I87)</f>
        <v>29.2455</v>
      </c>
      <c r="O98" s="4" t="s">
        <v>15</v>
      </c>
      <c r="P98" s="4">
        <f>O96/P96</f>
        <v>0.9118009202</v>
      </c>
    </row>
    <row r="99" ht="15.75" customHeight="1">
      <c r="I99" s="4">
        <f>SUM(I2:I31)</f>
        <v>19.375</v>
      </c>
      <c r="O99" s="4" t="s">
        <v>16</v>
      </c>
      <c r="P99" s="4">
        <f>SUM(O2:O31)/(SUM(P2:P31)/10)</f>
        <v>1.4375</v>
      </c>
    </row>
    <row r="100" ht="15.75" customHeight="1">
      <c r="I100" s="4">
        <f>SUM(I32:I62)</f>
        <v>9.8705</v>
      </c>
      <c r="O100" s="4" t="s">
        <v>17</v>
      </c>
      <c r="P100" s="4">
        <f>SUM(O33:O62)/(SUM(P33:P62)/10)</f>
        <v>0.9728340675</v>
      </c>
    </row>
    <row r="101" ht="15.75" customHeight="1">
      <c r="I101" s="4">
        <f>SUM(I63:I93)</f>
        <v>0</v>
      </c>
      <c r="O101" s="4" t="s">
        <v>18</v>
      </c>
      <c r="P101" s="4">
        <f>SUM(O63:O93)/(SUM(P63:P93)/10)</f>
        <v>0.2406523469</v>
      </c>
    </row>
    <row r="102" ht="15.75" customHeight="1">
      <c r="I102" s="4">
        <f>SUMIF(I2:I87,"&gt;0")</f>
        <v>29.2455</v>
      </c>
    </row>
    <row r="103" ht="15.75" customHeight="1">
      <c r="I103" s="4">
        <f>SUMIF(I2:I31,"&gt;0")</f>
        <v>19.375</v>
      </c>
    </row>
    <row r="104" ht="15.75" customHeight="1">
      <c r="I104" s="4">
        <f>SUMIF(I32:I62,"&gt;0")</f>
        <v>9.8705</v>
      </c>
      <c r="P104" s="4">
        <f>SUM(O16:O35)/(SUM(P16:P35)/10)</f>
        <v>2.476033058</v>
      </c>
    </row>
    <row r="105" ht="15.75" customHeight="1">
      <c r="I105" s="4">
        <f>SUMIF(I63:I87,"&gt;0")</f>
        <v>0</v>
      </c>
      <c r="P105" s="4">
        <f>SUM(O36:O55)/(SUM(P36:P55)/10)</f>
        <v>0.5989304813</v>
      </c>
    </row>
    <row r="106" ht="15.75" customHeight="1">
      <c r="P106" s="4">
        <f>SUM(O56:O77)/(SUM(P56:P77)/10)</f>
        <v>1.040176114</v>
      </c>
    </row>
    <row r="107" ht="15.75" customHeight="1">
      <c r="P107" s="4">
        <f>SUM(O16:O77)/(SUM(P16:P77)/10)</f>
        <v>1.299163381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0.0"/>
    <col customWidth="1" min="7" max="14" width="8.71"/>
    <col customWidth="1" min="15" max="15" width="17.29"/>
    <col customWidth="1" min="16" max="26" width="8.71"/>
  </cols>
  <sheetData>
    <row r="1">
      <c r="B1" s="1" t="s">
        <v>0</v>
      </c>
      <c r="C1" s="1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1" t="s">
        <v>8</v>
      </c>
      <c r="K1" s="1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1997.0</v>
      </c>
      <c r="B2" s="4">
        <v>152.0</v>
      </c>
      <c r="C2" s="5">
        <v>8.3</v>
      </c>
      <c r="D2" s="5">
        <v>11.8</v>
      </c>
      <c r="E2" s="4">
        <f t="shared" ref="E2:E93" si="1">IF(J2&gt;0,1,0)</f>
        <v>1</v>
      </c>
      <c r="F2" s="4">
        <f t="shared" ref="F2:F87" si="2">IF(H2&gt;G2,1,0)</f>
        <v>1</v>
      </c>
      <c r="G2" s="4">
        <f t="shared" ref="G2:G87" si="3"> 0.75 * D2 + 0.41 * D3 + 0.41 * D4 + 0.27 * D5 + 0.74 *D6 + 0.3 *C2 - 0.07 * C3 - 0.16 * C4 + 0.06 * C5 + 0.01 * C6 + 2.88 * E2 + 1.98 * E3 + 1.98 * E4 + 1.79 * E5 + 0.53 * E6-32.47</f>
        <v>16.507</v>
      </c>
      <c r="H2" s="4">
        <f t="shared" ref="H2:H87" si="4">0.63 * D2 + 0.37 * D3 + 0.49 * D4 + 0.22 * D5 + 0.65 * D6 + 0.24 *C2 - 0.06 * C3- 0.15 * C4 - 0.135 * C5 + 0.15 * C6 + 4.88 * E2 + 3.55 * E3 + 3.34 *E4 + 2.5 * E5 + 2.29 *E6-31.34</f>
        <v>20.922</v>
      </c>
      <c r="I2" s="4">
        <f t="shared" ref="I2:I87" si="5">IF((H2-G2)&gt;0,H2-G2," ")</f>
        <v>4.415</v>
      </c>
      <c r="J2" s="5">
        <v>4.0</v>
      </c>
      <c r="K2" s="5">
        <v>9.9</v>
      </c>
      <c r="L2" s="4">
        <f t="shared" ref="L2:L93" si="6">IF(E2&gt;0,8,3)</f>
        <v>8</v>
      </c>
      <c r="M2" s="4">
        <f t="shared" ref="M2:M87" si="7">IF(N2&gt;=0,1,0)</f>
        <v>1</v>
      </c>
      <c r="N2" s="4">
        <f t="shared" ref="N2:N87" si="8">-0.216*D2-0.191*D3-0.119*D4+0.004*C2-0.171*C3+0.628*C4-0.479*L2+0.513*L3+0.046*L4+5.947*E2+6.699*E3+4.328*E4-1.788</f>
        <v>13.5131</v>
      </c>
      <c r="O2" s="4">
        <f t="shared" ref="O2:O93" si="9">IF(K2&gt;10,J2,0)</f>
        <v>0</v>
      </c>
      <c r="P2" s="4">
        <f t="shared" ref="P2:P93" si="10">IF(K2&gt;10,K2,0)</f>
        <v>0</v>
      </c>
    </row>
    <row r="3">
      <c r="A3" s="4">
        <v>1997.0</v>
      </c>
      <c r="B3" s="4">
        <v>153.0</v>
      </c>
      <c r="C3" s="5">
        <v>9.6</v>
      </c>
      <c r="D3" s="5">
        <v>13.3</v>
      </c>
      <c r="E3" s="4">
        <f t="shared" si="1"/>
        <v>1</v>
      </c>
      <c r="F3" s="4">
        <f t="shared" si="2"/>
        <v>1</v>
      </c>
      <c r="G3" s="4">
        <f t="shared" si="3"/>
        <v>20.894</v>
      </c>
      <c r="H3" s="4">
        <f t="shared" si="4"/>
        <v>23.4275</v>
      </c>
      <c r="I3" s="4">
        <f t="shared" si="5"/>
        <v>2.5335</v>
      </c>
      <c r="J3" s="5">
        <v>0.1</v>
      </c>
      <c r="K3" s="5">
        <v>11.2</v>
      </c>
      <c r="L3" s="4">
        <f t="shared" si="6"/>
        <v>8</v>
      </c>
      <c r="M3" s="4">
        <f t="shared" si="7"/>
        <v>1</v>
      </c>
      <c r="N3" s="4">
        <f t="shared" si="8"/>
        <v>11.9268</v>
      </c>
      <c r="O3" s="4">
        <f t="shared" si="9"/>
        <v>0.1</v>
      </c>
      <c r="P3" s="4">
        <f t="shared" si="10"/>
        <v>11.2</v>
      </c>
    </row>
    <row r="4">
      <c r="A4" s="4">
        <v>1997.0</v>
      </c>
      <c r="B4" s="4">
        <v>154.0</v>
      </c>
      <c r="C4" s="5">
        <v>9.9</v>
      </c>
      <c r="D4" s="5">
        <v>15.4</v>
      </c>
      <c r="E4" s="4">
        <f t="shared" si="1"/>
        <v>1</v>
      </c>
      <c r="F4" s="4">
        <f t="shared" si="2"/>
        <v>1</v>
      </c>
      <c r="G4" s="4">
        <f t="shared" si="3"/>
        <v>24.567</v>
      </c>
      <c r="H4" s="4">
        <f t="shared" si="4"/>
        <v>25.7835</v>
      </c>
      <c r="I4" s="4">
        <f t="shared" si="5"/>
        <v>1.2165</v>
      </c>
      <c r="J4" s="5">
        <v>2.1</v>
      </c>
      <c r="K4" s="5">
        <v>12.3</v>
      </c>
      <c r="L4" s="4">
        <f t="shared" si="6"/>
        <v>8</v>
      </c>
      <c r="M4" s="4">
        <f t="shared" si="7"/>
        <v>1</v>
      </c>
      <c r="N4" s="4">
        <f t="shared" si="8"/>
        <v>10.8061</v>
      </c>
      <c r="O4" s="4">
        <f t="shared" si="9"/>
        <v>2.1</v>
      </c>
      <c r="P4" s="4">
        <f t="shared" si="10"/>
        <v>12.3</v>
      </c>
    </row>
    <row r="5">
      <c r="A5" s="4">
        <v>1997.0</v>
      </c>
      <c r="B5" s="4">
        <v>155.0</v>
      </c>
      <c r="C5" s="5">
        <v>9.0</v>
      </c>
      <c r="D5" s="5">
        <v>17.5</v>
      </c>
      <c r="E5" s="4">
        <f t="shared" si="1"/>
        <v>1</v>
      </c>
      <c r="F5" s="4">
        <f t="shared" si="2"/>
        <v>0</v>
      </c>
      <c r="G5" s="4">
        <f t="shared" si="3"/>
        <v>24.546</v>
      </c>
      <c r="H5" s="4">
        <f t="shared" si="4"/>
        <v>24.516</v>
      </c>
      <c r="I5" s="4" t="str">
        <f t="shared" si="5"/>
        <v> </v>
      </c>
      <c r="J5" s="5">
        <v>2.2</v>
      </c>
      <c r="K5" s="5">
        <v>13.5</v>
      </c>
      <c r="L5" s="4">
        <f t="shared" si="6"/>
        <v>8</v>
      </c>
      <c r="M5" s="4">
        <f t="shared" si="7"/>
        <v>1</v>
      </c>
      <c r="N5" s="4">
        <f t="shared" si="8"/>
        <v>6.2439</v>
      </c>
      <c r="O5" s="4">
        <f t="shared" si="9"/>
        <v>2.2</v>
      </c>
      <c r="P5" s="4">
        <f t="shared" si="10"/>
        <v>13.5</v>
      </c>
    </row>
    <row r="6">
      <c r="A6" s="4">
        <v>1997.0</v>
      </c>
      <c r="B6" s="4">
        <v>156.0</v>
      </c>
      <c r="C6" s="5">
        <v>8.5</v>
      </c>
      <c r="D6" s="5">
        <v>18.4</v>
      </c>
      <c r="E6" s="4">
        <f t="shared" si="1"/>
        <v>1</v>
      </c>
      <c r="F6" s="4">
        <f t="shared" si="2"/>
        <v>0</v>
      </c>
      <c r="G6" s="4">
        <f t="shared" si="3"/>
        <v>27.872</v>
      </c>
      <c r="H6" s="4">
        <f t="shared" si="4"/>
        <v>25.3425</v>
      </c>
      <c r="I6" s="4" t="str">
        <f t="shared" si="5"/>
        <v> </v>
      </c>
      <c r="J6" s="5">
        <v>4.9</v>
      </c>
      <c r="K6" s="5">
        <v>13.4</v>
      </c>
      <c r="L6" s="4">
        <f t="shared" si="6"/>
        <v>8</v>
      </c>
      <c r="M6" s="4">
        <f t="shared" si="7"/>
        <v>0</v>
      </c>
      <c r="N6" s="4">
        <f t="shared" si="8"/>
        <v>-2.9954</v>
      </c>
      <c r="O6" s="4">
        <f t="shared" si="9"/>
        <v>4.9</v>
      </c>
      <c r="P6" s="4">
        <f t="shared" si="10"/>
        <v>13.4</v>
      </c>
    </row>
    <row r="7">
      <c r="A7" s="4">
        <v>1997.0</v>
      </c>
      <c r="B7" s="4">
        <v>157.0</v>
      </c>
      <c r="C7" s="5">
        <v>9.7</v>
      </c>
      <c r="D7" s="5">
        <v>20.2</v>
      </c>
      <c r="E7" s="4">
        <f t="shared" si="1"/>
        <v>0</v>
      </c>
      <c r="F7" s="4">
        <f t="shared" si="2"/>
        <v>0</v>
      </c>
      <c r="G7" s="4">
        <f t="shared" si="3"/>
        <v>27.507</v>
      </c>
      <c r="H7" s="4">
        <f t="shared" si="4"/>
        <v>22.241</v>
      </c>
      <c r="I7" s="4" t="str">
        <f t="shared" si="5"/>
        <v> </v>
      </c>
      <c r="J7" s="5"/>
      <c r="K7" s="5">
        <v>15.5</v>
      </c>
      <c r="L7" s="4">
        <f t="shared" si="6"/>
        <v>3</v>
      </c>
      <c r="M7" s="4">
        <f t="shared" si="7"/>
        <v>0</v>
      </c>
      <c r="N7" s="4">
        <f t="shared" si="8"/>
        <v>-5.1975</v>
      </c>
      <c r="O7" s="4" t="str">
        <f t="shared" si="9"/>
        <v/>
      </c>
      <c r="P7" s="4">
        <f t="shared" si="10"/>
        <v>15.5</v>
      </c>
    </row>
    <row r="8">
      <c r="A8" s="4">
        <v>1997.0</v>
      </c>
      <c r="B8" s="4">
        <v>158.0</v>
      </c>
      <c r="C8" s="5">
        <v>11.4</v>
      </c>
      <c r="D8" s="5">
        <v>22.7</v>
      </c>
      <c r="E8" s="4">
        <f t="shared" si="1"/>
        <v>0</v>
      </c>
      <c r="F8" s="4">
        <f t="shared" si="2"/>
        <v>0</v>
      </c>
      <c r="G8" s="4">
        <f t="shared" si="3"/>
        <v>32.552</v>
      </c>
      <c r="H8" s="4">
        <f t="shared" si="4"/>
        <v>27.321</v>
      </c>
      <c r="I8" s="4" t="str">
        <f t="shared" si="5"/>
        <v> </v>
      </c>
      <c r="J8" s="5"/>
      <c r="K8" s="5">
        <v>17.8</v>
      </c>
      <c r="L8" s="4">
        <f t="shared" si="6"/>
        <v>3</v>
      </c>
      <c r="M8" s="4">
        <f t="shared" si="7"/>
        <v>0</v>
      </c>
      <c r="N8" s="4">
        <f t="shared" si="8"/>
        <v>-6.3341</v>
      </c>
      <c r="O8" s="4" t="str">
        <f t="shared" si="9"/>
        <v/>
      </c>
      <c r="P8" s="4">
        <f t="shared" si="10"/>
        <v>17.8</v>
      </c>
    </row>
    <row r="9">
      <c r="A9" s="4">
        <v>1997.0</v>
      </c>
      <c r="B9" s="4">
        <v>159.0</v>
      </c>
      <c r="C9" s="5">
        <v>15.1</v>
      </c>
      <c r="D9" s="5">
        <v>21.2</v>
      </c>
      <c r="E9" s="4">
        <f t="shared" si="1"/>
        <v>0</v>
      </c>
      <c r="F9" s="4">
        <f t="shared" si="2"/>
        <v>0</v>
      </c>
      <c r="G9" s="4">
        <f t="shared" si="3"/>
        <v>35.151</v>
      </c>
      <c r="H9" s="4">
        <f t="shared" si="4"/>
        <v>29.1285</v>
      </c>
      <c r="I9" s="4" t="str">
        <f t="shared" si="5"/>
        <v> </v>
      </c>
      <c r="J9" s="5"/>
      <c r="K9" s="5">
        <v>17.4</v>
      </c>
      <c r="L9" s="4">
        <f t="shared" si="6"/>
        <v>3</v>
      </c>
      <c r="M9" s="4">
        <f t="shared" si="7"/>
        <v>0</v>
      </c>
      <c r="N9" s="4">
        <f t="shared" si="8"/>
        <v>-6.8363</v>
      </c>
      <c r="O9" s="4" t="str">
        <f t="shared" si="9"/>
        <v/>
      </c>
      <c r="P9" s="4">
        <f t="shared" si="10"/>
        <v>17.4</v>
      </c>
    </row>
    <row r="10">
      <c r="A10" s="4">
        <v>1997.0</v>
      </c>
      <c r="B10" s="4">
        <v>160.0</v>
      </c>
      <c r="C10" s="5">
        <v>15.6</v>
      </c>
      <c r="D10" s="5">
        <v>26.0</v>
      </c>
      <c r="E10" s="4">
        <f t="shared" si="1"/>
        <v>0</v>
      </c>
      <c r="F10" s="4">
        <f t="shared" si="2"/>
        <v>0</v>
      </c>
      <c r="G10" s="4">
        <f t="shared" si="3"/>
        <v>39.493</v>
      </c>
      <c r="H10" s="4">
        <f t="shared" si="4"/>
        <v>35.019</v>
      </c>
      <c r="I10" s="4" t="str">
        <f t="shared" si="5"/>
        <v> </v>
      </c>
      <c r="J10" s="5"/>
      <c r="K10" s="5">
        <v>20.9</v>
      </c>
      <c r="L10" s="4">
        <f t="shared" si="6"/>
        <v>3</v>
      </c>
      <c r="M10" s="4">
        <f t="shared" si="7"/>
        <v>0</v>
      </c>
      <c r="N10" s="4">
        <f t="shared" si="8"/>
        <v>-7.3053</v>
      </c>
      <c r="O10" s="4" t="str">
        <f t="shared" si="9"/>
        <v/>
      </c>
      <c r="P10" s="4">
        <f t="shared" si="10"/>
        <v>20.9</v>
      </c>
    </row>
    <row r="11">
      <c r="A11" s="4">
        <v>1997.0</v>
      </c>
      <c r="B11" s="4">
        <v>161.0</v>
      </c>
      <c r="C11" s="5">
        <v>15.8</v>
      </c>
      <c r="D11" s="5">
        <v>25.7</v>
      </c>
      <c r="E11" s="4">
        <f t="shared" si="1"/>
        <v>0</v>
      </c>
      <c r="F11" s="4">
        <f t="shared" si="2"/>
        <v>0</v>
      </c>
      <c r="G11" s="4">
        <f t="shared" si="3"/>
        <v>41.855</v>
      </c>
      <c r="H11" s="4">
        <f t="shared" si="4"/>
        <v>38.211</v>
      </c>
      <c r="I11" s="4" t="str">
        <f t="shared" si="5"/>
        <v> </v>
      </c>
      <c r="J11" s="5"/>
      <c r="K11" s="5">
        <v>21.9</v>
      </c>
      <c r="L11" s="4">
        <f t="shared" si="6"/>
        <v>3</v>
      </c>
      <c r="M11" s="4">
        <f t="shared" si="7"/>
        <v>0</v>
      </c>
      <c r="N11" s="4">
        <f t="shared" si="8"/>
        <v>-8.6159</v>
      </c>
      <c r="O11" s="4" t="str">
        <f t="shared" si="9"/>
        <v/>
      </c>
      <c r="P11" s="4">
        <f t="shared" si="10"/>
        <v>21.9</v>
      </c>
    </row>
    <row r="12">
      <c r="A12" s="4">
        <v>1997.0</v>
      </c>
      <c r="B12" s="4">
        <v>162.0</v>
      </c>
      <c r="C12" s="5">
        <v>17.1</v>
      </c>
      <c r="D12" s="5">
        <v>28.0</v>
      </c>
      <c r="E12" s="4">
        <f t="shared" si="1"/>
        <v>0</v>
      </c>
      <c r="F12" s="4">
        <f t="shared" si="2"/>
        <v>0</v>
      </c>
      <c r="G12" s="4">
        <f t="shared" si="3"/>
        <v>45.33</v>
      </c>
      <c r="H12" s="4">
        <f t="shared" si="4"/>
        <v>40.805</v>
      </c>
      <c r="I12" s="4" t="str">
        <f t="shared" si="5"/>
        <v> </v>
      </c>
      <c r="J12" s="5"/>
      <c r="K12" s="5">
        <v>22.4</v>
      </c>
      <c r="L12" s="4">
        <f t="shared" si="6"/>
        <v>3</v>
      </c>
      <c r="M12" s="4">
        <f t="shared" si="7"/>
        <v>0</v>
      </c>
      <c r="N12" s="4">
        <f t="shared" si="8"/>
        <v>-4.6931</v>
      </c>
      <c r="O12" s="4" t="str">
        <f t="shared" si="9"/>
        <v/>
      </c>
      <c r="P12" s="4">
        <f t="shared" si="10"/>
        <v>22.4</v>
      </c>
    </row>
    <row r="13">
      <c r="A13" s="4">
        <v>1997.0</v>
      </c>
      <c r="B13" s="4">
        <v>163.0</v>
      </c>
      <c r="C13" s="5">
        <v>16.0</v>
      </c>
      <c r="D13" s="5">
        <v>28.2</v>
      </c>
      <c r="E13" s="4">
        <f t="shared" si="1"/>
        <v>0</v>
      </c>
      <c r="F13" s="4">
        <f t="shared" si="2"/>
        <v>0</v>
      </c>
      <c r="G13" s="4">
        <f t="shared" si="3"/>
        <v>46.039</v>
      </c>
      <c r="H13" s="4">
        <f t="shared" si="4"/>
        <v>44.225</v>
      </c>
      <c r="I13" s="4" t="str">
        <f t="shared" si="5"/>
        <v> </v>
      </c>
      <c r="J13" s="5"/>
      <c r="K13" s="5">
        <v>22.4</v>
      </c>
      <c r="L13" s="4">
        <f t="shared" si="6"/>
        <v>3</v>
      </c>
      <c r="M13" s="4">
        <f t="shared" si="7"/>
        <v>1</v>
      </c>
      <c r="N13" s="4">
        <f t="shared" si="8"/>
        <v>4.7834</v>
      </c>
      <c r="O13" s="4" t="str">
        <f t="shared" si="9"/>
        <v/>
      </c>
      <c r="P13" s="4">
        <f t="shared" si="10"/>
        <v>22.4</v>
      </c>
    </row>
    <row r="14">
      <c r="A14" s="4">
        <v>1997.0</v>
      </c>
      <c r="B14" s="4">
        <v>164.0</v>
      </c>
      <c r="C14" s="5">
        <v>15.4</v>
      </c>
      <c r="D14" s="5">
        <v>27.5</v>
      </c>
      <c r="E14" s="4">
        <f t="shared" si="1"/>
        <v>1</v>
      </c>
      <c r="F14" s="4">
        <f t="shared" si="2"/>
        <v>1</v>
      </c>
      <c r="G14" s="4">
        <f t="shared" si="3"/>
        <v>39.731</v>
      </c>
      <c r="H14" s="4">
        <f t="shared" si="4"/>
        <v>39.783</v>
      </c>
      <c r="I14" s="4">
        <f t="shared" si="5"/>
        <v>0.052</v>
      </c>
      <c r="J14" s="5">
        <v>2.6</v>
      </c>
      <c r="K14" s="5">
        <v>21.5</v>
      </c>
      <c r="L14" s="4">
        <f t="shared" si="6"/>
        <v>8</v>
      </c>
      <c r="M14" s="4">
        <f t="shared" si="7"/>
        <v>1</v>
      </c>
      <c r="N14" s="4">
        <f t="shared" si="8"/>
        <v>3.7132</v>
      </c>
      <c r="O14" s="4">
        <f t="shared" si="9"/>
        <v>2.6</v>
      </c>
      <c r="P14" s="4">
        <f t="shared" si="10"/>
        <v>21.5</v>
      </c>
    </row>
    <row r="15">
      <c r="A15" s="4">
        <v>1997.0</v>
      </c>
      <c r="B15" s="4">
        <v>165.0</v>
      </c>
      <c r="C15" s="5">
        <v>15.4</v>
      </c>
      <c r="D15" s="5">
        <v>27.3</v>
      </c>
      <c r="E15" s="4">
        <f t="shared" si="1"/>
        <v>1</v>
      </c>
      <c r="F15" s="4">
        <f t="shared" si="2"/>
        <v>1</v>
      </c>
      <c r="G15" s="4">
        <f t="shared" si="3"/>
        <v>35.352</v>
      </c>
      <c r="H15" s="4">
        <f t="shared" si="4"/>
        <v>36.626</v>
      </c>
      <c r="I15" s="4">
        <f t="shared" si="5"/>
        <v>1.274</v>
      </c>
      <c r="J15" s="5">
        <v>2.2</v>
      </c>
      <c r="K15" s="5">
        <v>19.9</v>
      </c>
      <c r="L15" s="4">
        <f t="shared" si="6"/>
        <v>8</v>
      </c>
      <c r="M15" s="4">
        <f t="shared" si="7"/>
        <v>0</v>
      </c>
      <c r="N15" s="4">
        <f t="shared" si="8"/>
        <v>-0.8389</v>
      </c>
      <c r="O15" s="4">
        <f t="shared" si="9"/>
        <v>2.2</v>
      </c>
      <c r="P15" s="4">
        <f t="shared" si="10"/>
        <v>19.9</v>
      </c>
    </row>
    <row r="16">
      <c r="A16" s="4">
        <v>1997.0</v>
      </c>
      <c r="B16" s="4">
        <v>166.0</v>
      </c>
      <c r="C16" s="5">
        <v>15.0</v>
      </c>
      <c r="D16" s="5">
        <v>27.3</v>
      </c>
      <c r="E16" s="4">
        <f t="shared" si="1"/>
        <v>0</v>
      </c>
      <c r="F16" s="4">
        <f t="shared" si="2"/>
        <v>0</v>
      </c>
      <c r="G16" s="4">
        <f t="shared" si="3"/>
        <v>31.557</v>
      </c>
      <c r="H16" s="4">
        <f t="shared" si="4"/>
        <v>29.859</v>
      </c>
      <c r="I16" s="4" t="str">
        <f t="shared" si="5"/>
        <v> </v>
      </c>
      <c r="J16" s="5"/>
      <c r="K16" s="5">
        <v>22.0</v>
      </c>
      <c r="L16" s="4">
        <f t="shared" si="6"/>
        <v>3</v>
      </c>
      <c r="M16" s="4">
        <f t="shared" si="7"/>
        <v>1</v>
      </c>
      <c r="N16" s="4">
        <f t="shared" si="8"/>
        <v>3.5482</v>
      </c>
      <c r="O16" s="4" t="str">
        <f t="shared" si="9"/>
        <v/>
      </c>
      <c r="P16" s="4">
        <f t="shared" si="10"/>
        <v>22</v>
      </c>
    </row>
    <row r="17">
      <c r="A17" s="4">
        <v>1997.0</v>
      </c>
      <c r="B17" s="4">
        <v>167.0</v>
      </c>
      <c r="C17" s="5">
        <v>15.2</v>
      </c>
      <c r="D17" s="5">
        <v>28.0</v>
      </c>
      <c r="E17" s="4">
        <f t="shared" si="1"/>
        <v>1</v>
      </c>
      <c r="F17" s="4">
        <f t="shared" si="2"/>
        <v>0</v>
      </c>
      <c r="G17" s="4">
        <f t="shared" si="3"/>
        <v>28.537</v>
      </c>
      <c r="H17" s="4">
        <f t="shared" si="4"/>
        <v>28.025</v>
      </c>
      <c r="I17" s="4" t="str">
        <f t="shared" si="5"/>
        <v> </v>
      </c>
      <c r="J17" s="5">
        <v>3.9</v>
      </c>
      <c r="K17" s="5">
        <v>20.8</v>
      </c>
      <c r="L17" s="4">
        <f t="shared" si="6"/>
        <v>8</v>
      </c>
      <c r="M17" s="4">
        <f t="shared" si="7"/>
        <v>1</v>
      </c>
      <c r="N17" s="4">
        <f t="shared" si="8"/>
        <v>9.3736</v>
      </c>
      <c r="O17" s="4">
        <f t="shared" si="9"/>
        <v>3.9</v>
      </c>
      <c r="P17" s="4">
        <f t="shared" si="10"/>
        <v>20.8</v>
      </c>
    </row>
    <row r="18">
      <c r="A18" s="4">
        <v>1997.0</v>
      </c>
      <c r="B18" s="4">
        <v>168.0</v>
      </c>
      <c r="C18" s="5">
        <v>11.2</v>
      </c>
      <c r="D18" s="5">
        <v>16.6</v>
      </c>
      <c r="E18" s="4">
        <f t="shared" si="1"/>
        <v>1</v>
      </c>
      <c r="F18" s="4">
        <f t="shared" si="2"/>
        <v>0</v>
      </c>
      <c r="G18" s="4">
        <f t="shared" si="3"/>
        <v>21.505</v>
      </c>
      <c r="H18" s="4">
        <f t="shared" si="4"/>
        <v>20.72</v>
      </c>
      <c r="I18" s="4" t="str">
        <f t="shared" si="5"/>
        <v> </v>
      </c>
      <c r="J18" s="5">
        <v>4.3</v>
      </c>
      <c r="K18" s="5">
        <v>13.5</v>
      </c>
      <c r="L18" s="4">
        <f t="shared" si="6"/>
        <v>8</v>
      </c>
      <c r="M18" s="4">
        <f t="shared" si="7"/>
        <v>1</v>
      </c>
      <c r="N18" s="4">
        <f t="shared" si="8"/>
        <v>8.0453</v>
      </c>
      <c r="O18" s="4">
        <f t="shared" si="9"/>
        <v>4.3</v>
      </c>
      <c r="P18" s="4">
        <f t="shared" si="10"/>
        <v>13.5</v>
      </c>
    </row>
    <row r="19">
      <c r="A19" s="4">
        <v>1997.0</v>
      </c>
      <c r="B19" s="4">
        <v>169.0</v>
      </c>
      <c r="C19" s="5">
        <v>10.2</v>
      </c>
      <c r="D19" s="5">
        <v>15.0</v>
      </c>
      <c r="E19" s="4">
        <f t="shared" si="1"/>
        <v>1</v>
      </c>
      <c r="F19" s="4">
        <f t="shared" si="2"/>
        <v>1</v>
      </c>
      <c r="G19" s="4">
        <f t="shared" si="3"/>
        <v>19.889</v>
      </c>
      <c r="H19" s="4">
        <f t="shared" si="4"/>
        <v>19.9035</v>
      </c>
      <c r="I19" s="4">
        <f t="shared" si="5"/>
        <v>0.0145</v>
      </c>
      <c r="J19" s="5">
        <v>1.8</v>
      </c>
      <c r="K19" s="5">
        <v>12.7</v>
      </c>
      <c r="L19" s="4">
        <f t="shared" si="6"/>
        <v>8</v>
      </c>
      <c r="M19" s="4">
        <f t="shared" si="7"/>
        <v>0</v>
      </c>
      <c r="N19" s="4">
        <f t="shared" si="8"/>
        <v>-1.5942</v>
      </c>
      <c r="O19" s="4">
        <f t="shared" si="9"/>
        <v>1.8</v>
      </c>
      <c r="P19" s="4">
        <f t="shared" si="10"/>
        <v>12.7</v>
      </c>
    </row>
    <row r="20">
      <c r="A20" s="4">
        <v>1997.0</v>
      </c>
      <c r="B20" s="4">
        <v>170.0</v>
      </c>
      <c r="C20" s="5">
        <v>11.2</v>
      </c>
      <c r="D20" s="5">
        <v>17.7</v>
      </c>
      <c r="E20" s="4">
        <f t="shared" si="1"/>
        <v>0</v>
      </c>
      <c r="F20" s="4">
        <f t="shared" si="2"/>
        <v>0</v>
      </c>
      <c r="G20" s="4">
        <f t="shared" si="3"/>
        <v>25.544</v>
      </c>
      <c r="H20" s="4">
        <f t="shared" si="4"/>
        <v>22.021</v>
      </c>
      <c r="I20" s="4" t="str">
        <f t="shared" si="5"/>
        <v> </v>
      </c>
      <c r="J20" s="5"/>
      <c r="K20" s="5">
        <v>13.5</v>
      </c>
      <c r="L20" s="4">
        <f t="shared" si="6"/>
        <v>3</v>
      </c>
      <c r="M20" s="4">
        <f t="shared" si="7"/>
        <v>0</v>
      </c>
      <c r="N20" s="4">
        <f t="shared" si="8"/>
        <v>-7.7206</v>
      </c>
      <c r="O20" s="4" t="str">
        <f t="shared" si="9"/>
        <v/>
      </c>
      <c r="P20" s="4">
        <f t="shared" si="10"/>
        <v>13.5</v>
      </c>
    </row>
    <row r="21" ht="15.75" customHeight="1">
      <c r="A21" s="4">
        <v>1997.0</v>
      </c>
      <c r="B21" s="4">
        <v>171.0</v>
      </c>
      <c r="C21" s="5">
        <v>11.0</v>
      </c>
      <c r="D21" s="5">
        <v>16.9</v>
      </c>
      <c r="E21" s="4">
        <f t="shared" si="1"/>
        <v>0</v>
      </c>
      <c r="F21" s="4">
        <f t="shared" si="2"/>
        <v>0</v>
      </c>
      <c r="G21" s="4">
        <f t="shared" si="3"/>
        <v>26.461</v>
      </c>
      <c r="H21" s="4">
        <f t="shared" si="4"/>
        <v>24.0255</v>
      </c>
      <c r="I21" s="4" t="str">
        <f t="shared" si="5"/>
        <v> </v>
      </c>
      <c r="J21" s="5"/>
      <c r="K21" s="5">
        <v>13.0</v>
      </c>
      <c r="L21" s="4">
        <f t="shared" si="6"/>
        <v>3</v>
      </c>
      <c r="M21" s="4">
        <f t="shared" si="7"/>
        <v>0</v>
      </c>
      <c r="N21" s="4">
        <f t="shared" si="8"/>
        <v>-2.4336</v>
      </c>
      <c r="O21" s="4" t="str">
        <f t="shared" si="9"/>
        <v/>
      </c>
      <c r="P21" s="4">
        <f t="shared" si="10"/>
        <v>13</v>
      </c>
    </row>
    <row r="22" ht="15.75" customHeight="1">
      <c r="A22" s="4">
        <v>1997.0</v>
      </c>
      <c r="B22" s="4">
        <v>172.0</v>
      </c>
      <c r="C22" s="5">
        <v>8.7</v>
      </c>
      <c r="D22" s="5">
        <v>23.1</v>
      </c>
      <c r="E22" s="4">
        <f t="shared" si="1"/>
        <v>0</v>
      </c>
      <c r="F22" s="4">
        <f t="shared" si="2"/>
        <v>0</v>
      </c>
      <c r="G22" s="4">
        <f t="shared" si="3"/>
        <v>31.138</v>
      </c>
      <c r="H22" s="4">
        <f t="shared" si="4"/>
        <v>27.5045</v>
      </c>
      <c r="I22" s="4" t="str">
        <f t="shared" si="5"/>
        <v> </v>
      </c>
      <c r="J22" s="5"/>
      <c r="K22" s="5">
        <v>16.5</v>
      </c>
      <c r="L22" s="4">
        <f t="shared" si="6"/>
        <v>3</v>
      </c>
      <c r="M22" s="4">
        <f t="shared" si="7"/>
        <v>1</v>
      </c>
      <c r="N22" s="4">
        <f t="shared" si="8"/>
        <v>0.4937</v>
      </c>
      <c r="O22" s="4" t="str">
        <f t="shared" si="9"/>
        <v/>
      </c>
      <c r="P22" s="4">
        <f t="shared" si="10"/>
        <v>16.5</v>
      </c>
    </row>
    <row r="23" ht="15.75" customHeight="1">
      <c r="A23" s="4">
        <v>1997.0</v>
      </c>
      <c r="B23" s="4">
        <v>173.0</v>
      </c>
      <c r="C23" s="5">
        <v>10.6</v>
      </c>
      <c r="D23" s="5">
        <v>21.8</v>
      </c>
      <c r="E23" s="4">
        <f t="shared" si="1"/>
        <v>1</v>
      </c>
      <c r="F23" s="4">
        <f t="shared" si="2"/>
        <v>0</v>
      </c>
      <c r="G23" s="4">
        <f t="shared" si="3"/>
        <v>31.271</v>
      </c>
      <c r="H23" s="4">
        <f t="shared" si="4"/>
        <v>28.2845</v>
      </c>
      <c r="I23" s="4" t="str">
        <f t="shared" si="5"/>
        <v> </v>
      </c>
      <c r="J23" s="5">
        <v>0.5</v>
      </c>
      <c r="K23" s="5">
        <v>16.2</v>
      </c>
      <c r="L23" s="4">
        <f t="shared" si="6"/>
        <v>8</v>
      </c>
      <c r="M23" s="4">
        <f t="shared" si="7"/>
        <v>0</v>
      </c>
      <c r="N23" s="4">
        <f t="shared" si="8"/>
        <v>-2.2375</v>
      </c>
      <c r="O23" s="4">
        <f t="shared" si="9"/>
        <v>0.5</v>
      </c>
      <c r="P23" s="4">
        <f t="shared" si="10"/>
        <v>16.2</v>
      </c>
    </row>
    <row r="24" ht="15.75" customHeight="1">
      <c r="A24" s="4">
        <v>1997.0</v>
      </c>
      <c r="B24" s="4">
        <v>174.0</v>
      </c>
      <c r="C24" s="5">
        <v>10.7</v>
      </c>
      <c r="D24" s="5">
        <v>25.3</v>
      </c>
      <c r="E24" s="4">
        <f t="shared" si="1"/>
        <v>0</v>
      </c>
      <c r="F24" s="4">
        <f t="shared" si="2"/>
        <v>0</v>
      </c>
      <c r="G24" s="4">
        <f t="shared" si="3"/>
        <v>31.843</v>
      </c>
      <c r="H24" s="4">
        <f t="shared" si="4"/>
        <v>28.309</v>
      </c>
      <c r="I24" s="4" t="str">
        <f t="shared" si="5"/>
        <v> </v>
      </c>
      <c r="J24" s="5"/>
      <c r="K24" s="5">
        <v>19.6</v>
      </c>
      <c r="L24" s="4">
        <f t="shared" si="6"/>
        <v>3</v>
      </c>
      <c r="M24" s="4">
        <f t="shared" si="7"/>
        <v>0</v>
      </c>
      <c r="N24" s="4">
        <f t="shared" si="8"/>
        <v>-8.1842</v>
      </c>
      <c r="O24" s="4" t="str">
        <f t="shared" si="9"/>
        <v/>
      </c>
      <c r="P24" s="4">
        <f t="shared" si="10"/>
        <v>19.6</v>
      </c>
    </row>
    <row r="25" ht="15.75" customHeight="1">
      <c r="A25" s="4">
        <v>1997.0</v>
      </c>
      <c r="B25" s="4">
        <v>175.0</v>
      </c>
      <c r="C25" s="5">
        <v>15.7</v>
      </c>
      <c r="D25" s="5">
        <v>23.3</v>
      </c>
      <c r="E25" s="4">
        <f t="shared" si="1"/>
        <v>0</v>
      </c>
      <c r="F25" s="4">
        <f t="shared" si="2"/>
        <v>0</v>
      </c>
      <c r="G25" s="4">
        <f t="shared" si="3"/>
        <v>32.092</v>
      </c>
      <c r="H25" s="4">
        <f t="shared" si="4"/>
        <v>28.824</v>
      </c>
      <c r="I25" s="4" t="str">
        <f t="shared" si="5"/>
        <v> </v>
      </c>
      <c r="J25" s="5"/>
      <c r="K25" s="5">
        <v>18.8</v>
      </c>
      <c r="L25" s="4">
        <f t="shared" si="6"/>
        <v>3</v>
      </c>
      <c r="M25" s="4">
        <f t="shared" si="7"/>
        <v>0</v>
      </c>
      <c r="N25" s="4">
        <f t="shared" si="8"/>
        <v>-7.1439</v>
      </c>
      <c r="O25" s="4" t="str">
        <f t="shared" si="9"/>
        <v/>
      </c>
      <c r="P25" s="4">
        <f t="shared" si="10"/>
        <v>18.8</v>
      </c>
    </row>
    <row r="26" ht="15.75" customHeight="1">
      <c r="A26" s="4">
        <v>1997.0</v>
      </c>
      <c r="B26" s="4">
        <v>176.0</v>
      </c>
      <c r="C26" s="5">
        <v>13.9</v>
      </c>
      <c r="D26" s="5">
        <v>23.6</v>
      </c>
      <c r="E26" s="4">
        <f t="shared" si="1"/>
        <v>0</v>
      </c>
      <c r="F26" s="4">
        <f t="shared" si="2"/>
        <v>0</v>
      </c>
      <c r="G26" s="4">
        <f t="shared" si="3"/>
        <v>35.205</v>
      </c>
      <c r="H26" s="4">
        <f t="shared" si="4"/>
        <v>32.19</v>
      </c>
      <c r="I26" s="4" t="str">
        <f t="shared" si="5"/>
        <v> </v>
      </c>
      <c r="J26" s="5"/>
      <c r="K26" s="5">
        <v>17.9</v>
      </c>
      <c r="L26" s="4">
        <f t="shared" si="6"/>
        <v>3</v>
      </c>
      <c r="M26" s="4">
        <f t="shared" si="7"/>
        <v>0</v>
      </c>
      <c r="N26" s="4">
        <f t="shared" si="8"/>
        <v>-1.9926</v>
      </c>
      <c r="O26" s="4" t="str">
        <f t="shared" si="9"/>
        <v/>
      </c>
      <c r="P26" s="4">
        <f t="shared" si="10"/>
        <v>17.9</v>
      </c>
    </row>
    <row r="27" ht="15.75" customHeight="1">
      <c r="A27" s="4">
        <v>1997.0</v>
      </c>
      <c r="B27" s="4">
        <v>177.0</v>
      </c>
      <c r="C27" s="5">
        <v>14.4</v>
      </c>
      <c r="D27" s="5">
        <v>23.4</v>
      </c>
      <c r="E27" s="4">
        <f t="shared" si="1"/>
        <v>0</v>
      </c>
      <c r="F27" s="4">
        <f t="shared" si="2"/>
        <v>0</v>
      </c>
      <c r="G27" s="4">
        <f t="shared" si="3"/>
        <v>34.29</v>
      </c>
      <c r="H27" s="4">
        <f t="shared" si="4"/>
        <v>31.4595</v>
      </c>
      <c r="I27" s="4" t="str">
        <f t="shared" si="5"/>
        <v> </v>
      </c>
      <c r="J27" s="5"/>
      <c r="K27" s="5">
        <v>19.0</v>
      </c>
      <c r="L27" s="4">
        <f t="shared" si="6"/>
        <v>3</v>
      </c>
      <c r="M27" s="4">
        <f t="shared" si="7"/>
        <v>1</v>
      </c>
      <c r="N27" s="4">
        <f t="shared" si="8"/>
        <v>6.0126</v>
      </c>
      <c r="O27" s="4" t="str">
        <f t="shared" si="9"/>
        <v/>
      </c>
      <c r="P27" s="4">
        <f t="shared" si="10"/>
        <v>19</v>
      </c>
    </row>
    <row r="28" ht="15.75" customHeight="1">
      <c r="A28" s="4">
        <v>1997.0</v>
      </c>
      <c r="B28" s="4">
        <v>178.0</v>
      </c>
      <c r="C28" s="5">
        <v>15.8</v>
      </c>
      <c r="D28" s="5">
        <v>24.8</v>
      </c>
      <c r="E28" s="4">
        <f t="shared" si="1"/>
        <v>1</v>
      </c>
      <c r="F28" s="4">
        <f t="shared" si="2"/>
        <v>0</v>
      </c>
      <c r="G28" s="4">
        <f t="shared" si="3"/>
        <v>36.283</v>
      </c>
      <c r="H28" s="4">
        <f t="shared" si="4"/>
        <v>33.9005</v>
      </c>
      <c r="I28" s="4" t="str">
        <f t="shared" si="5"/>
        <v> </v>
      </c>
      <c r="J28" s="5">
        <v>9.2</v>
      </c>
      <c r="K28" s="5">
        <v>19.1</v>
      </c>
      <c r="L28" s="4">
        <f t="shared" si="6"/>
        <v>8</v>
      </c>
      <c r="M28" s="4">
        <f t="shared" si="7"/>
        <v>1</v>
      </c>
      <c r="N28" s="4">
        <f t="shared" si="8"/>
        <v>6.3291</v>
      </c>
      <c r="O28" s="4">
        <f t="shared" si="9"/>
        <v>9.2</v>
      </c>
      <c r="P28" s="4">
        <f t="shared" si="10"/>
        <v>19.1</v>
      </c>
    </row>
    <row r="29" ht="15.75" customHeight="1">
      <c r="A29" s="4">
        <v>1997.0</v>
      </c>
      <c r="B29" s="4">
        <v>179.0</v>
      </c>
      <c r="C29" s="5">
        <v>14.0</v>
      </c>
      <c r="D29" s="5">
        <v>22.0</v>
      </c>
      <c r="E29" s="4">
        <f t="shared" si="1"/>
        <v>1</v>
      </c>
      <c r="F29" s="4">
        <f t="shared" si="2"/>
        <v>0</v>
      </c>
      <c r="G29" s="4">
        <f t="shared" si="3"/>
        <v>33.624</v>
      </c>
      <c r="H29" s="4">
        <f t="shared" si="4"/>
        <v>30.4465</v>
      </c>
      <c r="I29" s="4" t="str">
        <f t="shared" si="5"/>
        <v> </v>
      </c>
      <c r="J29" s="5">
        <v>0.1</v>
      </c>
      <c r="K29" s="5">
        <v>18.6</v>
      </c>
      <c r="L29" s="4">
        <f t="shared" si="6"/>
        <v>8</v>
      </c>
      <c r="M29" s="4">
        <f t="shared" si="7"/>
        <v>0</v>
      </c>
      <c r="N29" s="4">
        <f t="shared" si="8"/>
        <v>-3.2963</v>
      </c>
      <c r="O29" s="4">
        <f t="shared" si="9"/>
        <v>0.1</v>
      </c>
      <c r="P29" s="4">
        <f t="shared" si="10"/>
        <v>18.6</v>
      </c>
    </row>
    <row r="30" ht="15.75" customHeight="1">
      <c r="A30" s="4">
        <v>1997.0</v>
      </c>
      <c r="B30" s="4">
        <v>180.0</v>
      </c>
      <c r="C30" s="5">
        <v>15.9</v>
      </c>
      <c r="D30" s="5">
        <v>25.5</v>
      </c>
      <c r="E30" s="4">
        <f t="shared" si="1"/>
        <v>0</v>
      </c>
      <c r="F30" s="4">
        <f t="shared" si="2"/>
        <v>0</v>
      </c>
      <c r="G30" s="4">
        <f t="shared" si="3"/>
        <v>36.147</v>
      </c>
      <c r="H30" s="4">
        <f t="shared" si="4"/>
        <v>29.8945</v>
      </c>
      <c r="I30" s="4" t="str">
        <f t="shared" si="5"/>
        <v> </v>
      </c>
      <c r="J30" s="5"/>
      <c r="K30" s="5">
        <v>20.3</v>
      </c>
      <c r="L30" s="4">
        <f t="shared" si="6"/>
        <v>3</v>
      </c>
      <c r="M30" s="4">
        <f t="shared" si="7"/>
        <v>0</v>
      </c>
      <c r="N30" s="4">
        <f t="shared" si="8"/>
        <v>-9.3664</v>
      </c>
      <c r="O30" s="4" t="str">
        <f t="shared" si="9"/>
        <v/>
      </c>
      <c r="P30" s="4">
        <f t="shared" si="10"/>
        <v>20.3</v>
      </c>
    </row>
    <row r="31" ht="15.75" customHeight="1">
      <c r="A31" s="4">
        <v>1997.0</v>
      </c>
      <c r="B31" s="4">
        <v>181.0</v>
      </c>
      <c r="C31" s="5">
        <v>15.5</v>
      </c>
      <c r="D31" s="5">
        <v>23.1</v>
      </c>
      <c r="E31" s="4">
        <f t="shared" si="1"/>
        <v>0</v>
      </c>
      <c r="F31" s="4">
        <f t="shared" si="2"/>
        <v>0</v>
      </c>
      <c r="G31" s="4">
        <f t="shared" si="3"/>
        <v>36.142</v>
      </c>
      <c r="H31" s="4">
        <f t="shared" si="4"/>
        <v>30.5275</v>
      </c>
      <c r="I31" s="4" t="str">
        <f t="shared" si="5"/>
        <v> </v>
      </c>
      <c r="J31" s="5"/>
      <c r="K31" s="5">
        <v>19.2</v>
      </c>
      <c r="L31" s="4">
        <f t="shared" si="6"/>
        <v>3</v>
      </c>
      <c r="M31" s="4">
        <f t="shared" si="7"/>
        <v>0</v>
      </c>
      <c r="N31" s="4">
        <f t="shared" si="8"/>
        <v>-7.8114</v>
      </c>
      <c r="O31" s="4" t="str">
        <f t="shared" si="9"/>
        <v/>
      </c>
      <c r="P31" s="4">
        <f t="shared" si="10"/>
        <v>19.2</v>
      </c>
    </row>
    <row r="32" ht="15.75" customHeight="1">
      <c r="A32" s="4">
        <v>1997.0</v>
      </c>
      <c r="B32" s="4">
        <v>182.0</v>
      </c>
      <c r="C32" s="5">
        <v>11.9</v>
      </c>
      <c r="D32" s="5">
        <v>23.4</v>
      </c>
      <c r="E32" s="4">
        <f t="shared" si="1"/>
        <v>0</v>
      </c>
      <c r="F32" s="4">
        <f t="shared" si="2"/>
        <v>0</v>
      </c>
      <c r="G32" s="4">
        <f t="shared" si="3"/>
        <v>35.814</v>
      </c>
      <c r="H32" s="4">
        <f t="shared" si="4"/>
        <v>30.587</v>
      </c>
      <c r="I32" s="4" t="str">
        <f t="shared" si="5"/>
        <v> </v>
      </c>
      <c r="J32" s="5"/>
      <c r="K32" s="5">
        <v>18.4</v>
      </c>
      <c r="L32" s="4">
        <f t="shared" si="6"/>
        <v>3</v>
      </c>
      <c r="M32" s="4">
        <f t="shared" si="7"/>
        <v>0</v>
      </c>
      <c r="N32" s="4">
        <f t="shared" si="8"/>
        <v>-9.0719</v>
      </c>
      <c r="O32" s="4" t="str">
        <f t="shared" si="9"/>
        <v/>
      </c>
      <c r="P32" s="4">
        <f t="shared" si="10"/>
        <v>18.4</v>
      </c>
    </row>
    <row r="33" ht="15.75" customHeight="1">
      <c r="A33" s="4">
        <v>1997.0</v>
      </c>
      <c r="B33" s="4">
        <v>183.0</v>
      </c>
      <c r="C33" s="5">
        <v>13.1</v>
      </c>
      <c r="D33" s="5">
        <v>25.7</v>
      </c>
      <c r="E33" s="4">
        <f t="shared" si="1"/>
        <v>0</v>
      </c>
      <c r="F33" s="4">
        <f t="shared" si="2"/>
        <v>0</v>
      </c>
      <c r="G33" s="4">
        <f t="shared" si="3"/>
        <v>35.865</v>
      </c>
      <c r="H33" s="4">
        <f t="shared" si="4"/>
        <v>29.859</v>
      </c>
      <c r="I33" s="4" t="str">
        <f t="shared" si="5"/>
        <v> </v>
      </c>
      <c r="J33" s="5"/>
      <c r="K33" s="5">
        <v>20.2</v>
      </c>
      <c r="L33" s="4">
        <f t="shared" si="6"/>
        <v>3</v>
      </c>
      <c r="M33" s="4">
        <f t="shared" si="7"/>
        <v>0</v>
      </c>
      <c r="N33" s="4">
        <f t="shared" si="8"/>
        <v>-8.9101</v>
      </c>
      <c r="O33" s="4" t="str">
        <f t="shared" si="9"/>
        <v/>
      </c>
      <c r="P33" s="4">
        <f t="shared" si="10"/>
        <v>20.2</v>
      </c>
    </row>
    <row r="34" ht="15.75" customHeight="1">
      <c r="A34" s="4">
        <v>1997.0</v>
      </c>
      <c r="B34" s="4">
        <v>184.0</v>
      </c>
      <c r="C34" s="5">
        <v>12.7</v>
      </c>
      <c r="D34" s="5">
        <v>28.1</v>
      </c>
      <c r="E34" s="4">
        <f t="shared" si="1"/>
        <v>0</v>
      </c>
      <c r="F34" s="4">
        <f t="shared" si="2"/>
        <v>0</v>
      </c>
      <c r="G34" s="4">
        <f t="shared" si="3"/>
        <v>35.815</v>
      </c>
      <c r="H34" s="4">
        <f t="shared" si="4"/>
        <v>29.7305</v>
      </c>
      <c r="I34" s="4" t="str">
        <f t="shared" si="5"/>
        <v> </v>
      </c>
      <c r="J34" s="5"/>
      <c r="K34" s="5">
        <v>21.0</v>
      </c>
      <c r="L34" s="4">
        <f t="shared" si="6"/>
        <v>3</v>
      </c>
      <c r="M34" s="4">
        <f t="shared" si="7"/>
        <v>0</v>
      </c>
      <c r="N34" s="4">
        <f t="shared" si="8"/>
        <v>-8.3787</v>
      </c>
      <c r="O34" s="4" t="str">
        <f t="shared" si="9"/>
        <v/>
      </c>
      <c r="P34" s="4">
        <f t="shared" si="10"/>
        <v>21</v>
      </c>
    </row>
    <row r="35" ht="15.75" customHeight="1">
      <c r="A35" s="4">
        <v>1997.0</v>
      </c>
      <c r="B35" s="4">
        <v>185.0</v>
      </c>
      <c r="C35" s="5">
        <v>14.4</v>
      </c>
      <c r="D35" s="5">
        <v>28.3</v>
      </c>
      <c r="E35" s="4">
        <f t="shared" si="1"/>
        <v>0</v>
      </c>
      <c r="F35" s="4">
        <f t="shared" si="2"/>
        <v>0</v>
      </c>
      <c r="G35" s="4">
        <f t="shared" si="3"/>
        <v>33.866</v>
      </c>
      <c r="H35" s="4">
        <f t="shared" si="4"/>
        <v>27.9345</v>
      </c>
      <c r="I35" s="4" t="str">
        <f t="shared" si="5"/>
        <v> </v>
      </c>
      <c r="J35" s="5"/>
      <c r="K35" s="5">
        <v>22.0</v>
      </c>
      <c r="L35" s="4">
        <f t="shared" si="6"/>
        <v>3</v>
      </c>
      <c r="M35" s="4">
        <f t="shared" si="7"/>
        <v>0</v>
      </c>
      <c r="N35" s="4">
        <f t="shared" si="8"/>
        <v>-9.7622</v>
      </c>
      <c r="O35" s="4" t="str">
        <f t="shared" si="9"/>
        <v/>
      </c>
      <c r="P35" s="4">
        <f t="shared" si="10"/>
        <v>22</v>
      </c>
    </row>
    <row r="36" ht="15.75" customHeight="1">
      <c r="A36" s="4">
        <v>1997.0</v>
      </c>
      <c r="B36" s="4">
        <v>186.0</v>
      </c>
      <c r="C36" s="5">
        <v>16.2</v>
      </c>
      <c r="D36" s="5">
        <v>26.2</v>
      </c>
      <c r="E36" s="4">
        <f t="shared" si="1"/>
        <v>0</v>
      </c>
      <c r="F36" s="4">
        <f t="shared" si="2"/>
        <v>0</v>
      </c>
      <c r="G36" s="4">
        <f t="shared" si="3"/>
        <v>34.009</v>
      </c>
      <c r="H36" s="4">
        <f t="shared" si="4"/>
        <v>28.537</v>
      </c>
      <c r="I36" s="4" t="str">
        <f t="shared" si="5"/>
        <v> </v>
      </c>
      <c r="J36" s="5"/>
      <c r="K36" s="5">
        <v>21.9</v>
      </c>
      <c r="L36" s="4">
        <f t="shared" si="6"/>
        <v>3</v>
      </c>
      <c r="M36" s="4">
        <f t="shared" si="7"/>
        <v>0</v>
      </c>
      <c r="N36" s="4">
        <f t="shared" si="8"/>
        <v>-9.7848</v>
      </c>
      <c r="O36" s="4" t="str">
        <f t="shared" si="9"/>
        <v/>
      </c>
      <c r="P36" s="4">
        <f t="shared" si="10"/>
        <v>21.9</v>
      </c>
    </row>
    <row r="37" ht="15.75" customHeight="1">
      <c r="A37" s="4">
        <v>1997.0</v>
      </c>
      <c r="B37" s="4">
        <v>187.0</v>
      </c>
      <c r="C37" s="5">
        <v>13.3</v>
      </c>
      <c r="D37" s="5">
        <v>23.0</v>
      </c>
      <c r="E37" s="4">
        <f t="shared" si="1"/>
        <v>0</v>
      </c>
      <c r="F37" s="4">
        <f t="shared" si="2"/>
        <v>0</v>
      </c>
      <c r="G37" s="4">
        <f t="shared" si="3"/>
        <v>30.538</v>
      </c>
      <c r="H37" s="4">
        <f t="shared" si="4"/>
        <v>25.2395</v>
      </c>
      <c r="I37" s="4" t="str">
        <f t="shared" si="5"/>
        <v> </v>
      </c>
      <c r="J37" s="5"/>
      <c r="K37" s="5">
        <v>18.2</v>
      </c>
      <c r="L37" s="4">
        <f t="shared" si="6"/>
        <v>3</v>
      </c>
      <c r="M37" s="4">
        <f t="shared" si="7"/>
        <v>0</v>
      </c>
      <c r="N37" s="4">
        <f t="shared" si="8"/>
        <v>-9.0116</v>
      </c>
      <c r="O37" s="4" t="str">
        <f t="shared" si="9"/>
        <v/>
      </c>
      <c r="P37" s="4">
        <f t="shared" si="10"/>
        <v>18.2</v>
      </c>
    </row>
    <row r="38" ht="15.75" customHeight="1">
      <c r="A38" s="4">
        <v>1997.0</v>
      </c>
      <c r="B38" s="4">
        <v>188.0</v>
      </c>
      <c r="C38" s="5">
        <v>10.9</v>
      </c>
      <c r="D38" s="5">
        <v>23.7</v>
      </c>
      <c r="E38" s="4">
        <f t="shared" si="1"/>
        <v>0</v>
      </c>
      <c r="F38" s="4">
        <f t="shared" si="2"/>
        <v>0</v>
      </c>
      <c r="G38" s="4">
        <f t="shared" si="3"/>
        <v>26.198</v>
      </c>
      <c r="H38" s="4">
        <f t="shared" si="4"/>
        <v>21.685</v>
      </c>
      <c r="I38" s="4" t="str">
        <f t="shared" si="5"/>
        <v> </v>
      </c>
      <c r="J38" s="5"/>
      <c r="K38" s="5">
        <v>17.8</v>
      </c>
      <c r="L38" s="4">
        <f t="shared" si="6"/>
        <v>3</v>
      </c>
      <c r="M38" s="4">
        <f t="shared" si="7"/>
        <v>0</v>
      </c>
      <c r="N38" s="4">
        <f t="shared" si="8"/>
        <v>-7.993</v>
      </c>
      <c r="O38" s="4" t="str">
        <f t="shared" si="9"/>
        <v/>
      </c>
      <c r="P38" s="4">
        <f t="shared" si="10"/>
        <v>17.8</v>
      </c>
    </row>
    <row r="39" ht="15.75" customHeight="1">
      <c r="A39" s="4">
        <v>1997.0</v>
      </c>
      <c r="B39" s="4">
        <v>189.0</v>
      </c>
      <c r="C39" s="5">
        <v>10.4</v>
      </c>
      <c r="D39" s="5">
        <v>22.6</v>
      </c>
      <c r="E39" s="4">
        <f t="shared" si="1"/>
        <v>0</v>
      </c>
      <c r="F39" s="4">
        <f t="shared" si="2"/>
        <v>0</v>
      </c>
      <c r="G39" s="4">
        <f t="shared" si="3"/>
        <v>23.443</v>
      </c>
      <c r="H39" s="4">
        <f t="shared" si="4"/>
        <v>18.844</v>
      </c>
      <c r="I39" s="4" t="str">
        <f t="shared" si="5"/>
        <v> </v>
      </c>
      <c r="J39" s="5"/>
      <c r="K39" s="5">
        <v>16.8</v>
      </c>
      <c r="L39" s="4">
        <f t="shared" si="6"/>
        <v>3</v>
      </c>
      <c r="M39" s="4">
        <f t="shared" si="7"/>
        <v>0</v>
      </c>
      <c r="N39" s="4">
        <f t="shared" si="8"/>
        <v>-7.8352</v>
      </c>
      <c r="O39" s="4" t="str">
        <f t="shared" si="9"/>
        <v/>
      </c>
      <c r="P39" s="4">
        <f t="shared" si="10"/>
        <v>16.8</v>
      </c>
    </row>
    <row r="40" ht="15.75" customHeight="1">
      <c r="A40" s="4">
        <v>1997.0</v>
      </c>
      <c r="B40" s="4">
        <v>190.0</v>
      </c>
      <c r="C40" s="5">
        <v>12.3</v>
      </c>
      <c r="D40" s="5">
        <v>25.2</v>
      </c>
      <c r="E40" s="4">
        <f t="shared" si="1"/>
        <v>0</v>
      </c>
      <c r="F40" s="4">
        <f t="shared" si="2"/>
        <v>0</v>
      </c>
      <c r="G40" s="4">
        <f t="shared" si="3"/>
        <v>22.326</v>
      </c>
      <c r="H40" s="4">
        <f t="shared" si="4"/>
        <v>17.295</v>
      </c>
      <c r="I40" s="4" t="str">
        <f t="shared" si="5"/>
        <v> </v>
      </c>
      <c r="J40" s="5"/>
      <c r="K40" s="5">
        <v>18.9</v>
      </c>
      <c r="L40" s="4">
        <f t="shared" si="6"/>
        <v>3</v>
      </c>
      <c r="M40" s="4">
        <f t="shared" si="7"/>
        <v>0</v>
      </c>
      <c r="N40" s="4">
        <f t="shared" si="8"/>
        <v>-7.339</v>
      </c>
      <c r="O40" s="4" t="str">
        <f t="shared" si="9"/>
        <v/>
      </c>
      <c r="P40" s="4">
        <f t="shared" si="10"/>
        <v>18.9</v>
      </c>
    </row>
    <row r="41" ht="15.75" customHeight="1">
      <c r="A41" s="4">
        <v>1997.0</v>
      </c>
      <c r="B41" s="4">
        <v>191.0</v>
      </c>
      <c r="C41" s="5">
        <v>13.2</v>
      </c>
      <c r="D41" s="5">
        <v>23.7</v>
      </c>
      <c r="E41" s="4">
        <f t="shared" si="1"/>
        <v>0</v>
      </c>
      <c r="F41" s="4">
        <f t="shared" si="2"/>
        <v>0</v>
      </c>
      <c r="G41" s="4">
        <f t="shared" si="3"/>
        <v>20.717</v>
      </c>
      <c r="H41" s="4">
        <f t="shared" si="4"/>
        <v>17.5945</v>
      </c>
      <c r="I41" s="4" t="str">
        <f t="shared" si="5"/>
        <v> </v>
      </c>
      <c r="J41" s="5"/>
      <c r="K41" s="5">
        <v>18.4</v>
      </c>
      <c r="L41" s="4">
        <f t="shared" si="6"/>
        <v>3</v>
      </c>
      <c r="M41" s="4">
        <f t="shared" si="7"/>
        <v>0</v>
      </c>
      <c r="N41" s="4">
        <f t="shared" si="8"/>
        <v>-7.3204</v>
      </c>
      <c r="O41" s="4" t="str">
        <f t="shared" si="9"/>
        <v/>
      </c>
      <c r="P41" s="4">
        <f t="shared" si="10"/>
        <v>18.4</v>
      </c>
    </row>
    <row r="42" ht="15.75" customHeight="1">
      <c r="A42" s="4">
        <v>1997.0</v>
      </c>
      <c r="B42" s="4">
        <v>192.0</v>
      </c>
      <c r="C42" s="5">
        <v>13.6</v>
      </c>
      <c r="D42" s="5">
        <v>18.1</v>
      </c>
      <c r="E42" s="4">
        <f t="shared" si="1"/>
        <v>0</v>
      </c>
      <c r="F42" s="4">
        <f t="shared" si="2"/>
        <v>0</v>
      </c>
      <c r="G42" s="4">
        <f t="shared" si="3"/>
        <v>17.664</v>
      </c>
      <c r="H42" s="4">
        <f t="shared" si="4"/>
        <v>14.3805</v>
      </c>
      <c r="I42" s="4" t="str">
        <f t="shared" si="5"/>
        <v> </v>
      </c>
      <c r="J42" s="5"/>
      <c r="K42" s="5">
        <v>16.0</v>
      </c>
      <c r="L42" s="4">
        <f t="shared" si="6"/>
        <v>3</v>
      </c>
      <c r="M42" s="4">
        <f t="shared" si="7"/>
        <v>0</v>
      </c>
      <c r="N42" s="4">
        <f t="shared" si="8"/>
        <v>-6.136</v>
      </c>
      <c r="O42" s="4" t="str">
        <f t="shared" si="9"/>
        <v/>
      </c>
      <c r="P42" s="4">
        <f t="shared" si="10"/>
        <v>16</v>
      </c>
    </row>
    <row r="43" ht="15.75" customHeight="1">
      <c r="A43" s="4">
        <v>1997.0</v>
      </c>
      <c r="B43" s="4">
        <v>193.0</v>
      </c>
      <c r="C43" s="5">
        <v>11.4</v>
      </c>
      <c r="D43" s="5">
        <v>17.5</v>
      </c>
      <c r="E43" s="4">
        <f t="shared" si="1"/>
        <v>0</v>
      </c>
      <c r="F43" s="4">
        <f t="shared" si="2"/>
        <v>0</v>
      </c>
      <c r="G43" s="4">
        <f t="shared" si="3"/>
        <v>17.491</v>
      </c>
      <c r="H43" s="4">
        <f t="shared" si="4"/>
        <v>15.3015</v>
      </c>
      <c r="I43" s="4" t="str">
        <f t="shared" si="5"/>
        <v> </v>
      </c>
      <c r="J43" s="5"/>
      <c r="K43" s="5">
        <v>14.1</v>
      </c>
      <c r="L43" s="4">
        <f t="shared" si="6"/>
        <v>3</v>
      </c>
      <c r="M43" s="4">
        <f t="shared" si="7"/>
        <v>0</v>
      </c>
      <c r="N43" s="4">
        <f t="shared" si="8"/>
        <v>-2.2846</v>
      </c>
      <c r="O43" s="4" t="str">
        <f t="shared" si="9"/>
        <v/>
      </c>
      <c r="P43" s="4">
        <f t="shared" si="10"/>
        <v>14.1</v>
      </c>
    </row>
    <row r="44" ht="15.75" customHeight="1">
      <c r="A44" s="4">
        <v>1997.0</v>
      </c>
      <c r="B44" s="4">
        <v>194.0</v>
      </c>
      <c r="C44" s="5">
        <v>10.5</v>
      </c>
      <c r="D44" s="5">
        <v>17.1</v>
      </c>
      <c r="E44" s="4">
        <f t="shared" si="1"/>
        <v>0</v>
      </c>
      <c r="F44" s="4">
        <f t="shared" si="2"/>
        <v>0</v>
      </c>
      <c r="G44" s="4">
        <f t="shared" si="3"/>
        <v>17.529</v>
      </c>
      <c r="H44" s="4">
        <f t="shared" si="4"/>
        <v>15.004</v>
      </c>
      <c r="I44" s="4" t="str">
        <f t="shared" si="5"/>
        <v> </v>
      </c>
      <c r="J44" s="5"/>
      <c r="K44" s="5">
        <v>13.4</v>
      </c>
      <c r="L44" s="4">
        <f t="shared" si="6"/>
        <v>3</v>
      </c>
      <c r="M44" s="4">
        <f t="shared" si="7"/>
        <v>1</v>
      </c>
      <c r="N44" s="4">
        <f t="shared" si="8"/>
        <v>2.6541</v>
      </c>
      <c r="O44" s="4" t="str">
        <f t="shared" si="9"/>
        <v/>
      </c>
      <c r="P44" s="4">
        <f t="shared" si="10"/>
        <v>13.4</v>
      </c>
    </row>
    <row r="45" ht="15.75" customHeight="1">
      <c r="A45" s="4">
        <v>1997.0</v>
      </c>
      <c r="B45" s="4">
        <v>195.0</v>
      </c>
      <c r="C45" s="5">
        <v>9.1</v>
      </c>
      <c r="D45" s="5">
        <v>18.6</v>
      </c>
      <c r="E45" s="4">
        <f t="shared" si="1"/>
        <v>1</v>
      </c>
      <c r="F45" s="4">
        <f t="shared" si="2"/>
        <v>0</v>
      </c>
      <c r="G45" s="4">
        <f t="shared" si="3"/>
        <v>22.938</v>
      </c>
      <c r="H45" s="4">
        <f t="shared" si="4"/>
        <v>22.8925</v>
      </c>
      <c r="I45" s="4" t="str">
        <f t="shared" si="5"/>
        <v> </v>
      </c>
      <c r="J45" s="5">
        <v>1.3</v>
      </c>
      <c r="K45" s="5">
        <v>13.8</v>
      </c>
      <c r="L45" s="4">
        <f t="shared" si="6"/>
        <v>8</v>
      </c>
      <c r="M45" s="4">
        <f t="shared" si="7"/>
        <v>0</v>
      </c>
      <c r="N45" s="4">
        <f t="shared" si="8"/>
        <v>-2.6401</v>
      </c>
      <c r="O45" s="4">
        <f t="shared" si="9"/>
        <v>1.3</v>
      </c>
      <c r="P45" s="4">
        <f t="shared" si="10"/>
        <v>13.8</v>
      </c>
    </row>
    <row r="46" ht="15.75" customHeight="1">
      <c r="A46" s="4">
        <v>1997.0</v>
      </c>
      <c r="B46" s="4">
        <v>196.0</v>
      </c>
      <c r="C46" s="5">
        <v>9.3</v>
      </c>
      <c r="D46" s="5">
        <v>18.0</v>
      </c>
      <c r="E46" s="4">
        <f t="shared" si="1"/>
        <v>0</v>
      </c>
      <c r="F46" s="4">
        <f t="shared" si="2"/>
        <v>0</v>
      </c>
      <c r="G46" s="4">
        <f t="shared" si="3"/>
        <v>22.328</v>
      </c>
      <c r="H46" s="4">
        <f t="shared" si="4"/>
        <v>18.905</v>
      </c>
      <c r="I46" s="4" t="str">
        <f t="shared" si="5"/>
        <v> </v>
      </c>
      <c r="J46" s="5"/>
      <c r="K46" s="5">
        <v>13.9</v>
      </c>
      <c r="L46" s="4">
        <f t="shared" si="6"/>
        <v>3</v>
      </c>
      <c r="M46" s="4">
        <f t="shared" si="7"/>
        <v>0</v>
      </c>
      <c r="N46" s="4">
        <f t="shared" si="8"/>
        <v>-7.6187</v>
      </c>
      <c r="O46" s="4" t="str">
        <f t="shared" si="9"/>
        <v/>
      </c>
      <c r="P46" s="4">
        <f t="shared" si="10"/>
        <v>13.9</v>
      </c>
    </row>
    <row r="47" ht="15.75" customHeight="1">
      <c r="A47" s="4">
        <v>1997.0</v>
      </c>
      <c r="B47" s="4">
        <v>197.0</v>
      </c>
      <c r="C47" s="5">
        <v>10.4</v>
      </c>
      <c r="D47" s="5">
        <v>18.2</v>
      </c>
      <c r="E47" s="4">
        <f t="shared" si="1"/>
        <v>0</v>
      </c>
      <c r="F47" s="4">
        <f t="shared" si="2"/>
        <v>0</v>
      </c>
      <c r="G47" s="4">
        <f t="shared" si="3"/>
        <v>28.586</v>
      </c>
      <c r="H47" s="4">
        <f t="shared" si="4"/>
        <v>24.93</v>
      </c>
      <c r="I47" s="4" t="str">
        <f t="shared" si="5"/>
        <v> </v>
      </c>
      <c r="J47" s="5"/>
      <c r="K47" s="5">
        <v>14.0</v>
      </c>
      <c r="L47" s="4">
        <f t="shared" si="6"/>
        <v>3</v>
      </c>
      <c r="M47" s="4">
        <f t="shared" si="7"/>
        <v>0</v>
      </c>
      <c r="N47" s="4">
        <f t="shared" si="8"/>
        <v>-1.6589</v>
      </c>
      <c r="O47" s="4" t="str">
        <f t="shared" si="9"/>
        <v/>
      </c>
      <c r="P47" s="4">
        <f t="shared" si="10"/>
        <v>14</v>
      </c>
    </row>
    <row r="48" ht="15.75" customHeight="1">
      <c r="A48" s="4">
        <v>1997.0</v>
      </c>
      <c r="B48" s="4">
        <v>198.0</v>
      </c>
      <c r="C48" s="5">
        <v>8.3</v>
      </c>
      <c r="D48" s="5">
        <v>18.3</v>
      </c>
      <c r="E48" s="4">
        <f t="shared" si="1"/>
        <v>0</v>
      </c>
      <c r="F48" s="4">
        <f t="shared" si="2"/>
        <v>0</v>
      </c>
      <c r="G48" s="4">
        <f t="shared" si="3"/>
        <v>29.491</v>
      </c>
      <c r="H48" s="4">
        <f t="shared" si="4"/>
        <v>28.2765</v>
      </c>
      <c r="I48" s="4" t="str">
        <f t="shared" si="5"/>
        <v> </v>
      </c>
      <c r="J48" s="5"/>
      <c r="K48" s="5">
        <v>13.8</v>
      </c>
      <c r="L48" s="4">
        <f t="shared" si="6"/>
        <v>3</v>
      </c>
      <c r="M48" s="4">
        <f t="shared" si="7"/>
        <v>1</v>
      </c>
      <c r="N48" s="4">
        <f t="shared" si="8"/>
        <v>3.1909</v>
      </c>
      <c r="O48" s="4" t="str">
        <f t="shared" si="9"/>
        <v/>
      </c>
      <c r="P48" s="4">
        <f t="shared" si="10"/>
        <v>13.8</v>
      </c>
    </row>
    <row r="49" ht="15.75" customHeight="1">
      <c r="A49" s="4">
        <v>1997.0</v>
      </c>
      <c r="B49" s="4">
        <v>199.0</v>
      </c>
      <c r="C49" s="5">
        <v>11.0</v>
      </c>
      <c r="D49" s="5">
        <v>23.3</v>
      </c>
      <c r="E49" s="4">
        <f t="shared" si="1"/>
        <v>1</v>
      </c>
      <c r="F49" s="4">
        <f t="shared" si="2"/>
        <v>0</v>
      </c>
      <c r="G49" s="4">
        <f t="shared" si="3"/>
        <v>37.895</v>
      </c>
      <c r="H49" s="4">
        <f t="shared" si="4"/>
        <v>35.4365</v>
      </c>
      <c r="I49" s="4" t="str">
        <f t="shared" si="5"/>
        <v> </v>
      </c>
      <c r="J49" s="5">
        <v>4.3</v>
      </c>
      <c r="K49" s="5">
        <v>16.3</v>
      </c>
      <c r="L49" s="4">
        <f t="shared" si="6"/>
        <v>8</v>
      </c>
      <c r="M49" s="4">
        <f t="shared" si="7"/>
        <v>0</v>
      </c>
      <c r="N49" s="4">
        <f t="shared" si="8"/>
        <v>-5.8046</v>
      </c>
      <c r="O49" s="4">
        <f t="shared" si="9"/>
        <v>4.3</v>
      </c>
      <c r="P49" s="4">
        <f t="shared" si="10"/>
        <v>16.3</v>
      </c>
    </row>
    <row r="50" ht="15.75" customHeight="1">
      <c r="A50" s="4">
        <v>1997.0</v>
      </c>
      <c r="B50" s="4">
        <v>200.0</v>
      </c>
      <c r="C50" s="5">
        <v>13.4</v>
      </c>
      <c r="D50" s="5">
        <v>22.6</v>
      </c>
      <c r="E50" s="4">
        <f t="shared" si="1"/>
        <v>0</v>
      </c>
      <c r="F50" s="4">
        <f t="shared" si="2"/>
        <v>0</v>
      </c>
      <c r="G50" s="4">
        <f t="shared" si="3"/>
        <v>36.233</v>
      </c>
      <c r="H50" s="4">
        <f t="shared" si="4"/>
        <v>32.4575</v>
      </c>
      <c r="I50" s="4" t="str">
        <f t="shared" si="5"/>
        <v> </v>
      </c>
      <c r="J50" s="5"/>
      <c r="K50" s="5">
        <v>17.5</v>
      </c>
      <c r="L50" s="4">
        <f t="shared" si="6"/>
        <v>3</v>
      </c>
      <c r="M50" s="4">
        <f t="shared" si="7"/>
        <v>0</v>
      </c>
      <c r="N50" s="4">
        <f t="shared" si="8"/>
        <v>-4.0172</v>
      </c>
      <c r="O50" s="4" t="str">
        <f t="shared" si="9"/>
        <v/>
      </c>
      <c r="P50" s="4">
        <f t="shared" si="10"/>
        <v>17.5</v>
      </c>
    </row>
    <row r="51" ht="15.75" customHeight="1">
      <c r="A51" s="4">
        <v>1997.0</v>
      </c>
      <c r="B51" s="4">
        <v>201.0</v>
      </c>
      <c r="C51" s="5">
        <v>11.3</v>
      </c>
      <c r="D51" s="5">
        <v>27.8</v>
      </c>
      <c r="E51" s="4">
        <f t="shared" si="1"/>
        <v>0</v>
      </c>
      <c r="F51" s="4">
        <f t="shared" si="2"/>
        <v>0</v>
      </c>
      <c r="G51" s="4">
        <f t="shared" si="3"/>
        <v>39.137</v>
      </c>
      <c r="H51" s="4">
        <f t="shared" si="4"/>
        <v>34.454</v>
      </c>
      <c r="I51" s="4" t="str">
        <f t="shared" si="5"/>
        <v> </v>
      </c>
      <c r="J51" s="5"/>
      <c r="K51" s="5">
        <v>19.3</v>
      </c>
      <c r="L51" s="4">
        <f t="shared" si="6"/>
        <v>3</v>
      </c>
      <c r="M51" s="4">
        <f t="shared" si="7"/>
        <v>0</v>
      </c>
      <c r="N51" s="4">
        <f t="shared" si="8"/>
        <v>-0.7159</v>
      </c>
      <c r="O51" s="4" t="str">
        <f t="shared" si="9"/>
        <v/>
      </c>
      <c r="P51" s="4">
        <f t="shared" si="10"/>
        <v>19.3</v>
      </c>
    </row>
    <row r="52" ht="15.75" customHeight="1">
      <c r="A52" s="4">
        <v>1997.0</v>
      </c>
      <c r="B52" s="4">
        <v>202.0</v>
      </c>
      <c r="C52" s="5">
        <v>12.9</v>
      </c>
      <c r="D52" s="5">
        <v>25.7</v>
      </c>
      <c r="E52" s="4">
        <f t="shared" si="1"/>
        <v>1</v>
      </c>
      <c r="F52" s="4">
        <f t="shared" si="2"/>
        <v>0</v>
      </c>
      <c r="G52" s="4">
        <f t="shared" si="3"/>
        <v>38.326</v>
      </c>
      <c r="H52" s="4">
        <f t="shared" si="4"/>
        <v>34.56</v>
      </c>
      <c r="I52" s="4" t="str">
        <f t="shared" si="5"/>
        <v> </v>
      </c>
      <c r="J52" s="5">
        <v>0.4</v>
      </c>
      <c r="K52" s="5">
        <v>18.0</v>
      </c>
      <c r="L52" s="4">
        <f t="shared" si="6"/>
        <v>8</v>
      </c>
      <c r="M52" s="4">
        <f t="shared" si="7"/>
        <v>0</v>
      </c>
      <c r="N52" s="4">
        <f t="shared" si="8"/>
        <v>-4.3996</v>
      </c>
      <c r="O52" s="4">
        <f t="shared" si="9"/>
        <v>0.4</v>
      </c>
      <c r="P52" s="4">
        <f t="shared" si="10"/>
        <v>18</v>
      </c>
    </row>
    <row r="53" ht="15.75" customHeight="1">
      <c r="A53" s="4">
        <v>1997.0</v>
      </c>
      <c r="B53" s="4">
        <v>203.0</v>
      </c>
      <c r="C53" s="5">
        <v>12.3</v>
      </c>
      <c r="D53" s="5">
        <v>25.9</v>
      </c>
      <c r="E53" s="4">
        <f t="shared" si="1"/>
        <v>0</v>
      </c>
      <c r="F53" s="4">
        <f t="shared" si="2"/>
        <v>0</v>
      </c>
      <c r="G53" s="4">
        <f t="shared" si="3"/>
        <v>34.38</v>
      </c>
      <c r="H53" s="4">
        <f t="shared" si="4"/>
        <v>28.5635</v>
      </c>
      <c r="I53" s="4" t="str">
        <f t="shared" si="5"/>
        <v> </v>
      </c>
      <c r="J53" s="5"/>
      <c r="K53" s="5">
        <v>20.4</v>
      </c>
      <c r="L53" s="4">
        <f t="shared" si="6"/>
        <v>3</v>
      </c>
      <c r="M53" s="4">
        <f t="shared" si="7"/>
        <v>0</v>
      </c>
      <c r="N53" s="4">
        <f t="shared" si="8"/>
        <v>-9.4968</v>
      </c>
      <c r="O53" s="4" t="str">
        <f t="shared" si="9"/>
        <v/>
      </c>
      <c r="P53" s="4">
        <f t="shared" si="10"/>
        <v>20.4</v>
      </c>
    </row>
    <row r="54" ht="15.75" customHeight="1">
      <c r="A54" s="4">
        <v>1997.0</v>
      </c>
      <c r="B54" s="4">
        <v>204.0</v>
      </c>
      <c r="C54" s="5">
        <v>14.6</v>
      </c>
      <c r="D54" s="5">
        <v>25.4</v>
      </c>
      <c r="E54" s="4">
        <f t="shared" si="1"/>
        <v>0</v>
      </c>
      <c r="F54" s="4">
        <f t="shared" si="2"/>
        <v>0</v>
      </c>
      <c r="G54" s="4">
        <f t="shared" si="3"/>
        <v>36.906</v>
      </c>
      <c r="H54" s="4">
        <f t="shared" si="4"/>
        <v>30.82</v>
      </c>
      <c r="I54" s="4" t="str">
        <f t="shared" si="5"/>
        <v> </v>
      </c>
      <c r="J54" s="5"/>
      <c r="K54" s="5">
        <v>20.0</v>
      </c>
      <c r="L54" s="4">
        <f t="shared" si="6"/>
        <v>3</v>
      </c>
      <c r="M54" s="4">
        <f t="shared" si="7"/>
        <v>0</v>
      </c>
      <c r="N54" s="4">
        <f t="shared" si="8"/>
        <v>-9.0879</v>
      </c>
      <c r="O54" s="4" t="str">
        <f t="shared" si="9"/>
        <v/>
      </c>
      <c r="P54" s="4">
        <f t="shared" si="10"/>
        <v>20</v>
      </c>
    </row>
    <row r="55" ht="15.75" customHeight="1">
      <c r="A55" s="4">
        <v>1997.0</v>
      </c>
      <c r="B55" s="4">
        <v>205.0</v>
      </c>
      <c r="C55" s="5">
        <v>12.8</v>
      </c>
      <c r="D55" s="5">
        <v>26.0</v>
      </c>
      <c r="E55" s="4">
        <f t="shared" si="1"/>
        <v>0</v>
      </c>
      <c r="F55" s="4">
        <f t="shared" si="2"/>
        <v>0</v>
      </c>
      <c r="G55" s="4">
        <f t="shared" si="3"/>
        <v>37.438</v>
      </c>
      <c r="H55" s="4">
        <f t="shared" si="4"/>
        <v>31.9535</v>
      </c>
      <c r="I55" s="4" t="str">
        <f t="shared" si="5"/>
        <v> </v>
      </c>
      <c r="J55" s="5"/>
      <c r="K55" s="5">
        <v>20.0</v>
      </c>
      <c r="L55" s="4">
        <f t="shared" si="6"/>
        <v>3</v>
      </c>
      <c r="M55" s="4">
        <f t="shared" si="7"/>
        <v>0</v>
      </c>
      <c r="N55" s="4">
        <f t="shared" si="8"/>
        <v>-10.1992</v>
      </c>
      <c r="O55" s="4" t="str">
        <f t="shared" si="9"/>
        <v/>
      </c>
      <c r="P55" s="4">
        <f t="shared" si="10"/>
        <v>20</v>
      </c>
    </row>
    <row r="56" ht="15.75" customHeight="1">
      <c r="A56" s="4">
        <v>1997.0</v>
      </c>
      <c r="B56" s="4">
        <v>206.0</v>
      </c>
      <c r="C56" s="5">
        <v>12.9</v>
      </c>
      <c r="D56" s="5">
        <v>25.7</v>
      </c>
      <c r="E56" s="4">
        <f t="shared" si="1"/>
        <v>0</v>
      </c>
      <c r="F56" s="4">
        <f t="shared" si="2"/>
        <v>0</v>
      </c>
      <c r="G56" s="4">
        <f t="shared" si="3"/>
        <v>37.107</v>
      </c>
      <c r="H56" s="4">
        <f t="shared" si="4"/>
        <v>33.73</v>
      </c>
      <c r="I56" s="4" t="str">
        <f t="shared" si="5"/>
        <v> </v>
      </c>
      <c r="J56" s="5"/>
      <c r="K56" s="5">
        <v>20.4</v>
      </c>
      <c r="L56" s="4">
        <f t="shared" si="6"/>
        <v>3</v>
      </c>
      <c r="M56" s="4">
        <f t="shared" si="7"/>
        <v>0</v>
      </c>
      <c r="N56" s="4">
        <f t="shared" si="8"/>
        <v>-11.1204</v>
      </c>
      <c r="O56" s="4" t="str">
        <f t="shared" si="9"/>
        <v/>
      </c>
      <c r="P56" s="4">
        <f t="shared" si="10"/>
        <v>20.4</v>
      </c>
    </row>
    <row r="57" ht="15.75" customHeight="1">
      <c r="A57" s="4">
        <v>1997.0</v>
      </c>
      <c r="B57" s="4">
        <v>207.0</v>
      </c>
      <c r="C57" s="5">
        <v>11.0</v>
      </c>
      <c r="D57" s="5">
        <v>24.2</v>
      </c>
      <c r="E57" s="4">
        <f t="shared" si="1"/>
        <v>0</v>
      </c>
      <c r="F57" s="4">
        <f t="shared" si="2"/>
        <v>0</v>
      </c>
      <c r="G57" s="4">
        <f t="shared" si="3"/>
        <v>37.323</v>
      </c>
      <c r="H57" s="4">
        <f t="shared" si="4"/>
        <v>32.1305</v>
      </c>
      <c r="I57" s="4" t="str">
        <f t="shared" si="5"/>
        <v> </v>
      </c>
      <c r="J57" s="5"/>
      <c r="K57" s="5">
        <v>19.0</v>
      </c>
      <c r="L57" s="4">
        <f t="shared" si="6"/>
        <v>3</v>
      </c>
      <c r="M57" s="4">
        <f t="shared" si="7"/>
        <v>0</v>
      </c>
      <c r="N57" s="4">
        <f t="shared" si="8"/>
        <v>-8.8406</v>
      </c>
      <c r="O57" s="4" t="str">
        <f t="shared" si="9"/>
        <v/>
      </c>
      <c r="P57" s="4">
        <f t="shared" si="10"/>
        <v>19</v>
      </c>
    </row>
    <row r="58" ht="15.75" customHeight="1">
      <c r="A58" s="4">
        <v>1997.0</v>
      </c>
      <c r="B58" s="4">
        <v>208.0</v>
      </c>
      <c r="C58" s="5">
        <v>9.1</v>
      </c>
      <c r="D58" s="5">
        <v>27.6</v>
      </c>
      <c r="E58" s="4">
        <f t="shared" si="1"/>
        <v>0</v>
      </c>
      <c r="F58" s="4">
        <f t="shared" si="2"/>
        <v>0</v>
      </c>
      <c r="G58" s="4">
        <f t="shared" si="3"/>
        <v>37.361</v>
      </c>
      <c r="H58" s="4">
        <f t="shared" si="4"/>
        <v>35.058</v>
      </c>
      <c r="I58" s="4" t="str">
        <f t="shared" si="5"/>
        <v> </v>
      </c>
      <c r="J58" s="5"/>
      <c r="K58" s="5">
        <v>19.4</v>
      </c>
      <c r="L58" s="4">
        <f t="shared" si="6"/>
        <v>3</v>
      </c>
      <c r="M58" s="4">
        <f t="shared" si="7"/>
        <v>0</v>
      </c>
      <c r="N58" s="4">
        <f t="shared" si="8"/>
        <v>-3.1596</v>
      </c>
      <c r="O58" s="4" t="str">
        <f t="shared" si="9"/>
        <v/>
      </c>
      <c r="P58" s="4">
        <f t="shared" si="10"/>
        <v>19.4</v>
      </c>
    </row>
    <row r="59" ht="15.75" customHeight="1">
      <c r="A59" s="4">
        <v>1997.0</v>
      </c>
      <c r="B59" s="4">
        <v>209.0</v>
      </c>
      <c r="C59" s="5">
        <v>12.8</v>
      </c>
      <c r="D59" s="5">
        <v>27.9</v>
      </c>
      <c r="E59" s="4">
        <f t="shared" si="1"/>
        <v>0</v>
      </c>
      <c r="F59" s="4">
        <f t="shared" si="2"/>
        <v>0</v>
      </c>
      <c r="G59" s="4">
        <f t="shared" si="3"/>
        <v>38.537</v>
      </c>
      <c r="H59" s="4">
        <f t="shared" si="4"/>
        <v>35.1885</v>
      </c>
      <c r="I59" s="4" t="str">
        <f t="shared" si="5"/>
        <v> </v>
      </c>
      <c r="J59" s="5"/>
      <c r="K59" s="5">
        <v>21.3</v>
      </c>
      <c r="L59" s="4">
        <f t="shared" si="6"/>
        <v>3</v>
      </c>
      <c r="M59" s="4">
        <f t="shared" si="7"/>
        <v>0</v>
      </c>
      <c r="N59" s="4">
        <f t="shared" si="8"/>
        <v>-0.386</v>
      </c>
      <c r="O59" s="4" t="str">
        <f t="shared" si="9"/>
        <v/>
      </c>
      <c r="P59" s="4">
        <f t="shared" si="10"/>
        <v>21.3</v>
      </c>
    </row>
    <row r="60" ht="15.75" customHeight="1">
      <c r="A60" s="4">
        <v>1997.0</v>
      </c>
      <c r="B60" s="4">
        <v>210.0</v>
      </c>
      <c r="C60" s="5">
        <v>16.3</v>
      </c>
      <c r="D60" s="5">
        <v>24.9</v>
      </c>
      <c r="E60" s="4">
        <f t="shared" si="1"/>
        <v>1</v>
      </c>
      <c r="F60" s="4">
        <f t="shared" si="2"/>
        <v>0</v>
      </c>
      <c r="G60" s="4">
        <f t="shared" si="3"/>
        <v>38.336</v>
      </c>
      <c r="H60" s="4">
        <f t="shared" si="4"/>
        <v>37.4725</v>
      </c>
      <c r="I60" s="4" t="str">
        <f t="shared" si="5"/>
        <v> </v>
      </c>
      <c r="J60" s="5">
        <v>2.6</v>
      </c>
      <c r="K60" s="5">
        <v>19.0</v>
      </c>
      <c r="L60" s="4">
        <f t="shared" si="6"/>
        <v>8</v>
      </c>
      <c r="M60" s="4">
        <f t="shared" si="7"/>
        <v>1</v>
      </c>
      <c r="N60" s="4">
        <f t="shared" si="8"/>
        <v>1.1121</v>
      </c>
      <c r="O60" s="4">
        <f t="shared" si="9"/>
        <v>2.6</v>
      </c>
      <c r="P60" s="4">
        <f t="shared" si="10"/>
        <v>19</v>
      </c>
    </row>
    <row r="61" ht="15.75" customHeight="1">
      <c r="A61" s="4">
        <v>1997.0</v>
      </c>
      <c r="B61" s="4">
        <v>211.0</v>
      </c>
      <c r="C61" s="5">
        <v>13.4</v>
      </c>
      <c r="D61" s="5">
        <v>25.2</v>
      </c>
      <c r="E61" s="4">
        <f t="shared" si="1"/>
        <v>0</v>
      </c>
      <c r="F61" s="4">
        <f t="shared" si="2"/>
        <v>0</v>
      </c>
      <c r="G61" s="4">
        <f t="shared" si="3"/>
        <v>34.178</v>
      </c>
      <c r="H61" s="4">
        <f t="shared" si="4"/>
        <v>32.7345</v>
      </c>
      <c r="I61" s="4" t="str">
        <f t="shared" si="5"/>
        <v> </v>
      </c>
      <c r="J61" s="5"/>
      <c r="K61" s="5">
        <v>19.4</v>
      </c>
      <c r="L61" s="4">
        <f t="shared" si="6"/>
        <v>3</v>
      </c>
      <c r="M61" s="4">
        <f t="shared" si="7"/>
        <v>1</v>
      </c>
      <c r="N61" s="4">
        <f t="shared" si="8"/>
        <v>3.1701</v>
      </c>
      <c r="O61" s="4" t="str">
        <f t="shared" si="9"/>
        <v/>
      </c>
      <c r="P61" s="4">
        <f t="shared" si="10"/>
        <v>19.4</v>
      </c>
    </row>
    <row r="62" ht="15.75" customHeight="1">
      <c r="A62" s="4">
        <v>1997.0</v>
      </c>
      <c r="B62" s="4">
        <v>212.0</v>
      </c>
      <c r="C62" s="5">
        <v>15.7</v>
      </c>
      <c r="D62" s="5">
        <v>24.3</v>
      </c>
      <c r="E62" s="4">
        <f t="shared" si="1"/>
        <v>1</v>
      </c>
      <c r="F62" s="4">
        <f t="shared" si="2"/>
        <v>0</v>
      </c>
      <c r="G62" s="4">
        <f t="shared" si="3"/>
        <v>34.709</v>
      </c>
      <c r="H62" s="4">
        <f t="shared" si="4"/>
        <v>33.209</v>
      </c>
      <c r="I62" s="4" t="str">
        <f t="shared" si="5"/>
        <v> </v>
      </c>
      <c r="J62" s="5">
        <v>0.6</v>
      </c>
      <c r="K62" s="5">
        <v>19.3</v>
      </c>
      <c r="L62" s="4">
        <f t="shared" si="6"/>
        <v>8</v>
      </c>
      <c r="M62" s="4">
        <f t="shared" si="7"/>
        <v>1</v>
      </c>
      <c r="N62" s="4">
        <f t="shared" si="8"/>
        <v>1.5479</v>
      </c>
      <c r="O62" s="4">
        <f t="shared" si="9"/>
        <v>0.6</v>
      </c>
      <c r="P62" s="4">
        <f t="shared" si="10"/>
        <v>19.3</v>
      </c>
    </row>
    <row r="63" ht="15.75" customHeight="1">
      <c r="A63" s="4">
        <v>1997.0</v>
      </c>
      <c r="B63" s="4">
        <v>213.0</v>
      </c>
      <c r="C63" s="5">
        <v>17.5</v>
      </c>
      <c r="D63" s="5">
        <v>23.7</v>
      </c>
      <c r="E63" s="4">
        <f t="shared" si="1"/>
        <v>0</v>
      </c>
      <c r="F63" s="4">
        <f t="shared" si="2"/>
        <v>0</v>
      </c>
      <c r="G63" s="4">
        <f t="shared" si="3"/>
        <v>33.887</v>
      </c>
      <c r="H63" s="4">
        <f t="shared" si="4"/>
        <v>30.7975</v>
      </c>
      <c r="I63" s="4" t="str">
        <f t="shared" si="5"/>
        <v> </v>
      </c>
      <c r="J63" s="5"/>
      <c r="K63" s="5">
        <v>20.0</v>
      </c>
      <c r="L63" s="4">
        <f t="shared" si="6"/>
        <v>3</v>
      </c>
      <c r="M63" s="4">
        <f t="shared" si="7"/>
        <v>1</v>
      </c>
      <c r="N63" s="4">
        <f t="shared" si="8"/>
        <v>7.8368</v>
      </c>
      <c r="O63" s="4" t="str">
        <f t="shared" si="9"/>
        <v/>
      </c>
      <c r="P63" s="4">
        <f t="shared" si="10"/>
        <v>20</v>
      </c>
    </row>
    <row r="64" ht="15.75" customHeight="1">
      <c r="A64" s="4">
        <v>1997.0</v>
      </c>
      <c r="B64" s="4">
        <v>214.0</v>
      </c>
      <c r="C64" s="5">
        <v>16.7</v>
      </c>
      <c r="D64" s="5">
        <v>23.5</v>
      </c>
      <c r="E64" s="4">
        <f t="shared" si="1"/>
        <v>1</v>
      </c>
      <c r="F64" s="4">
        <f t="shared" si="2"/>
        <v>0</v>
      </c>
      <c r="G64" s="4">
        <f t="shared" si="3"/>
        <v>34.607</v>
      </c>
      <c r="H64" s="4">
        <f t="shared" si="4"/>
        <v>32.493</v>
      </c>
      <c r="I64" s="4" t="str">
        <f t="shared" si="5"/>
        <v> </v>
      </c>
      <c r="J64" s="5">
        <v>7.6</v>
      </c>
      <c r="K64" s="5">
        <v>19.1</v>
      </c>
      <c r="L64" s="4">
        <f t="shared" si="6"/>
        <v>8</v>
      </c>
      <c r="M64" s="4">
        <f t="shared" si="7"/>
        <v>1</v>
      </c>
      <c r="N64" s="4">
        <f t="shared" si="8"/>
        <v>6.1518</v>
      </c>
      <c r="O64" s="4">
        <f t="shared" si="9"/>
        <v>7.6</v>
      </c>
      <c r="P64" s="4">
        <f t="shared" si="10"/>
        <v>19.1</v>
      </c>
    </row>
    <row r="65" ht="15.75" customHeight="1">
      <c r="A65" s="4">
        <v>1997.0</v>
      </c>
      <c r="B65" s="4">
        <v>215.0</v>
      </c>
      <c r="C65" s="5">
        <v>16.8</v>
      </c>
      <c r="D65" s="5">
        <v>21.8</v>
      </c>
      <c r="E65" s="4">
        <f t="shared" si="1"/>
        <v>1</v>
      </c>
      <c r="F65" s="4">
        <f t="shared" si="2"/>
        <v>0</v>
      </c>
      <c r="G65" s="4">
        <f t="shared" si="3"/>
        <v>31.117</v>
      </c>
      <c r="H65" s="4">
        <f t="shared" si="4"/>
        <v>27.8495</v>
      </c>
      <c r="I65" s="4" t="str">
        <f t="shared" si="5"/>
        <v> </v>
      </c>
      <c r="J65" s="5">
        <v>2.4</v>
      </c>
      <c r="K65" s="5">
        <v>18.3</v>
      </c>
      <c r="L65" s="4">
        <f t="shared" si="6"/>
        <v>8</v>
      </c>
      <c r="M65" s="4">
        <f t="shared" si="7"/>
        <v>0</v>
      </c>
      <c r="N65" s="4">
        <f t="shared" si="8"/>
        <v>-4.2102</v>
      </c>
      <c r="O65" s="4">
        <f t="shared" si="9"/>
        <v>2.4</v>
      </c>
      <c r="P65" s="4">
        <f t="shared" si="10"/>
        <v>18.3</v>
      </c>
    </row>
    <row r="66" ht="15.75" customHeight="1">
      <c r="A66" s="4">
        <v>1997.0</v>
      </c>
      <c r="B66" s="4">
        <v>216.0</v>
      </c>
      <c r="C66" s="5">
        <v>14.9</v>
      </c>
      <c r="D66" s="5">
        <v>20.4</v>
      </c>
      <c r="E66" s="4">
        <f t="shared" si="1"/>
        <v>0</v>
      </c>
      <c r="F66" s="4">
        <f t="shared" si="2"/>
        <v>0</v>
      </c>
      <c r="G66" s="4">
        <f t="shared" si="3"/>
        <v>30.847</v>
      </c>
      <c r="H66" s="4">
        <f t="shared" si="4"/>
        <v>25.6045</v>
      </c>
      <c r="I66" s="4" t="str">
        <f t="shared" si="5"/>
        <v> </v>
      </c>
      <c r="J66" s="5"/>
      <c r="K66" s="5">
        <v>17.5</v>
      </c>
      <c r="L66" s="4">
        <f t="shared" si="6"/>
        <v>3</v>
      </c>
      <c r="M66" s="4">
        <f t="shared" si="7"/>
        <v>0</v>
      </c>
      <c r="N66" s="4">
        <f t="shared" si="8"/>
        <v>-7.5447</v>
      </c>
      <c r="O66" s="4" t="str">
        <f t="shared" si="9"/>
        <v/>
      </c>
      <c r="P66" s="4">
        <f t="shared" si="10"/>
        <v>17.5</v>
      </c>
    </row>
    <row r="67" ht="15.75" customHeight="1">
      <c r="A67" s="4">
        <v>1997.0</v>
      </c>
      <c r="B67" s="4">
        <v>217.0</v>
      </c>
      <c r="C67" s="5">
        <v>12.4</v>
      </c>
      <c r="D67" s="5">
        <v>24.5</v>
      </c>
      <c r="E67" s="4">
        <f t="shared" si="1"/>
        <v>0</v>
      </c>
      <c r="F67" s="4">
        <f t="shared" si="2"/>
        <v>0</v>
      </c>
      <c r="G67" s="4">
        <f t="shared" si="3"/>
        <v>31.917</v>
      </c>
      <c r="H67" s="4">
        <f t="shared" si="4"/>
        <v>26.7255</v>
      </c>
      <c r="I67" s="4" t="str">
        <f t="shared" si="5"/>
        <v> </v>
      </c>
      <c r="J67" s="5"/>
      <c r="K67" s="5">
        <v>18.8</v>
      </c>
      <c r="L67" s="4">
        <f t="shared" si="6"/>
        <v>3</v>
      </c>
      <c r="M67" s="4">
        <f t="shared" si="7"/>
        <v>0</v>
      </c>
      <c r="N67" s="4">
        <f t="shared" si="8"/>
        <v>-9.3922</v>
      </c>
      <c r="O67" s="4" t="str">
        <f t="shared" si="9"/>
        <v/>
      </c>
      <c r="P67" s="4">
        <f t="shared" si="10"/>
        <v>18.8</v>
      </c>
    </row>
    <row r="68" ht="15.75" customHeight="1">
      <c r="A68" s="4">
        <v>1997.0</v>
      </c>
      <c r="B68" s="4">
        <v>218.0</v>
      </c>
      <c r="C68" s="5">
        <v>12.9</v>
      </c>
      <c r="D68" s="5">
        <v>24.8</v>
      </c>
      <c r="E68" s="4">
        <f t="shared" si="1"/>
        <v>0</v>
      </c>
      <c r="F68" s="4">
        <f t="shared" si="2"/>
        <v>0</v>
      </c>
      <c r="G68" s="4">
        <f t="shared" si="3"/>
        <v>34.661</v>
      </c>
      <c r="H68" s="4">
        <f t="shared" si="4"/>
        <v>29.457</v>
      </c>
      <c r="I68" s="4" t="str">
        <f t="shared" si="5"/>
        <v> </v>
      </c>
      <c r="J68" s="5"/>
      <c r="K68" s="5">
        <v>19.0</v>
      </c>
      <c r="L68" s="4">
        <f t="shared" si="6"/>
        <v>3</v>
      </c>
      <c r="M68" s="4">
        <f t="shared" si="7"/>
        <v>0</v>
      </c>
      <c r="N68" s="4">
        <f t="shared" si="8"/>
        <v>-10.0224</v>
      </c>
      <c r="O68" s="4" t="str">
        <f t="shared" si="9"/>
        <v/>
      </c>
      <c r="P68" s="4">
        <f t="shared" si="10"/>
        <v>19</v>
      </c>
    </row>
    <row r="69" ht="15.75" customHeight="1">
      <c r="A69" s="4">
        <v>1997.0</v>
      </c>
      <c r="B69" s="4">
        <v>219.0</v>
      </c>
      <c r="C69" s="5">
        <v>11.1</v>
      </c>
      <c r="D69" s="5">
        <v>22.1</v>
      </c>
      <c r="E69" s="4">
        <f t="shared" si="1"/>
        <v>0</v>
      </c>
      <c r="F69" s="4">
        <f t="shared" si="2"/>
        <v>0</v>
      </c>
      <c r="G69" s="4">
        <f t="shared" si="3"/>
        <v>33.135</v>
      </c>
      <c r="H69" s="4">
        <f t="shared" si="4"/>
        <v>27.1725</v>
      </c>
      <c r="I69" s="4" t="str">
        <f t="shared" si="5"/>
        <v> </v>
      </c>
      <c r="J69" s="5"/>
      <c r="K69" s="5">
        <v>17.2</v>
      </c>
      <c r="L69" s="4">
        <f t="shared" si="6"/>
        <v>3</v>
      </c>
      <c r="M69" s="4">
        <f t="shared" si="7"/>
        <v>0</v>
      </c>
      <c r="N69" s="4">
        <f t="shared" si="8"/>
        <v>-8.0709</v>
      </c>
      <c r="O69" s="4" t="str">
        <f t="shared" si="9"/>
        <v/>
      </c>
      <c r="P69" s="4">
        <f t="shared" si="10"/>
        <v>17.2</v>
      </c>
    </row>
    <row r="70" ht="15.75" customHeight="1">
      <c r="A70" s="4">
        <v>1997.0</v>
      </c>
      <c r="B70" s="4">
        <v>220.0</v>
      </c>
      <c r="C70" s="5">
        <v>9.7</v>
      </c>
      <c r="D70" s="5">
        <v>26.4</v>
      </c>
      <c r="E70" s="4">
        <f t="shared" si="1"/>
        <v>0</v>
      </c>
      <c r="F70" s="4">
        <f t="shared" si="2"/>
        <v>0</v>
      </c>
      <c r="G70" s="4">
        <f t="shared" si="3"/>
        <v>30.311</v>
      </c>
      <c r="H70" s="4">
        <f t="shared" si="4"/>
        <v>25.2525</v>
      </c>
      <c r="I70" s="4" t="str">
        <f t="shared" si="5"/>
        <v> </v>
      </c>
      <c r="J70" s="5"/>
      <c r="K70" s="5">
        <v>18.5</v>
      </c>
      <c r="L70" s="4">
        <f t="shared" si="6"/>
        <v>3</v>
      </c>
      <c r="M70" s="4">
        <f t="shared" si="7"/>
        <v>0</v>
      </c>
      <c r="N70" s="4">
        <f t="shared" si="8"/>
        <v>-8.1392</v>
      </c>
      <c r="O70" s="4" t="str">
        <f t="shared" si="9"/>
        <v/>
      </c>
      <c r="P70" s="4">
        <f t="shared" si="10"/>
        <v>18.5</v>
      </c>
    </row>
    <row r="71" ht="15.75" customHeight="1">
      <c r="A71" s="4">
        <v>1997.0</v>
      </c>
      <c r="B71" s="4">
        <v>221.0</v>
      </c>
      <c r="C71" s="5">
        <v>12.4</v>
      </c>
      <c r="D71" s="5">
        <v>24.2</v>
      </c>
      <c r="E71" s="4">
        <f t="shared" si="1"/>
        <v>0</v>
      </c>
      <c r="F71" s="4">
        <f t="shared" si="2"/>
        <v>0</v>
      </c>
      <c r="G71" s="4">
        <f t="shared" si="3"/>
        <v>29.185</v>
      </c>
      <c r="H71" s="4">
        <f t="shared" si="4"/>
        <v>25.816</v>
      </c>
      <c r="I71" s="4" t="str">
        <f t="shared" si="5"/>
        <v> </v>
      </c>
      <c r="J71" s="5"/>
      <c r="K71" s="5">
        <v>18.9</v>
      </c>
      <c r="L71" s="4">
        <f t="shared" si="6"/>
        <v>3</v>
      </c>
      <c r="M71" s="4">
        <f t="shared" si="7"/>
        <v>0</v>
      </c>
      <c r="N71" s="4">
        <f t="shared" si="8"/>
        <v>-10.1592</v>
      </c>
      <c r="O71" s="4" t="str">
        <f t="shared" si="9"/>
        <v/>
      </c>
      <c r="P71" s="4">
        <f t="shared" si="10"/>
        <v>18.9</v>
      </c>
    </row>
    <row r="72" ht="15.75" customHeight="1">
      <c r="A72" s="4">
        <v>1997.0</v>
      </c>
      <c r="B72" s="4">
        <v>222.0</v>
      </c>
      <c r="C72" s="5">
        <v>14.3</v>
      </c>
      <c r="D72" s="5">
        <v>26.6</v>
      </c>
      <c r="E72" s="4">
        <f t="shared" si="1"/>
        <v>0</v>
      </c>
      <c r="F72" s="4">
        <f t="shared" si="2"/>
        <v>0</v>
      </c>
      <c r="G72" s="4">
        <f t="shared" si="3"/>
        <v>27.108</v>
      </c>
      <c r="H72" s="4">
        <f t="shared" si="4"/>
        <v>25.0865</v>
      </c>
      <c r="I72" s="4" t="str">
        <f t="shared" si="5"/>
        <v> </v>
      </c>
      <c r="J72" s="5"/>
      <c r="K72" s="5">
        <v>19.7</v>
      </c>
      <c r="L72" s="4">
        <f t="shared" si="6"/>
        <v>3</v>
      </c>
      <c r="M72" s="4">
        <f t="shared" si="7"/>
        <v>0</v>
      </c>
      <c r="N72" s="4">
        <f t="shared" si="8"/>
        <v>-10.0274</v>
      </c>
      <c r="O72" s="4" t="str">
        <f t="shared" si="9"/>
        <v/>
      </c>
      <c r="P72" s="4">
        <f t="shared" si="10"/>
        <v>19.7</v>
      </c>
    </row>
    <row r="73" ht="15.75" customHeight="1">
      <c r="A73" s="4">
        <v>1997.0</v>
      </c>
      <c r="B73" s="4">
        <v>223.0</v>
      </c>
      <c r="C73" s="5">
        <v>11.5</v>
      </c>
      <c r="D73" s="5">
        <v>26.3</v>
      </c>
      <c r="E73" s="4">
        <f t="shared" si="1"/>
        <v>0</v>
      </c>
      <c r="F73" s="4">
        <f t="shared" si="2"/>
        <v>0</v>
      </c>
      <c r="G73" s="4">
        <f t="shared" si="3"/>
        <v>23.98</v>
      </c>
      <c r="H73" s="4">
        <f t="shared" si="4"/>
        <v>23.5055</v>
      </c>
      <c r="I73" s="4" t="str">
        <f t="shared" si="5"/>
        <v> </v>
      </c>
      <c r="J73" s="5"/>
      <c r="K73" s="5">
        <v>18.5</v>
      </c>
      <c r="L73" s="4">
        <f t="shared" si="6"/>
        <v>3</v>
      </c>
      <c r="M73" s="4">
        <f t="shared" si="7"/>
        <v>0</v>
      </c>
      <c r="N73" s="4">
        <f t="shared" si="8"/>
        <v>-6.6365</v>
      </c>
      <c r="O73" s="4" t="str">
        <f t="shared" si="9"/>
        <v/>
      </c>
      <c r="P73" s="4">
        <f t="shared" si="10"/>
        <v>18.5</v>
      </c>
    </row>
    <row r="74" ht="15.75" customHeight="1">
      <c r="A74" s="4">
        <v>1997.0</v>
      </c>
      <c r="B74" s="4">
        <v>224.0</v>
      </c>
      <c r="C74" s="5">
        <v>10.4</v>
      </c>
      <c r="D74" s="5">
        <v>19.6</v>
      </c>
      <c r="E74" s="4">
        <f t="shared" si="1"/>
        <v>0</v>
      </c>
      <c r="F74" s="4">
        <f t="shared" si="2"/>
        <v>1</v>
      </c>
      <c r="G74" s="4">
        <f t="shared" si="3"/>
        <v>17.534</v>
      </c>
      <c r="H74" s="4">
        <f t="shared" si="4"/>
        <v>19.554</v>
      </c>
      <c r="I74" s="4">
        <f t="shared" si="5"/>
        <v>2.02</v>
      </c>
      <c r="J74" s="5"/>
      <c r="K74" s="5">
        <v>15.4</v>
      </c>
      <c r="L74" s="4">
        <f t="shared" si="6"/>
        <v>3</v>
      </c>
      <c r="M74" s="4">
        <f t="shared" si="7"/>
        <v>1</v>
      </c>
      <c r="N74" s="4">
        <f t="shared" si="8"/>
        <v>6.8912</v>
      </c>
      <c r="O74" s="4" t="str">
        <f t="shared" si="9"/>
        <v/>
      </c>
      <c r="P74" s="4">
        <f t="shared" si="10"/>
        <v>15.4</v>
      </c>
    </row>
    <row r="75" ht="15.75" customHeight="1">
      <c r="A75" s="4">
        <v>1997.0</v>
      </c>
      <c r="B75" s="4">
        <v>225.0</v>
      </c>
      <c r="C75" s="5">
        <v>6.1</v>
      </c>
      <c r="D75" s="5">
        <v>19.5</v>
      </c>
      <c r="E75" s="4">
        <f t="shared" si="1"/>
        <v>1</v>
      </c>
      <c r="F75" s="4">
        <f t="shared" si="2"/>
        <v>1</v>
      </c>
      <c r="G75" s="4">
        <f t="shared" si="3"/>
        <v>14.976</v>
      </c>
      <c r="H75" s="4">
        <f t="shared" si="4"/>
        <v>17.408</v>
      </c>
      <c r="I75" s="4">
        <f t="shared" si="5"/>
        <v>2.432</v>
      </c>
      <c r="J75" s="5">
        <v>4.7</v>
      </c>
      <c r="K75" s="5">
        <v>13.6</v>
      </c>
      <c r="L75" s="4">
        <f t="shared" si="6"/>
        <v>8</v>
      </c>
      <c r="M75" s="4">
        <f t="shared" si="7"/>
        <v>1</v>
      </c>
      <c r="N75" s="4">
        <f t="shared" si="8"/>
        <v>10.6381</v>
      </c>
      <c r="O75" s="4">
        <f t="shared" si="9"/>
        <v>4.7</v>
      </c>
      <c r="P75" s="4">
        <f t="shared" si="10"/>
        <v>13.6</v>
      </c>
    </row>
    <row r="76" ht="15.75" customHeight="1">
      <c r="A76" s="4">
        <v>1997.0</v>
      </c>
      <c r="B76" s="4">
        <v>226.0</v>
      </c>
      <c r="C76" s="5">
        <v>8.5</v>
      </c>
      <c r="D76" s="5">
        <v>14.8</v>
      </c>
      <c r="E76" s="4">
        <f t="shared" si="1"/>
        <v>1</v>
      </c>
      <c r="F76" s="4">
        <f t="shared" si="2"/>
        <v>1</v>
      </c>
      <c r="G76" s="4">
        <f t="shared" si="3"/>
        <v>11.225</v>
      </c>
      <c r="H76" s="4">
        <f t="shared" si="4"/>
        <v>13.3975</v>
      </c>
      <c r="I76" s="4">
        <f t="shared" si="5"/>
        <v>2.1725</v>
      </c>
      <c r="J76" s="5">
        <v>7.2</v>
      </c>
      <c r="K76" s="5">
        <v>11.6</v>
      </c>
      <c r="L76" s="4">
        <f t="shared" si="6"/>
        <v>8</v>
      </c>
      <c r="M76" s="4">
        <f t="shared" si="7"/>
        <v>1</v>
      </c>
      <c r="N76" s="4">
        <f t="shared" si="8"/>
        <v>12.8725</v>
      </c>
      <c r="O76" s="4">
        <f t="shared" si="9"/>
        <v>7.2</v>
      </c>
      <c r="P76" s="4">
        <f t="shared" si="10"/>
        <v>11.6</v>
      </c>
    </row>
    <row r="77" ht="15.75" customHeight="1">
      <c r="A77" s="4">
        <v>1997.0</v>
      </c>
      <c r="B77" s="4">
        <v>227.0</v>
      </c>
      <c r="C77" s="5">
        <v>7.8</v>
      </c>
      <c r="D77" s="5">
        <v>13.6</v>
      </c>
      <c r="E77" s="4">
        <f t="shared" si="1"/>
        <v>1</v>
      </c>
      <c r="F77" s="4">
        <f t="shared" si="2"/>
        <v>1</v>
      </c>
      <c r="G77" s="4">
        <f t="shared" si="3"/>
        <v>13.015</v>
      </c>
      <c r="H77" s="4">
        <f t="shared" si="4"/>
        <v>15.1095</v>
      </c>
      <c r="I77" s="4">
        <f t="shared" si="5"/>
        <v>2.0945</v>
      </c>
      <c r="J77" s="5">
        <v>2.5</v>
      </c>
      <c r="K77" s="5">
        <v>10.1</v>
      </c>
      <c r="L77" s="4">
        <f t="shared" si="6"/>
        <v>8</v>
      </c>
      <c r="M77" s="4">
        <f t="shared" si="7"/>
        <v>1</v>
      </c>
      <c r="N77" s="4">
        <f t="shared" si="8"/>
        <v>8.1152</v>
      </c>
      <c r="O77" s="4">
        <f t="shared" si="9"/>
        <v>2.5</v>
      </c>
      <c r="P77" s="4">
        <f t="shared" si="10"/>
        <v>10.1</v>
      </c>
    </row>
    <row r="78" ht="15.75" customHeight="1">
      <c r="A78" s="4">
        <v>1997.0</v>
      </c>
      <c r="B78" s="4">
        <v>228.0</v>
      </c>
      <c r="C78" s="5">
        <v>9.0</v>
      </c>
      <c r="D78" s="5">
        <v>12.7</v>
      </c>
      <c r="E78" s="4">
        <f t="shared" si="1"/>
        <v>1</v>
      </c>
      <c r="F78" s="4">
        <f t="shared" si="2"/>
        <v>0</v>
      </c>
      <c r="G78" s="4">
        <f t="shared" si="3"/>
        <v>15.804</v>
      </c>
      <c r="H78" s="4">
        <f t="shared" si="4"/>
        <v>14.806</v>
      </c>
      <c r="I78" s="4" t="str">
        <f t="shared" si="5"/>
        <v> </v>
      </c>
      <c r="J78" s="5">
        <v>2.7</v>
      </c>
      <c r="K78" s="5">
        <v>10.5</v>
      </c>
      <c r="L78" s="4">
        <f t="shared" si="6"/>
        <v>8</v>
      </c>
      <c r="M78" s="4">
        <f t="shared" si="7"/>
        <v>0</v>
      </c>
      <c r="N78" s="4">
        <f t="shared" si="8"/>
        <v>-0.5467</v>
      </c>
      <c r="O78" s="4">
        <f t="shared" si="9"/>
        <v>2.7</v>
      </c>
      <c r="P78" s="4">
        <f t="shared" si="10"/>
        <v>10.5</v>
      </c>
    </row>
    <row r="79" ht="15.75" customHeight="1">
      <c r="A79" s="4">
        <v>1997.0</v>
      </c>
      <c r="B79" s="4">
        <v>229.0</v>
      </c>
      <c r="C79" s="5">
        <v>8.1</v>
      </c>
      <c r="D79" s="5">
        <v>11.5</v>
      </c>
      <c r="E79" s="4">
        <f t="shared" si="1"/>
        <v>0</v>
      </c>
      <c r="F79" s="4">
        <f t="shared" si="2"/>
        <v>0</v>
      </c>
      <c r="G79" s="4">
        <f t="shared" si="3"/>
        <v>17.157</v>
      </c>
      <c r="H79" s="4">
        <f t="shared" si="4"/>
        <v>15.3875</v>
      </c>
      <c r="I79" s="4" t="str">
        <f t="shared" si="5"/>
        <v> </v>
      </c>
      <c r="J79" s="5"/>
      <c r="K79" s="5">
        <v>9.4</v>
      </c>
      <c r="L79" s="4">
        <f t="shared" si="6"/>
        <v>3</v>
      </c>
      <c r="M79" s="4">
        <f t="shared" si="7"/>
        <v>1</v>
      </c>
      <c r="N79" s="4">
        <f t="shared" si="8"/>
        <v>0.1655</v>
      </c>
      <c r="O79" s="4">
        <f t="shared" si="9"/>
        <v>0</v>
      </c>
      <c r="P79" s="4">
        <f t="shared" si="10"/>
        <v>0</v>
      </c>
    </row>
    <row r="80" ht="15.75" customHeight="1">
      <c r="A80" s="4">
        <v>1997.0</v>
      </c>
      <c r="B80" s="4">
        <v>230.0</v>
      </c>
      <c r="C80" s="5">
        <v>8.7</v>
      </c>
      <c r="D80" s="5">
        <v>14.5</v>
      </c>
      <c r="E80" s="4">
        <f t="shared" si="1"/>
        <v>0</v>
      </c>
      <c r="F80" s="4">
        <f t="shared" si="2"/>
        <v>0</v>
      </c>
      <c r="G80" s="4">
        <f t="shared" si="3"/>
        <v>24.9</v>
      </c>
      <c r="H80" s="4">
        <f t="shared" si="4"/>
        <v>22.46</v>
      </c>
      <c r="I80" s="4" t="str">
        <f t="shared" si="5"/>
        <v> </v>
      </c>
      <c r="J80" s="5"/>
      <c r="K80" s="5">
        <v>11.1</v>
      </c>
      <c r="L80" s="4">
        <f t="shared" si="6"/>
        <v>3</v>
      </c>
      <c r="M80" s="4">
        <f t="shared" si="7"/>
        <v>1</v>
      </c>
      <c r="N80" s="4">
        <f t="shared" si="8"/>
        <v>2.3438</v>
      </c>
      <c r="O80" s="4" t="str">
        <f t="shared" si="9"/>
        <v/>
      </c>
      <c r="P80" s="4">
        <f t="shared" si="10"/>
        <v>11.1</v>
      </c>
    </row>
    <row r="81" ht="15.75" customHeight="1">
      <c r="A81" s="4">
        <v>1997.0</v>
      </c>
      <c r="B81" s="4">
        <v>231.0</v>
      </c>
      <c r="C81" s="5">
        <v>10.0</v>
      </c>
      <c r="D81" s="5">
        <v>20.3</v>
      </c>
      <c r="E81" s="4">
        <f t="shared" si="1"/>
        <v>1</v>
      </c>
      <c r="F81" s="4">
        <f t="shared" si="2"/>
        <v>0</v>
      </c>
      <c r="G81" s="4">
        <f t="shared" si="3"/>
        <v>33.064</v>
      </c>
      <c r="H81" s="4">
        <f t="shared" si="4"/>
        <v>30.112</v>
      </c>
      <c r="I81" s="4" t="str">
        <f t="shared" si="5"/>
        <v> </v>
      </c>
      <c r="J81" s="5">
        <v>0.3</v>
      </c>
      <c r="K81" s="5">
        <v>14.7</v>
      </c>
      <c r="L81" s="4">
        <f t="shared" si="6"/>
        <v>8</v>
      </c>
      <c r="M81" s="4">
        <f t="shared" si="7"/>
        <v>0</v>
      </c>
      <c r="N81" s="4">
        <f t="shared" si="8"/>
        <v>-4.3101</v>
      </c>
      <c r="O81" s="4">
        <f t="shared" si="9"/>
        <v>0.3</v>
      </c>
      <c r="P81" s="4">
        <f t="shared" si="10"/>
        <v>14.7</v>
      </c>
    </row>
    <row r="82" ht="15.75" customHeight="1">
      <c r="A82" s="4">
        <v>1997.0</v>
      </c>
      <c r="B82" s="4">
        <v>232.0</v>
      </c>
      <c r="C82" s="5">
        <v>9.5</v>
      </c>
      <c r="D82" s="5">
        <v>22.3</v>
      </c>
      <c r="E82" s="4">
        <f t="shared" si="1"/>
        <v>0</v>
      </c>
      <c r="F82" s="4">
        <f t="shared" si="2"/>
        <v>0</v>
      </c>
      <c r="G82" s="4">
        <f t="shared" si="3"/>
        <v>33.745</v>
      </c>
      <c r="H82" s="4">
        <f t="shared" si="4"/>
        <v>28.672</v>
      </c>
      <c r="I82" s="4" t="str">
        <f t="shared" si="5"/>
        <v> </v>
      </c>
      <c r="J82" s="5"/>
      <c r="K82" s="5">
        <v>15.6</v>
      </c>
      <c r="L82" s="4">
        <f t="shared" si="6"/>
        <v>3</v>
      </c>
      <c r="M82" s="4">
        <f t="shared" si="7"/>
        <v>0</v>
      </c>
      <c r="N82" s="4">
        <f t="shared" si="8"/>
        <v>-8.6097</v>
      </c>
      <c r="O82" s="4" t="str">
        <f t="shared" si="9"/>
        <v/>
      </c>
      <c r="P82" s="4">
        <f t="shared" si="10"/>
        <v>15.6</v>
      </c>
    </row>
    <row r="83" ht="15.75" customHeight="1">
      <c r="A83" s="4">
        <v>1997.0</v>
      </c>
      <c r="B83" s="4">
        <v>233.0</v>
      </c>
      <c r="C83" s="5">
        <v>10.8</v>
      </c>
      <c r="D83" s="5">
        <v>24.1</v>
      </c>
      <c r="E83" s="4">
        <f t="shared" si="1"/>
        <v>0</v>
      </c>
      <c r="F83" s="4">
        <f t="shared" si="2"/>
        <v>0</v>
      </c>
      <c r="G83" s="4">
        <f t="shared" si="3"/>
        <v>37.147</v>
      </c>
      <c r="H83" s="4">
        <f t="shared" si="4"/>
        <v>31.352</v>
      </c>
      <c r="I83" s="4" t="str">
        <f t="shared" si="5"/>
        <v> </v>
      </c>
      <c r="J83" s="5"/>
      <c r="K83" s="5">
        <v>17.2</v>
      </c>
      <c r="L83" s="4">
        <f t="shared" si="6"/>
        <v>3</v>
      </c>
      <c r="M83" s="4">
        <f t="shared" si="7"/>
        <v>0</v>
      </c>
      <c r="N83" s="4">
        <f t="shared" si="8"/>
        <v>-9.2377</v>
      </c>
      <c r="O83" s="4" t="str">
        <f t="shared" si="9"/>
        <v/>
      </c>
      <c r="P83" s="4">
        <f t="shared" si="10"/>
        <v>17.2</v>
      </c>
    </row>
    <row r="84" ht="15.75" customHeight="1">
      <c r="A84" s="4">
        <v>1997.0</v>
      </c>
      <c r="B84" s="4">
        <v>234.0</v>
      </c>
      <c r="C84" s="5">
        <v>11.6</v>
      </c>
      <c r="D84" s="5">
        <v>26.2</v>
      </c>
      <c r="E84" s="4">
        <f t="shared" si="1"/>
        <v>0</v>
      </c>
      <c r="F84" s="4">
        <f t="shared" si="2"/>
        <v>0</v>
      </c>
      <c r="G84" s="4">
        <f t="shared" si="3"/>
        <v>39.056</v>
      </c>
      <c r="H84" s="4">
        <f t="shared" si="4"/>
        <v>33.171</v>
      </c>
      <c r="I84" s="4" t="str">
        <f t="shared" si="5"/>
        <v> </v>
      </c>
      <c r="J84" s="5"/>
      <c r="K84" s="5">
        <v>18.8</v>
      </c>
      <c r="L84" s="4">
        <f t="shared" si="6"/>
        <v>3</v>
      </c>
      <c r="M84" s="4">
        <f t="shared" si="7"/>
        <v>0</v>
      </c>
      <c r="N84" s="4">
        <f t="shared" si="8"/>
        <v>-9.1404</v>
      </c>
      <c r="O84" s="4" t="str">
        <f t="shared" si="9"/>
        <v/>
      </c>
      <c r="P84" s="4">
        <f t="shared" si="10"/>
        <v>18.8</v>
      </c>
    </row>
    <row r="85" ht="15.75" customHeight="1">
      <c r="A85" s="4">
        <v>1997.0</v>
      </c>
      <c r="B85" s="4">
        <v>235.0</v>
      </c>
      <c r="C85" s="5">
        <v>12.2</v>
      </c>
      <c r="D85" s="5">
        <v>26.9</v>
      </c>
      <c r="E85" s="4">
        <f t="shared" si="1"/>
        <v>0</v>
      </c>
      <c r="F85" s="4">
        <f t="shared" si="2"/>
        <v>0</v>
      </c>
      <c r="G85" s="4">
        <f t="shared" si="3"/>
        <v>40.382</v>
      </c>
      <c r="H85" s="4">
        <f t="shared" si="4"/>
        <v>34.469</v>
      </c>
      <c r="I85" s="4" t="str">
        <f t="shared" si="5"/>
        <v> </v>
      </c>
      <c r="J85" s="5"/>
      <c r="K85" s="5">
        <v>20.0</v>
      </c>
      <c r="L85" s="4">
        <f t="shared" si="6"/>
        <v>3</v>
      </c>
      <c r="M85" s="4">
        <f t="shared" si="7"/>
        <v>0</v>
      </c>
      <c r="N85" s="4">
        <f t="shared" si="8"/>
        <v>-9.9921</v>
      </c>
      <c r="O85" s="4" t="str">
        <f t="shared" si="9"/>
        <v/>
      </c>
      <c r="P85" s="4">
        <f t="shared" si="10"/>
        <v>20</v>
      </c>
    </row>
    <row r="86" ht="15.75" customHeight="1">
      <c r="A86" s="4">
        <v>1997.0</v>
      </c>
      <c r="B86" s="4">
        <v>236.0</v>
      </c>
      <c r="C86" s="5">
        <v>13.6</v>
      </c>
      <c r="D86" s="5">
        <v>27.7</v>
      </c>
      <c r="E86" s="4">
        <f t="shared" si="1"/>
        <v>0</v>
      </c>
      <c r="F86" s="4">
        <f t="shared" si="2"/>
        <v>0</v>
      </c>
      <c r="G86" s="4">
        <f t="shared" si="3"/>
        <v>41.823</v>
      </c>
      <c r="H86" s="4">
        <f t="shared" si="4"/>
        <v>35.6005</v>
      </c>
      <c r="I86" s="4" t="str">
        <f t="shared" si="5"/>
        <v> </v>
      </c>
      <c r="J86" s="5"/>
      <c r="K86" s="5">
        <v>20.5</v>
      </c>
      <c r="L86" s="4">
        <f t="shared" si="6"/>
        <v>3</v>
      </c>
      <c r="M86" s="4">
        <f t="shared" si="7"/>
        <v>0</v>
      </c>
      <c r="N86" s="4">
        <f t="shared" si="8"/>
        <v>-9.8757</v>
      </c>
      <c r="O86" s="4" t="str">
        <f t="shared" si="9"/>
        <v/>
      </c>
      <c r="P86" s="4">
        <f t="shared" si="10"/>
        <v>20.5</v>
      </c>
    </row>
    <row r="87" ht="15.75" customHeight="1">
      <c r="A87" s="4">
        <v>1997.0</v>
      </c>
      <c r="B87" s="4">
        <v>237.0</v>
      </c>
      <c r="C87" s="5">
        <v>13.2</v>
      </c>
      <c r="D87" s="5">
        <v>28.2</v>
      </c>
      <c r="E87" s="4">
        <f t="shared" si="1"/>
        <v>0</v>
      </c>
      <c r="F87" s="4">
        <f t="shared" si="2"/>
        <v>0</v>
      </c>
      <c r="G87" s="4">
        <f t="shared" si="3"/>
        <v>41.097</v>
      </c>
      <c r="H87" s="4">
        <f t="shared" si="4"/>
        <v>34.7265</v>
      </c>
      <c r="I87" s="4" t="str">
        <f t="shared" si="5"/>
        <v> </v>
      </c>
      <c r="J87" s="5"/>
      <c r="K87" s="5">
        <v>20.8</v>
      </c>
      <c r="L87" s="4">
        <f t="shared" si="6"/>
        <v>3</v>
      </c>
      <c r="M87" s="4">
        <f t="shared" si="7"/>
        <v>0</v>
      </c>
      <c r="N87" s="4">
        <f t="shared" si="8"/>
        <v>-9.3031</v>
      </c>
      <c r="O87" s="4" t="str">
        <f t="shared" si="9"/>
        <v/>
      </c>
      <c r="P87" s="4">
        <f t="shared" si="10"/>
        <v>20.8</v>
      </c>
    </row>
    <row r="88" ht="15.75" customHeight="1">
      <c r="A88" s="4">
        <v>1997.0</v>
      </c>
      <c r="B88" s="4">
        <v>238.0</v>
      </c>
      <c r="C88" s="5">
        <v>13.6</v>
      </c>
      <c r="D88" s="5">
        <v>27.7</v>
      </c>
      <c r="E88" s="4">
        <f t="shared" si="1"/>
        <v>0</v>
      </c>
      <c r="J88" s="5"/>
      <c r="K88" s="5">
        <v>20.9</v>
      </c>
      <c r="L88" s="4">
        <f t="shared" si="6"/>
        <v>3</v>
      </c>
      <c r="O88" s="4" t="str">
        <f t="shared" si="9"/>
        <v/>
      </c>
      <c r="P88" s="4">
        <f t="shared" si="10"/>
        <v>20.9</v>
      </c>
    </row>
    <row r="89" ht="15.75" customHeight="1">
      <c r="A89" s="4">
        <v>1997.0</v>
      </c>
      <c r="B89" s="4">
        <v>239.0</v>
      </c>
      <c r="C89" s="5">
        <v>14.7</v>
      </c>
      <c r="D89" s="5">
        <v>28.0</v>
      </c>
      <c r="E89" s="4">
        <f t="shared" si="1"/>
        <v>0</v>
      </c>
      <c r="J89" s="5"/>
      <c r="K89" s="5">
        <v>21.5</v>
      </c>
      <c r="L89" s="4">
        <f t="shared" si="6"/>
        <v>3</v>
      </c>
      <c r="O89" s="4" t="str">
        <f t="shared" si="9"/>
        <v/>
      </c>
      <c r="P89" s="4">
        <f t="shared" si="10"/>
        <v>21.5</v>
      </c>
    </row>
    <row r="90" ht="15.75" customHeight="1">
      <c r="A90" s="4">
        <v>1997.0</v>
      </c>
      <c r="B90" s="4">
        <v>240.0</v>
      </c>
      <c r="C90" s="5">
        <v>16.1</v>
      </c>
      <c r="D90" s="5">
        <v>28.4</v>
      </c>
      <c r="E90" s="4">
        <f t="shared" si="1"/>
        <v>0</v>
      </c>
      <c r="J90" s="5"/>
      <c r="K90" s="5">
        <v>22.1</v>
      </c>
      <c r="L90" s="4">
        <f t="shared" si="6"/>
        <v>3</v>
      </c>
      <c r="O90" s="4" t="str">
        <f t="shared" si="9"/>
        <v/>
      </c>
      <c r="P90" s="4">
        <f t="shared" si="10"/>
        <v>22.1</v>
      </c>
    </row>
    <row r="91" ht="15.75" customHeight="1">
      <c r="A91" s="4">
        <v>1997.0</v>
      </c>
      <c r="B91" s="4">
        <v>241.0</v>
      </c>
      <c r="C91" s="5">
        <v>16.2</v>
      </c>
      <c r="D91" s="5">
        <v>27.2</v>
      </c>
      <c r="E91" s="4">
        <f t="shared" si="1"/>
        <v>0</v>
      </c>
      <c r="J91" s="5"/>
      <c r="K91" s="5">
        <v>21.4</v>
      </c>
      <c r="L91" s="4">
        <f t="shared" si="6"/>
        <v>3</v>
      </c>
      <c r="O91" s="4" t="str">
        <f t="shared" si="9"/>
        <v/>
      </c>
      <c r="P91" s="4">
        <f t="shared" si="10"/>
        <v>21.4</v>
      </c>
    </row>
    <row r="92" ht="15.75" customHeight="1">
      <c r="A92" s="4">
        <v>1997.0</v>
      </c>
      <c r="B92" s="4">
        <v>242.0</v>
      </c>
      <c r="C92" s="5">
        <v>15.5</v>
      </c>
      <c r="D92" s="5">
        <v>26.9</v>
      </c>
      <c r="E92" s="4">
        <f t="shared" si="1"/>
        <v>0</v>
      </c>
      <c r="J92" s="5"/>
      <c r="K92" s="5">
        <v>19.8</v>
      </c>
      <c r="L92" s="4">
        <f t="shared" si="6"/>
        <v>3</v>
      </c>
      <c r="O92" s="4" t="str">
        <f t="shared" si="9"/>
        <v/>
      </c>
      <c r="P92" s="4">
        <f t="shared" si="10"/>
        <v>19.8</v>
      </c>
    </row>
    <row r="93" ht="15.75" customHeight="1">
      <c r="A93" s="4">
        <v>1997.0</v>
      </c>
      <c r="B93" s="4">
        <v>243.0</v>
      </c>
      <c r="C93" s="5">
        <v>8.9</v>
      </c>
      <c r="D93" s="5">
        <v>20.1</v>
      </c>
      <c r="E93" s="4">
        <f t="shared" si="1"/>
        <v>0</v>
      </c>
      <c r="J93" s="5"/>
      <c r="K93" s="5">
        <v>15.3</v>
      </c>
      <c r="L93" s="4">
        <f t="shared" si="6"/>
        <v>3</v>
      </c>
      <c r="O93" s="4" t="str">
        <f t="shared" si="9"/>
        <v/>
      </c>
      <c r="P93" s="4">
        <f t="shared" si="10"/>
        <v>15.3</v>
      </c>
    </row>
    <row r="94" ht="15.75" customHeight="1"/>
    <row r="95" ht="15.75" customHeight="1">
      <c r="J95" s="4">
        <f>SUMIF(J2:J93,K2&gt;10,K2:K93)</f>
        <v>0</v>
      </c>
    </row>
    <row r="96" ht="15.75" customHeight="1">
      <c r="O96" s="4">
        <f>SUM(O2:O93)</f>
        <v>70.5</v>
      </c>
      <c r="P96" s="4">
        <f>SUMIF(P2:P93,"&gt;0")/10</f>
        <v>159.91</v>
      </c>
    </row>
    <row r="97" ht="15.75" customHeight="1"/>
    <row r="98" ht="15.75" customHeight="1">
      <c r="I98" s="4">
        <f>SUM(I2:I87)</f>
        <v>18.2245</v>
      </c>
      <c r="O98" s="4" t="s">
        <v>15</v>
      </c>
      <c r="P98" s="4">
        <f>O96/P96</f>
        <v>0.4408729911</v>
      </c>
    </row>
    <row r="99" ht="15.75" customHeight="1">
      <c r="I99" s="4">
        <f>SUM(I2:I31)</f>
        <v>9.5055</v>
      </c>
      <c r="O99" s="4" t="s">
        <v>16</v>
      </c>
      <c r="P99" s="4">
        <f>SUM(O2:O31)/(SUM(P2:P31)/10)</f>
        <v>0.6636648395</v>
      </c>
    </row>
    <row r="100" ht="15.75" customHeight="1">
      <c r="I100" s="4">
        <f>SUM(I32:I62)</f>
        <v>0</v>
      </c>
      <c r="O100" s="4" t="s">
        <v>17</v>
      </c>
      <c r="P100" s="4">
        <f>SUM(O33:O62)/(SUM(P33:P62)/10)</f>
        <v>0.1692732291</v>
      </c>
    </row>
    <row r="101" ht="15.75" customHeight="1">
      <c r="I101" s="4">
        <f>SUM(I63:I93)</f>
        <v>8.719</v>
      </c>
      <c r="O101" s="4" t="s">
        <v>18</v>
      </c>
      <c r="P101" s="4">
        <f>SUM(O63:O93)/(SUM(P63:P93)/10)</f>
        <v>0.5205167173</v>
      </c>
    </row>
    <row r="102" ht="15.75" customHeight="1">
      <c r="I102" s="4">
        <f>SUMIF(I2:I87,"&gt;0")</f>
        <v>18.2245</v>
      </c>
    </row>
    <row r="103" ht="15.75" customHeight="1">
      <c r="I103" s="4">
        <f>SUMIF(I2:I31,"&gt;0")</f>
        <v>9.5055</v>
      </c>
    </row>
    <row r="104" ht="15.75" customHeight="1">
      <c r="I104" s="4">
        <f>SUMIF(I32:I62,"&gt;0")</f>
        <v>0</v>
      </c>
      <c r="P104" s="4">
        <f>SUM(O16:O35)/(SUM(P16:P35)/10)</f>
        <v>0.5465084184</v>
      </c>
    </row>
    <row r="105" ht="15.75" customHeight="1">
      <c r="I105" s="4">
        <f>SUMIF(I63:I87,"&gt;0")</f>
        <v>8.719</v>
      </c>
      <c r="P105" s="4">
        <f>SUM(O36:O55)/(SUM(P36:P55)/10)</f>
        <v>0.1751824818</v>
      </c>
    </row>
    <row r="106" ht="15.75" customHeight="1">
      <c r="P106" s="4">
        <f>SUM(O56:O77)/(SUM(P56:P77)/10)</f>
        <v>0.7005076142</v>
      </c>
    </row>
    <row r="107" ht="15.75" customHeight="1">
      <c r="P107" s="4">
        <f>SUM(O16:O77)/(SUM(P16:P77)/10)</f>
        <v>0.4859847106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1998.0</v>
      </c>
      <c r="B2" s="4">
        <v>152.0</v>
      </c>
      <c r="C2" s="10">
        <v>4.1</v>
      </c>
      <c r="D2" s="10">
        <v>21.4</v>
      </c>
      <c r="E2" s="4">
        <f t="shared" ref="E2:E93" si="1">IF(J2&gt;0,1,0)</f>
        <v>0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29.115</v>
      </c>
      <c r="H2" s="4">
        <f t="shared" ref="H2:H87" si="4">0.63 * D2 + 0.37 * D3 + 0.49 * D4 + 0.22 * D5 + 0.65 * D6 + 0.24 *C2 - 0.06 * C3- 0.15 * C4 - 0.135 * C5 + 0.15 * C6 + 4.88 * E2 + 3.55 * E3 + 3.34 *E4 + 2.5 * E5 + 2.29 *E6-31.34</f>
        <v>26.4295</v>
      </c>
      <c r="I2" s="4" t="str">
        <f t="shared" ref="I2:I87" si="5">IF((H2-G2)&gt;0,H2-G2," ")</f>
        <v> </v>
      </c>
      <c r="J2" s="10"/>
      <c r="K2" s="10">
        <v>14.4</v>
      </c>
      <c r="L2" s="4">
        <f t="shared" ref="L2:L93" si="6">IF(E2&gt;0,8,3)</f>
        <v>3</v>
      </c>
      <c r="M2" s="4">
        <f t="shared" ref="M2:M87" si="7">IF(N2&gt;=0,1,0)</f>
        <v>0</v>
      </c>
      <c r="N2" s="4">
        <f t="shared" ref="N2:N87" si="8">-0.216*D2-0.191*D3-0.119*D4+0.004*C2-0.171*C3+0.628*C4-0.479*L2+0.513*L3+0.046*L4+5.947*E2+6.699*E3+4.328*E4-1.788</f>
        <v>-6.8218</v>
      </c>
      <c r="O2" s="4" t="str">
        <f t="shared" ref="O2:O93" si="9">IF(K2&gt;10,J2,0)</f>
        <v/>
      </c>
      <c r="P2" s="4">
        <f t="shared" ref="P2:P93" si="10">IF(K2&gt;10,K2,0)</f>
        <v>14.4</v>
      </c>
    </row>
    <row r="3">
      <c r="A3" s="4">
        <v>1998.0</v>
      </c>
      <c r="B3" s="4">
        <v>153.0</v>
      </c>
      <c r="C3" s="10">
        <v>10.9</v>
      </c>
      <c r="D3" s="10">
        <v>25.1</v>
      </c>
      <c r="E3" s="4">
        <f t="shared" si="1"/>
        <v>0</v>
      </c>
      <c r="F3" s="4">
        <f t="shared" si="2"/>
        <v>0</v>
      </c>
      <c r="G3" s="4">
        <f t="shared" si="3"/>
        <v>33.135</v>
      </c>
      <c r="H3" s="4">
        <f t="shared" si="4"/>
        <v>28.1405</v>
      </c>
      <c r="I3" s="4" t="str">
        <f t="shared" si="5"/>
        <v> </v>
      </c>
      <c r="J3" s="11"/>
      <c r="K3" s="10">
        <v>19.0</v>
      </c>
      <c r="L3" s="4">
        <f t="shared" si="6"/>
        <v>3</v>
      </c>
      <c r="M3" s="4">
        <f t="shared" si="7"/>
        <v>0</v>
      </c>
      <c r="N3" s="4">
        <f t="shared" si="8"/>
        <v>-9.039</v>
      </c>
      <c r="O3" s="12" t="str">
        <f t="shared" si="9"/>
        <v/>
      </c>
      <c r="P3" s="4">
        <f t="shared" si="10"/>
        <v>19</v>
      </c>
    </row>
    <row r="4">
      <c r="A4" s="4">
        <v>1998.0</v>
      </c>
      <c r="B4" s="4">
        <v>154.0</v>
      </c>
      <c r="C4" s="10">
        <v>14.2</v>
      </c>
      <c r="D4" s="10">
        <v>24.6</v>
      </c>
      <c r="E4" s="4">
        <f t="shared" si="1"/>
        <v>0</v>
      </c>
      <c r="F4" s="4">
        <f t="shared" si="2"/>
        <v>0</v>
      </c>
      <c r="G4" s="4">
        <f t="shared" si="3"/>
        <v>32.492</v>
      </c>
      <c r="H4" s="4">
        <f t="shared" si="4"/>
        <v>28.296</v>
      </c>
      <c r="I4" s="4" t="str">
        <f t="shared" si="5"/>
        <v> </v>
      </c>
      <c r="J4" s="11"/>
      <c r="K4" s="10">
        <v>19.4</v>
      </c>
      <c r="L4" s="4">
        <f t="shared" si="6"/>
        <v>3</v>
      </c>
      <c r="M4" s="4">
        <f t="shared" si="7"/>
        <v>0</v>
      </c>
      <c r="N4" s="4">
        <f t="shared" si="8"/>
        <v>-2.9629</v>
      </c>
      <c r="O4" s="12" t="str">
        <f t="shared" si="9"/>
        <v/>
      </c>
      <c r="P4" s="4">
        <f t="shared" si="10"/>
        <v>19.4</v>
      </c>
    </row>
    <row r="5">
      <c r="A5" s="4">
        <v>1998.0</v>
      </c>
      <c r="B5" s="4">
        <v>155.0</v>
      </c>
      <c r="C5" s="10">
        <v>13.1</v>
      </c>
      <c r="D5" s="10">
        <v>27.0</v>
      </c>
      <c r="E5" s="4">
        <f t="shared" si="1"/>
        <v>0</v>
      </c>
      <c r="F5" s="4">
        <f t="shared" si="2"/>
        <v>0</v>
      </c>
      <c r="G5" s="4">
        <f t="shared" si="3"/>
        <v>35.83</v>
      </c>
      <c r="H5" s="4">
        <f t="shared" si="4"/>
        <v>32.4705</v>
      </c>
      <c r="I5" s="4" t="str">
        <f t="shared" si="5"/>
        <v> </v>
      </c>
      <c r="J5" s="11"/>
      <c r="K5" s="10">
        <v>21.0</v>
      </c>
      <c r="L5" s="4">
        <f t="shared" si="6"/>
        <v>3</v>
      </c>
      <c r="M5" s="4">
        <f t="shared" si="7"/>
        <v>0</v>
      </c>
      <c r="N5" s="4">
        <f t="shared" si="8"/>
        <v>-1.0409</v>
      </c>
      <c r="O5" s="12" t="str">
        <f t="shared" si="9"/>
        <v/>
      </c>
      <c r="P5" s="4">
        <f t="shared" si="10"/>
        <v>21</v>
      </c>
    </row>
    <row r="6">
      <c r="A6" s="4">
        <v>1998.0</v>
      </c>
      <c r="B6" s="4">
        <v>156.0</v>
      </c>
      <c r="C6" s="10">
        <v>15.3</v>
      </c>
      <c r="D6" s="10">
        <v>24.6</v>
      </c>
      <c r="E6" s="4">
        <f t="shared" si="1"/>
        <v>1</v>
      </c>
      <c r="F6" s="4">
        <f t="shared" si="2"/>
        <v>0</v>
      </c>
      <c r="G6" s="4">
        <f t="shared" si="3"/>
        <v>38.687</v>
      </c>
      <c r="H6" s="4">
        <f t="shared" si="4"/>
        <v>34.357</v>
      </c>
      <c r="I6" s="4" t="str">
        <f t="shared" si="5"/>
        <v> </v>
      </c>
      <c r="J6" s="10">
        <v>4.6</v>
      </c>
      <c r="K6" s="10">
        <v>19.8</v>
      </c>
      <c r="L6" s="4">
        <f t="shared" si="6"/>
        <v>8</v>
      </c>
      <c r="M6" s="4">
        <f t="shared" si="7"/>
        <v>0</v>
      </c>
      <c r="N6" s="4">
        <f t="shared" si="8"/>
        <v>-6.8523</v>
      </c>
      <c r="O6" s="4">
        <f t="shared" si="9"/>
        <v>4.6</v>
      </c>
      <c r="P6" s="4">
        <f t="shared" si="10"/>
        <v>19.8</v>
      </c>
    </row>
    <row r="7">
      <c r="A7" s="4">
        <v>1998.0</v>
      </c>
      <c r="B7" s="4">
        <v>157.0</v>
      </c>
      <c r="C7" s="10">
        <v>11.0</v>
      </c>
      <c r="D7" s="10">
        <v>21.6</v>
      </c>
      <c r="E7" s="4">
        <f t="shared" si="1"/>
        <v>0</v>
      </c>
      <c r="F7" s="4">
        <f t="shared" si="2"/>
        <v>0</v>
      </c>
      <c r="G7" s="4">
        <f t="shared" si="3"/>
        <v>34.54</v>
      </c>
      <c r="H7" s="4">
        <f t="shared" si="4"/>
        <v>29.3115</v>
      </c>
      <c r="I7" s="4" t="str">
        <f t="shared" si="5"/>
        <v> </v>
      </c>
      <c r="J7" s="11"/>
      <c r="K7" s="10">
        <v>17.4</v>
      </c>
      <c r="L7" s="4">
        <f t="shared" si="6"/>
        <v>3</v>
      </c>
      <c r="M7" s="4">
        <f t="shared" si="7"/>
        <v>0</v>
      </c>
      <c r="N7" s="4">
        <f t="shared" si="8"/>
        <v>-5.9885</v>
      </c>
      <c r="O7" s="12" t="str">
        <f t="shared" si="9"/>
        <v/>
      </c>
      <c r="P7" s="4">
        <f t="shared" si="10"/>
        <v>17.4</v>
      </c>
    </row>
    <row r="8">
      <c r="A8" s="4">
        <v>1998.0</v>
      </c>
      <c r="B8" s="4">
        <v>158.0</v>
      </c>
      <c r="C8" s="10">
        <v>7.9</v>
      </c>
      <c r="D8" s="10">
        <v>21.5</v>
      </c>
      <c r="E8" s="4">
        <f t="shared" si="1"/>
        <v>0</v>
      </c>
      <c r="F8" s="4">
        <f t="shared" si="2"/>
        <v>0</v>
      </c>
      <c r="G8" s="4">
        <f t="shared" si="3"/>
        <v>37.457</v>
      </c>
      <c r="H8" s="4">
        <f t="shared" si="4"/>
        <v>31.9645</v>
      </c>
      <c r="I8" s="4" t="str">
        <f t="shared" si="5"/>
        <v> </v>
      </c>
      <c r="J8" s="11"/>
      <c r="K8" s="10">
        <v>16.6</v>
      </c>
      <c r="L8" s="4">
        <f t="shared" si="6"/>
        <v>3</v>
      </c>
      <c r="M8" s="4">
        <f t="shared" si="7"/>
        <v>0</v>
      </c>
      <c r="N8" s="4">
        <f t="shared" si="8"/>
        <v>-7.9609</v>
      </c>
      <c r="O8" s="12" t="str">
        <f t="shared" si="9"/>
        <v/>
      </c>
      <c r="P8" s="4">
        <f t="shared" si="10"/>
        <v>16.6</v>
      </c>
    </row>
    <row r="9">
      <c r="A9" s="4">
        <v>1998.0</v>
      </c>
      <c r="B9" s="4">
        <v>159.0</v>
      </c>
      <c r="C9" s="10">
        <v>14.0</v>
      </c>
      <c r="D9" s="10">
        <v>26.5</v>
      </c>
      <c r="E9" s="4">
        <f t="shared" si="1"/>
        <v>0</v>
      </c>
      <c r="F9" s="4">
        <f t="shared" si="2"/>
        <v>0</v>
      </c>
      <c r="G9" s="4">
        <f t="shared" si="3"/>
        <v>43.679</v>
      </c>
      <c r="H9" s="4">
        <f t="shared" si="4"/>
        <v>37.1405</v>
      </c>
      <c r="I9" s="4" t="str">
        <f t="shared" si="5"/>
        <v> </v>
      </c>
      <c r="J9" s="11"/>
      <c r="K9" s="10">
        <v>20.9</v>
      </c>
      <c r="L9" s="4">
        <f t="shared" si="6"/>
        <v>3</v>
      </c>
      <c r="M9" s="4">
        <f t="shared" si="7"/>
        <v>0</v>
      </c>
      <c r="N9" s="4">
        <f t="shared" si="8"/>
        <v>-8.2455</v>
      </c>
      <c r="O9" s="12" t="str">
        <f t="shared" si="9"/>
        <v/>
      </c>
      <c r="P9" s="4">
        <f t="shared" si="10"/>
        <v>20.9</v>
      </c>
    </row>
    <row r="10">
      <c r="A10" s="4">
        <v>1998.0</v>
      </c>
      <c r="B10" s="4">
        <v>160.0</v>
      </c>
      <c r="C10" s="10">
        <v>14.5</v>
      </c>
      <c r="D10" s="10">
        <v>29.0</v>
      </c>
      <c r="E10" s="4">
        <f t="shared" si="1"/>
        <v>0</v>
      </c>
      <c r="F10" s="4">
        <f t="shared" si="2"/>
        <v>0</v>
      </c>
      <c r="G10" s="4">
        <f t="shared" si="3"/>
        <v>45.847</v>
      </c>
      <c r="H10" s="4">
        <f t="shared" si="4"/>
        <v>39.145</v>
      </c>
      <c r="I10" s="4" t="str">
        <f t="shared" si="5"/>
        <v> </v>
      </c>
      <c r="J10" s="11"/>
      <c r="K10" s="10">
        <v>22.7</v>
      </c>
      <c r="L10" s="4">
        <f t="shared" si="6"/>
        <v>3</v>
      </c>
      <c r="M10" s="4">
        <f t="shared" si="7"/>
        <v>0</v>
      </c>
      <c r="N10" s="4">
        <f t="shared" si="8"/>
        <v>-9.1634</v>
      </c>
      <c r="O10" s="12" t="str">
        <f t="shared" si="9"/>
        <v/>
      </c>
      <c r="P10" s="4">
        <f t="shared" si="10"/>
        <v>22.7</v>
      </c>
    </row>
    <row r="11">
      <c r="A11" s="4">
        <v>1998.0</v>
      </c>
      <c r="B11" s="4">
        <v>161.0</v>
      </c>
      <c r="C11" s="10">
        <v>16.7</v>
      </c>
      <c r="D11" s="10">
        <v>29.4</v>
      </c>
      <c r="E11" s="4">
        <f t="shared" si="1"/>
        <v>0</v>
      </c>
      <c r="F11" s="4">
        <f t="shared" si="2"/>
        <v>0</v>
      </c>
      <c r="G11" s="4">
        <f t="shared" si="3"/>
        <v>49.398</v>
      </c>
      <c r="H11" s="4">
        <f t="shared" si="4"/>
        <v>42.176</v>
      </c>
      <c r="I11" s="4" t="str">
        <f t="shared" si="5"/>
        <v> </v>
      </c>
      <c r="J11" s="11"/>
      <c r="K11" s="10">
        <v>23.7</v>
      </c>
      <c r="L11" s="4">
        <f t="shared" si="6"/>
        <v>3</v>
      </c>
      <c r="M11" s="4">
        <f t="shared" si="7"/>
        <v>0</v>
      </c>
      <c r="N11" s="4">
        <f t="shared" si="8"/>
        <v>-9.3123</v>
      </c>
      <c r="O11" s="12" t="str">
        <f t="shared" si="9"/>
        <v/>
      </c>
      <c r="P11" s="4">
        <f t="shared" si="10"/>
        <v>23.7</v>
      </c>
    </row>
    <row r="12">
      <c r="A12" s="4">
        <v>1998.0</v>
      </c>
      <c r="B12" s="4">
        <v>162.0</v>
      </c>
      <c r="C12" s="10">
        <v>17.1</v>
      </c>
      <c r="D12" s="10">
        <v>30.9</v>
      </c>
      <c r="E12" s="4">
        <f t="shared" si="1"/>
        <v>0</v>
      </c>
      <c r="F12" s="4">
        <f t="shared" si="2"/>
        <v>0</v>
      </c>
      <c r="G12" s="4">
        <f t="shared" si="3"/>
        <v>51.098</v>
      </c>
      <c r="H12" s="4">
        <f t="shared" si="4"/>
        <v>43.7475</v>
      </c>
      <c r="I12" s="4" t="str">
        <f t="shared" si="5"/>
        <v> </v>
      </c>
      <c r="J12" s="11"/>
      <c r="K12" s="10">
        <v>25.1</v>
      </c>
      <c r="L12" s="4">
        <f t="shared" si="6"/>
        <v>3</v>
      </c>
      <c r="M12" s="4">
        <f t="shared" si="7"/>
        <v>0</v>
      </c>
      <c r="N12" s="4">
        <f t="shared" si="8"/>
        <v>-9.3719</v>
      </c>
      <c r="O12" s="12" t="str">
        <f t="shared" si="9"/>
        <v/>
      </c>
      <c r="P12" s="4">
        <f t="shared" si="10"/>
        <v>25.1</v>
      </c>
    </row>
    <row r="13">
      <c r="A13" s="4">
        <v>1998.0</v>
      </c>
      <c r="B13" s="4">
        <v>163.0</v>
      </c>
      <c r="C13" s="10">
        <v>17.4</v>
      </c>
      <c r="D13" s="10">
        <v>30.1</v>
      </c>
      <c r="E13" s="4">
        <f t="shared" si="1"/>
        <v>0</v>
      </c>
      <c r="F13" s="4">
        <f t="shared" si="2"/>
        <v>0</v>
      </c>
      <c r="G13" s="4">
        <f t="shared" si="3"/>
        <v>46.963</v>
      </c>
      <c r="H13" s="4">
        <f t="shared" si="4"/>
        <v>40.6585</v>
      </c>
      <c r="I13" s="4" t="str">
        <f t="shared" si="5"/>
        <v> </v>
      </c>
      <c r="J13" s="11"/>
      <c r="K13" s="10">
        <v>24.4</v>
      </c>
      <c r="L13" s="4">
        <f t="shared" si="6"/>
        <v>3</v>
      </c>
      <c r="M13" s="4">
        <f t="shared" si="7"/>
        <v>0</v>
      </c>
      <c r="N13" s="4">
        <f t="shared" si="8"/>
        <v>-9.1279</v>
      </c>
      <c r="O13" s="12" t="str">
        <f t="shared" si="9"/>
        <v/>
      </c>
      <c r="P13" s="4">
        <f t="shared" si="10"/>
        <v>24.4</v>
      </c>
    </row>
    <row r="14">
      <c r="A14" s="4">
        <v>1998.0</v>
      </c>
      <c r="B14" s="4">
        <v>164.0</v>
      </c>
      <c r="C14" s="10">
        <v>17.6</v>
      </c>
      <c r="D14" s="10">
        <v>29.8</v>
      </c>
      <c r="E14" s="4">
        <f t="shared" si="1"/>
        <v>0</v>
      </c>
      <c r="F14" s="4">
        <f t="shared" si="2"/>
        <v>0</v>
      </c>
      <c r="G14" s="4">
        <f t="shared" si="3"/>
        <v>45.211</v>
      </c>
      <c r="H14" s="4">
        <f t="shared" si="4"/>
        <v>39.837</v>
      </c>
      <c r="I14" s="4" t="str">
        <f t="shared" si="5"/>
        <v> </v>
      </c>
      <c r="J14" s="11"/>
      <c r="K14" s="10">
        <v>24.9</v>
      </c>
      <c r="L14" s="4">
        <f t="shared" si="6"/>
        <v>3</v>
      </c>
      <c r="M14" s="4">
        <f t="shared" si="7"/>
        <v>0</v>
      </c>
      <c r="N14" s="4">
        <f t="shared" si="8"/>
        <v>-8.1795</v>
      </c>
      <c r="O14" s="12" t="str">
        <f t="shared" si="9"/>
        <v/>
      </c>
      <c r="P14" s="4">
        <f t="shared" si="10"/>
        <v>24.9</v>
      </c>
    </row>
    <row r="15">
      <c r="A15" s="4">
        <v>1998.0</v>
      </c>
      <c r="B15" s="4">
        <v>165.0</v>
      </c>
      <c r="C15" s="10">
        <v>18.3</v>
      </c>
      <c r="D15" s="10">
        <v>33.1</v>
      </c>
      <c r="E15" s="4">
        <f t="shared" si="1"/>
        <v>0</v>
      </c>
      <c r="F15" s="4">
        <f t="shared" si="2"/>
        <v>0</v>
      </c>
      <c r="G15" s="4">
        <f t="shared" si="3"/>
        <v>48.146</v>
      </c>
      <c r="H15" s="4">
        <f t="shared" si="4"/>
        <v>42.8295</v>
      </c>
      <c r="I15" s="4" t="str">
        <f t="shared" si="5"/>
        <v> </v>
      </c>
      <c r="J15" s="11"/>
      <c r="K15" s="10">
        <v>27.0</v>
      </c>
      <c r="L15" s="4">
        <f t="shared" si="6"/>
        <v>3</v>
      </c>
      <c r="M15" s="4">
        <f t="shared" si="7"/>
        <v>0</v>
      </c>
      <c r="N15" s="4">
        <f t="shared" si="8"/>
        <v>-9.3829</v>
      </c>
      <c r="O15" s="12" t="str">
        <f t="shared" si="9"/>
        <v/>
      </c>
      <c r="P15" s="4">
        <f t="shared" si="10"/>
        <v>27</v>
      </c>
    </row>
    <row r="16">
      <c r="A16" s="4">
        <v>1998.0</v>
      </c>
      <c r="B16" s="4">
        <v>166.0</v>
      </c>
      <c r="C16" s="10">
        <v>20.9</v>
      </c>
      <c r="D16" s="10">
        <v>33.1</v>
      </c>
      <c r="E16" s="4">
        <f t="shared" si="1"/>
        <v>0</v>
      </c>
      <c r="F16" s="4">
        <f t="shared" si="2"/>
        <v>0</v>
      </c>
      <c r="G16" s="4">
        <f t="shared" si="3"/>
        <v>48.916</v>
      </c>
      <c r="H16" s="4">
        <f t="shared" si="4"/>
        <v>43.295</v>
      </c>
      <c r="I16" s="4" t="str">
        <f t="shared" si="5"/>
        <v> </v>
      </c>
      <c r="J16" s="11"/>
      <c r="K16" s="10">
        <v>27.8</v>
      </c>
      <c r="L16" s="4">
        <f t="shared" si="6"/>
        <v>3</v>
      </c>
      <c r="M16" s="4">
        <f t="shared" si="7"/>
        <v>0</v>
      </c>
      <c r="N16" s="4">
        <f t="shared" si="8"/>
        <v>-2.2921</v>
      </c>
      <c r="O16" s="12" t="str">
        <f t="shared" si="9"/>
        <v/>
      </c>
      <c r="P16" s="4">
        <f t="shared" si="10"/>
        <v>27.8</v>
      </c>
    </row>
    <row r="17">
      <c r="A17" s="4">
        <v>1998.0</v>
      </c>
      <c r="B17" s="4">
        <v>167.0</v>
      </c>
      <c r="C17" s="10">
        <v>12.2</v>
      </c>
      <c r="D17" s="10">
        <v>25.9</v>
      </c>
      <c r="E17" s="4">
        <f t="shared" si="1"/>
        <v>1</v>
      </c>
      <c r="F17" s="4">
        <f t="shared" si="2"/>
        <v>0</v>
      </c>
      <c r="G17" s="4">
        <f t="shared" si="3"/>
        <v>43.663</v>
      </c>
      <c r="H17" s="4">
        <f t="shared" si="4"/>
        <v>40.9895</v>
      </c>
      <c r="I17" s="4" t="str">
        <f t="shared" si="5"/>
        <v> </v>
      </c>
      <c r="J17" s="10">
        <v>3.1</v>
      </c>
      <c r="K17" s="10">
        <v>18.4</v>
      </c>
      <c r="L17" s="4">
        <f t="shared" si="6"/>
        <v>8</v>
      </c>
      <c r="M17" s="4">
        <f t="shared" si="7"/>
        <v>0</v>
      </c>
      <c r="N17" s="4">
        <f t="shared" si="8"/>
        <v>-4.2674</v>
      </c>
      <c r="O17" s="4">
        <f t="shared" si="9"/>
        <v>3.1</v>
      </c>
      <c r="P17" s="4">
        <f t="shared" si="10"/>
        <v>18.4</v>
      </c>
    </row>
    <row r="18">
      <c r="A18" s="4">
        <v>1998.0</v>
      </c>
      <c r="B18" s="4">
        <v>168.0</v>
      </c>
      <c r="C18" s="10">
        <v>11.1</v>
      </c>
      <c r="D18" s="10">
        <v>24.2</v>
      </c>
      <c r="E18" s="4">
        <f t="shared" si="1"/>
        <v>0</v>
      </c>
      <c r="F18" s="4">
        <f t="shared" si="2"/>
        <v>0</v>
      </c>
      <c r="G18" s="4">
        <f t="shared" si="3"/>
        <v>37.585</v>
      </c>
      <c r="H18" s="4">
        <f t="shared" si="4"/>
        <v>32.5005</v>
      </c>
      <c r="I18" s="4" t="str">
        <f t="shared" si="5"/>
        <v> </v>
      </c>
      <c r="J18" s="11"/>
      <c r="K18" s="10">
        <v>18.5</v>
      </c>
      <c r="L18" s="4">
        <f t="shared" si="6"/>
        <v>3</v>
      </c>
      <c r="M18" s="4">
        <f t="shared" si="7"/>
        <v>0</v>
      </c>
      <c r="N18" s="4">
        <f t="shared" si="8"/>
        <v>-6.1982</v>
      </c>
      <c r="O18" s="12" t="str">
        <f t="shared" si="9"/>
        <v/>
      </c>
      <c r="P18" s="4">
        <f t="shared" si="10"/>
        <v>18.5</v>
      </c>
    </row>
    <row r="19">
      <c r="A19" s="4">
        <v>1998.0</v>
      </c>
      <c r="B19" s="4">
        <v>169.0</v>
      </c>
      <c r="C19" s="10">
        <v>14.4</v>
      </c>
      <c r="D19" s="10">
        <v>27.3</v>
      </c>
      <c r="E19" s="4">
        <f t="shared" si="1"/>
        <v>0</v>
      </c>
      <c r="F19" s="4">
        <f t="shared" si="2"/>
        <v>0</v>
      </c>
      <c r="G19" s="4">
        <f t="shared" si="3"/>
        <v>38.529</v>
      </c>
      <c r="H19" s="4">
        <f t="shared" si="4"/>
        <v>35.905</v>
      </c>
      <c r="I19" s="4" t="str">
        <f t="shared" si="5"/>
        <v> </v>
      </c>
      <c r="J19" s="11"/>
      <c r="K19" s="10">
        <v>21.6</v>
      </c>
      <c r="L19" s="4">
        <f t="shared" si="6"/>
        <v>3</v>
      </c>
      <c r="M19" s="4">
        <f t="shared" si="7"/>
        <v>0</v>
      </c>
      <c r="N19" s="4">
        <f t="shared" si="8"/>
        <v>-3.4123</v>
      </c>
      <c r="O19" s="12" t="str">
        <f t="shared" si="9"/>
        <v/>
      </c>
      <c r="P19" s="4">
        <f t="shared" si="10"/>
        <v>21.6</v>
      </c>
    </row>
    <row r="20">
      <c r="A20" s="4">
        <v>1998.0</v>
      </c>
      <c r="B20" s="4">
        <v>170.0</v>
      </c>
      <c r="C20" s="10">
        <v>18.7</v>
      </c>
      <c r="D20" s="10">
        <v>29.7</v>
      </c>
      <c r="E20" s="4">
        <f t="shared" si="1"/>
        <v>0</v>
      </c>
      <c r="F20" s="4">
        <f t="shared" si="2"/>
        <v>0</v>
      </c>
      <c r="G20" s="4">
        <f t="shared" si="3"/>
        <v>38.292</v>
      </c>
      <c r="H20" s="4">
        <f t="shared" si="4"/>
        <v>35.996</v>
      </c>
      <c r="I20" s="4" t="str">
        <f t="shared" si="5"/>
        <v> </v>
      </c>
      <c r="J20" s="11"/>
      <c r="K20" s="10">
        <v>23.8</v>
      </c>
      <c r="L20" s="4">
        <f t="shared" si="6"/>
        <v>3</v>
      </c>
      <c r="M20" s="4">
        <f t="shared" si="7"/>
        <v>1</v>
      </c>
      <c r="N20" s="4">
        <f t="shared" si="8"/>
        <v>0.3045</v>
      </c>
      <c r="O20" s="12" t="str">
        <f t="shared" si="9"/>
        <v/>
      </c>
      <c r="P20" s="4">
        <f t="shared" si="10"/>
        <v>23.8</v>
      </c>
    </row>
    <row r="21" ht="15.75" customHeight="1">
      <c r="A21" s="4">
        <v>1998.0</v>
      </c>
      <c r="B21" s="4">
        <v>171.0</v>
      </c>
      <c r="C21" s="10">
        <v>18.9</v>
      </c>
      <c r="D21" s="10">
        <v>30.1</v>
      </c>
      <c r="E21" s="4">
        <f t="shared" si="1"/>
        <v>1</v>
      </c>
      <c r="F21" s="4">
        <f t="shared" si="2"/>
        <v>1</v>
      </c>
      <c r="G21" s="4">
        <f t="shared" si="3"/>
        <v>34.105</v>
      </c>
      <c r="H21" s="4">
        <f t="shared" si="4"/>
        <v>34.1825</v>
      </c>
      <c r="I21" s="4">
        <f t="shared" si="5"/>
        <v>0.0775</v>
      </c>
      <c r="J21" s="10">
        <v>12.2</v>
      </c>
      <c r="K21" s="10">
        <v>24.7</v>
      </c>
      <c r="L21" s="4">
        <f t="shared" si="6"/>
        <v>8</v>
      </c>
      <c r="M21" s="4">
        <f t="shared" si="7"/>
        <v>0</v>
      </c>
      <c r="N21" s="4">
        <f t="shared" si="8"/>
        <v>-0.31</v>
      </c>
      <c r="O21" s="4">
        <f t="shared" si="9"/>
        <v>12.2</v>
      </c>
      <c r="P21" s="4">
        <f t="shared" si="10"/>
        <v>24.7</v>
      </c>
    </row>
    <row r="22" ht="15.75" customHeight="1">
      <c r="A22" s="4">
        <v>1998.0</v>
      </c>
      <c r="B22" s="4">
        <v>172.0</v>
      </c>
      <c r="C22" s="10">
        <v>17.2</v>
      </c>
      <c r="D22" s="10">
        <v>24.3</v>
      </c>
      <c r="E22" s="4">
        <f t="shared" si="1"/>
        <v>0</v>
      </c>
      <c r="F22" s="4">
        <f t="shared" si="2"/>
        <v>1</v>
      </c>
      <c r="G22" s="4">
        <f t="shared" si="3"/>
        <v>24.904</v>
      </c>
      <c r="H22" s="4">
        <f t="shared" si="4"/>
        <v>25.7575</v>
      </c>
      <c r="I22" s="4">
        <f t="shared" si="5"/>
        <v>0.8535</v>
      </c>
      <c r="J22" s="11"/>
      <c r="K22" s="10">
        <v>20.4</v>
      </c>
      <c r="L22" s="4">
        <f t="shared" si="6"/>
        <v>3</v>
      </c>
      <c r="M22" s="4">
        <f t="shared" si="7"/>
        <v>1</v>
      </c>
      <c r="N22" s="4">
        <f t="shared" si="8"/>
        <v>6.4414</v>
      </c>
      <c r="O22" s="12" t="str">
        <f t="shared" si="9"/>
        <v/>
      </c>
      <c r="P22" s="4">
        <f t="shared" si="10"/>
        <v>20.4</v>
      </c>
    </row>
    <row r="23" ht="15.75" customHeight="1">
      <c r="A23" s="4">
        <v>1998.0</v>
      </c>
      <c r="B23" s="4">
        <v>173.0</v>
      </c>
      <c r="C23" s="10">
        <v>15.4</v>
      </c>
      <c r="D23" s="10">
        <v>21.3</v>
      </c>
      <c r="E23" s="4">
        <f t="shared" si="1"/>
        <v>1</v>
      </c>
      <c r="F23" s="4">
        <f t="shared" si="2"/>
        <v>1</v>
      </c>
      <c r="G23" s="4">
        <f t="shared" si="3"/>
        <v>23.187</v>
      </c>
      <c r="H23" s="4">
        <f t="shared" si="4"/>
        <v>26.223</v>
      </c>
      <c r="I23" s="4">
        <f t="shared" si="5"/>
        <v>3.036</v>
      </c>
      <c r="J23" s="10">
        <v>0.6</v>
      </c>
      <c r="K23" s="10">
        <v>17.4</v>
      </c>
      <c r="L23" s="4">
        <f t="shared" si="6"/>
        <v>8</v>
      </c>
      <c r="M23" s="4">
        <f t="shared" si="7"/>
        <v>1</v>
      </c>
      <c r="N23" s="4">
        <f t="shared" si="8"/>
        <v>10.7425</v>
      </c>
      <c r="O23" s="4">
        <f t="shared" si="9"/>
        <v>0.6</v>
      </c>
      <c r="P23" s="4">
        <f t="shared" si="10"/>
        <v>17.4</v>
      </c>
    </row>
    <row r="24" ht="15.75" customHeight="1">
      <c r="A24" s="4">
        <v>1998.0</v>
      </c>
      <c r="B24" s="4">
        <v>174.0</v>
      </c>
      <c r="C24" s="10">
        <v>13.1</v>
      </c>
      <c r="D24" s="10">
        <v>18.3</v>
      </c>
      <c r="E24" s="4">
        <f t="shared" si="1"/>
        <v>1</v>
      </c>
      <c r="F24" s="4">
        <f t="shared" si="2"/>
        <v>1</v>
      </c>
      <c r="G24" s="4">
        <f t="shared" si="3"/>
        <v>19.108</v>
      </c>
      <c r="H24" s="4">
        <f t="shared" si="4"/>
        <v>22.573</v>
      </c>
      <c r="I24" s="4">
        <f t="shared" si="5"/>
        <v>3.465</v>
      </c>
      <c r="J24" s="10">
        <v>3.5</v>
      </c>
      <c r="K24" s="10">
        <v>15.4</v>
      </c>
      <c r="L24" s="4">
        <f t="shared" si="6"/>
        <v>8</v>
      </c>
      <c r="M24" s="4">
        <f t="shared" si="7"/>
        <v>1</v>
      </c>
      <c r="N24" s="4">
        <f t="shared" si="8"/>
        <v>12.1821</v>
      </c>
      <c r="O24" s="4">
        <f t="shared" si="9"/>
        <v>3.5</v>
      </c>
      <c r="P24" s="4">
        <f t="shared" si="10"/>
        <v>15.4</v>
      </c>
    </row>
    <row r="25" ht="15.75" customHeight="1">
      <c r="A25" s="4">
        <v>1998.0</v>
      </c>
      <c r="B25" s="4">
        <v>175.0</v>
      </c>
      <c r="C25" s="10">
        <v>10.9</v>
      </c>
      <c r="D25" s="10">
        <v>13.9</v>
      </c>
      <c r="E25" s="4">
        <f t="shared" si="1"/>
        <v>1</v>
      </c>
      <c r="F25" s="4">
        <f t="shared" si="2"/>
        <v>1</v>
      </c>
      <c r="G25" s="4">
        <f t="shared" si="3"/>
        <v>17.1</v>
      </c>
      <c r="H25" s="4">
        <f t="shared" si="4"/>
        <v>19.635</v>
      </c>
      <c r="I25" s="4">
        <f t="shared" si="5"/>
        <v>2.535</v>
      </c>
      <c r="J25" s="10">
        <v>15.7</v>
      </c>
      <c r="K25" s="10">
        <v>12.2</v>
      </c>
      <c r="L25" s="4">
        <f t="shared" si="6"/>
        <v>8</v>
      </c>
      <c r="M25" s="4">
        <f t="shared" si="7"/>
        <v>1</v>
      </c>
      <c r="N25" s="4">
        <f t="shared" si="8"/>
        <v>12.8995</v>
      </c>
      <c r="O25" s="4">
        <f t="shared" si="9"/>
        <v>15.7</v>
      </c>
      <c r="P25" s="4">
        <f t="shared" si="10"/>
        <v>12.2</v>
      </c>
    </row>
    <row r="26" ht="15.75" customHeight="1">
      <c r="A26" s="4">
        <v>1998.0</v>
      </c>
      <c r="B26" s="4">
        <v>176.0</v>
      </c>
      <c r="C26" s="10">
        <v>10.2</v>
      </c>
      <c r="D26" s="10">
        <v>13.7</v>
      </c>
      <c r="E26" s="4">
        <f t="shared" si="1"/>
        <v>1</v>
      </c>
      <c r="F26" s="4">
        <f t="shared" si="2"/>
        <v>1</v>
      </c>
      <c r="G26" s="4">
        <f t="shared" si="3"/>
        <v>20.077</v>
      </c>
      <c r="H26" s="4">
        <f t="shared" si="4"/>
        <v>21.1255</v>
      </c>
      <c r="I26" s="4">
        <f t="shared" si="5"/>
        <v>1.0485</v>
      </c>
      <c r="J26" s="10">
        <v>1.0</v>
      </c>
      <c r="K26" s="10">
        <v>11.8</v>
      </c>
      <c r="L26" s="4">
        <f t="shared" si="6"/>
        <v>8</v>
      </c>
      <c r="M26" s="4">
        <f t="shared" si="7"/>
        <v>1</v>
      </c>
      <c r="N26" s="4">
        <f t="shared" si="8"/>
        <v>11.8833</v>
      </c>
      <c r="O26" s="4">
        <f t="shared" si="9"/>
        <v>1</v>
      </c>
      <c r="P26" s="4">
        <f t="shared" si="10"/>
        <v>11.8</v>
      </c>
    </row>
    <row r="27" ht="15.75" customHeight="1">
      <c r="A27" s="4">
        <v>1998.0</v>
      </c>
      <c r="B27" s="4">
        <v>177.0</v>
      </c>
      <c r="C27" s="10">
        <v>9.8</v>
      </c>
      <c r="D27" s="10">
        <v>14.8</v>
      </c>
      <c r="E27" s="4">
        <f t="shared" si="1"/>
        <v>1</v>
      </c>
      <c r="F27" s="4">
        <f t="shared" si="2"/>
        <v>1</v>
      </c>
      <c r="G27" s="4">
        <f t="shared" si="3"/>
        <v>20.769</v>
      </c>
      <c r="H27" s="4">
        <f t="shared" si="4"/>
        <v>23.2765</v>
      </c>
      <c r="I27" s="4">
        <f t="shared" si="5"/>
        <v>2.5075</v>
      </c>
      <c r="J27" s="10">
        <v>0.2</v>
      </c>
      <c r="K27" s="10">
        <v>12.0</v>
      </c>
      <c r="L27" s="4">
        <f t="shared" si="6"/>
        <v>8</v>
      </c>
      <c r="M27" s="4">
        <f t="shared" si="7"/>
        <v>1</v>
      </c>
      <c r="N27" s="4">
        <f t="shared" si="8"/>
        <v>7.2609</v>
      </c>
      <c r="O27" s="4">
        <f t="shared" si="9"/>
        <v>0.2</v>
      </c>
      <c r="P27" s="4">
        <f t="shared" si="10"/>
        <v>12</v>
      </c>
    </row>
    <row r="28" ht="15.75" customHeight="1">
      <c r="A28" s="4">
        <v>1998.0</v>
      </c>
      <c r="B28" s="4">
        <v>178.0</v>
      </c>
      <c r="C28" s="10">
        <v>8.4</v>
      </c>
      <c r="D28" s="10">
        <v>15.1</v>
      </c>
      <c r="E28" s="4">
        <f t="shared" si="1"/>
        <v>1</v>
      </c>
      <c r="F28" s="4">
        <f t="shared" si="2"/>
        <v>0</v>
      </c>
      <c r="G28" s="4">
        <f t="shared" si="3"/>
        <v>22.035</v>
      </c>
      <c r="H28" s="4">
        <f t="shared" si="4"/>
        <v>20.785</v>
      </c>
      <c r="I28" s="4" t="str">
        <f t="shared" si="5"/>
        <v> </v>
      </c>
      <c r="J28" s="10">
        <v>1.8</v>
      </c>
      <c r="K28" s="10">
        <v>11.6</v>
      </c>
      <c r="L28" s="4">
        <f t="shared" si="6"/>
        <v>8</v>
      </c>
      <c r="M28" s="4">
        <f t="shared" si="7"/>
        <v>0</v>
      </c>
      <c r="N28" s="4">
        <f t="shared" si="8"/>
        <v>-3.8739</v>
      </c>
      <c r="O28" s="4">
        <f t="shared" si="9"/>
        <v>1.8</v>
      </c>
      <c r="P28" s="4">
        <f t="shared" si="10"/>
        <v>11.6</v>
      </c>
    </row>
    <row r="29" ht="15.75" customHeight="1">
      <c r="A29" s="4">
        <v>1998.0</v>
      </c>
      <c r="B29" s="4">
        <v>179.0</v>
      </c>
      <c r="C29" s="10">
        <v>8.9</v>
      </c>
      <c r="D29" s="10">
        <v>17.8</v>
      </c>
      <c r="E29" s="4">
        <f t="shared" si="1"/>
        <v>0</v>
      </c>
      <c r="F29" s="4">
        <f t="shared" si="2"/>
        <v>0</v>
      </c>
      <c r="G29" s="4">
        <f t="shared" si="3"/>
        <v>23.558</v>
      </c>
      <c r="H29" s="4">
        <f t="shared" si="4"/>
        <v>22.501</v>
      </c>
      <c r="I29" s="4" t="str">
        <f t="shared" si="5"/>
        <v> </v>
      </c>
      <c r="J29" s="11"/>
      <c r="K29" s="10">
        <v>13.2</v>
      </c>
      <c r="L29" s="4">
        <f t="shared" si="6"/>
        <v>3</v>
      </c>
      <c r="M29" s="4">
        <f t="shared" si="7"/>
        <v>0</v>
      </c>
      <c r="N29" s="4">
        <f t="shared" si="8"/>
        <v>-0.06</v>
      </c>
      <c r="O29" s="12" t="str">
        <f t="shared" si="9"/>
        <v/>
      </c>
      <c r="P29" s="4">
        <f t="shared" si="10"/>
        <v>13.2</v>
      </c>
    </row>
    <row r="30" ht="15.75" customHeight="1">
      <c r="A30" s="4">
        <v>1998.0</v>
      </c>
      <c r="B30" s="4">
        <v>180.0</v>
      </c>
      <c r="C30" s="10">
        <v>7.9</v>
      </c>
      <c r="D30" s="10">
        <v>22.6</v>
      </c>
      <c r="E30" s="4">
        <f t="shared" si="1"/>
        <v>0</v>
      </c>
      <c r="F30" s="4">
        <f t="shared" si="2"/>
        <v>0</v>
      </c>
      <c r="G30" s="4">
        <f t="shared" si="3"/>
        <v>25.47</v>
      </c>
      <c r="H30" s="4">
        <f t="shared" si="4"/>
        <v>25.448</v>
      </c>
      <c r="I30" s="4" t="str">
        <f t="shared" si="5"/>
        <v> </v>
      </c>
      <c r="J30" s="11"/>
      <c r="K30" s="10">
        <v>16.8</v>
      </c>
      <c r="L30" s="4">
        <f t="shared" si="6"/>
        <v>3</v>
      </c>
      <c r="M30" s="4">
        <f t="shared" si="7"/>
        <v>1</v>
      </c>
      <c r="N30" s="4">
        <f t="shared" si="8"/>
        <v>1.0851</v>
      </c>
      <c r="O30" s="12" t="str">
        <f t="shared" si="9"/>
        <v/>
      </c>
      <c r="P30" s="4">
        <f t="shared" si="10"/>
        <v>16.8</v>
      </c>
    </row>
    <row r="31" ht="15.75" customHeight="1">
      <c r="A31" s="4">
        <v>1998.0</v>
      </c>
      <c r="B31" s="4">
        <v>181.0</v>
      </c>
      <c r="C31" s="10">
        <v>14.2</v>
      </c>
      <c r="D31" s="10">
        <v>21.1</v>
      </c>
      <c r="E31" s="4">
        <f t="shared" si="1"/>
        <v>1</v>
      </c>
      <c r="F31" s="4">
        <f t="shared" si="2"/>
        <v>1</v>
      </c>
      <c r="G31" s="4">
        <f t="shared" si="3"/>
        <v>25.189</v>
      </c>
      <c r="H31" s="4">
        <f t="shared" si="4"/>
        <v>25.3925</v>
      </c>
      <c r="I31" s="4">
        <f t="shared" si="5"/>
        <v>0.2035</v>
      </c>
      <c r="J31" s="10">
        <v>2.4</v>
      </c>
      <c r="K31" s="10">
        <v>17.4</v>
      </c>
      <c r="L31" s="4">
        <f t="shared" si="6"/>
        <v>8</v>
      </c>
      <c r="M31" s="4">
        <f t="shared" si="7"/>
        <v>1</v>
      </c>
      <c r="N31" s="4">
        <f t="shared" si="8"/>
        <v>0.5286</v>
      </c>
      <c r="O31" s="4">
        <f t="shared" si="9"/>
        <v>2.4</v>
      </c>
      <c r="P31" s="4">
        <f t="shared" si="10"/>
        <v>17.4</v>
      </c>
    </row>
    <row r="32" ht="15.75" customHeight="1">
      <c r="A32" s="4">
        <v>1998.0</v>
      </c>
      <c r="B32" s="4">
        <v>182.0</v>
      </c>
      <c r="C32" s="10">
        <v>11.2</v>
      </c>
      <c r="D32" s="10">
        <v>19.8</v>
      </c>
      <c r="E32" s="4">
        <f t="shared" si="1"/>
        <v>0</v>
      </c>
      <c r="F32" s="4">
        <f t="shared" si="2"/>
        <v>1</v>
      </c>
      <c r="G32" s="4">
        <f t="shared" si="3"/>
        <v>21.084</v>
      </c>
      <c r="H32" s="4">
        <f t="shared" si="4"/>
        <v>24.808</v>
      </c>
      <c r="I32" s="4">
        <f t="shared" si="5"/>
        <v>3.724</v>
      </c>
      <c r="J32" s="11"/>
      <c r="K32" s="10">
        <v>15.8</v>
      </c>
      <c r="L32" s="4">
        <f t="shared" si="6"/>
        <v>3</v>
      </c>
      <c r="M32" s="4">
        <f t="shared" si="7"/>
        <v>1</v>
      </c>
      <c r="N32" s="4">
        <f t="shared" si="8"/>
        <v>8.156</v>
      </c>
      <c r="O32" s="12" t="str">
        <f t="shared" si="9"/>
        <v/>
      </c>
      <c r="P32" s="4">
        <f t="shared" si="10"/>
        <v>15.8</v>
      </c>
    </row>
    <row r="33" ht="15.75" customHeight="1">
      <c r="A33" s="4">
        <v>1998.0</v>
      </c>
      <c r="B33" s="4">
        <v>183.0</v>
      </c>
      <c r="C33" s="10">
        <v>10.8</v>
      </c>
      <c r="D33" s="10">
        <v>22.0</v>
      </c>
      <c r="E33" s="4">
        <f t="shared" si="1"/>
        <v>1</v>
      </c>
      <c r="F33" s="4">
        <f t="shared" si="2"/>
        <v>1</v>
      </c>
      <c r="G33" s="4">
        <f t="shared" si="3"/>
        <v>28.915</v>
      </c>
      <c r="H33" s="4">
        <f t="shared" si="4"/>
        <v>31.1685</v>
      </c>
      <c r="I33" s="4">
        <f t="shared" si="5"/>
        <v>2.2535</v>
      </c>
      <c r="J33" s="10">
        <v>11.7</v>
      </c>
      <c r="K33" s="10">
        <v>16.6</v>
      </c>
      <c r="L33" s="4">
        <f t="shared" si="6"/>
        <v>8</v>
      </c>
      <c r="M33" s="4">
        <f t="shared" si="7"/>
        <v>1</v>
      </c>
      <c r="N33" s="4">
        <f t="shared" si="8"/>
        <v>4.4756</v>
      </c>
      <c r="O33" s="4">
        <f t="shared" si="9"/>
        <v>11.7</v>
      </c>
      <c r="P33" s="4">
        <f t="shared" si="10"/>
        <v>16.6</v>
      </c>
    </row>
    <row r="34" ht="15.75" customHeight="1">
      <c r="A34" s="4">
        <v>1998.0</v>
      </c>
      <c r="B34" s="4">
        <v>184.0</v>
      </c>
      <c r="C34" s="10">
        <v>13.3</v>
      </c>
      <c r="D34" s="10">
        <v>18.4</v>
      </c>
      <c r="E34" s="4">
        <f t="shared" si="1"/>
        <v>1</v>
      </c>
      <c r="F34" s="4">
        <f t="shared" si="2"/>
        <v>1</v>
      </c>
      <c r="G34" s="4">
        <f t="shared" si="3"/>
        <v>26.446</v>
      </c>
      <c r="H34" s="4">
        <f t="shared" si="4"/>
        <v>27.0935</v>
      </c>
      <c r="I34" s="4">
        <f t="shared" si="5"/>
        <v>0.6475</v>
      </c>
      <c r="J34" s="10">
        <v>27.7</v>
      </c>
      <c r="K34" s="10">
        <v>14.8</v>
      </c>
      <c r="L34" s="4">
        <f t="shared" si="6"/>
        <v>8</v>
      </c>
      <c r="M34" s="4">
        <f t="shared" si="7"/>
        <v>1</v>
      </c>
      <c r="N34" s="4">
        <f t="shared" si="8"/>
        <v>14.9891</v>
      </c>
      <c r="O34" s="4">
        <f t="shared" si="9"/>
        <v>27.7</v>
      </c>
      <c r="P34" s="4">
        <f t="shared" si="10"/>
        <v>14.8</v>
      </c>
    </row>
    <row r="35" ht="15.75" customHeight="1">
      <c r="A35" s="4">
        <v>1998.0</v>
      </c>
      <c r="B35" s="4">
        <v>185.0</v>
      </c>
      <c r="C35" s="10">
        <v>1.2</v>
      </c>
      <c r="D35" s="10">
        <v>13.5</v>
      </c>
      <c r="E35" s="4">
        <f t="shared" si="1"/>
        <v>1</v>
      </c>
      <c r="F35" s="4">
        <f t="shared" si="2"/>
        <v>1</v>
      </c>
      <c r="G35" s="4">
        <f t="shared" si="3"/>
        <v>18.445</v>
      </c>
      <c r="H35" s="4">
        <f t="shared" si="4"/>
        <v>21.066</v>
      </c>
      <c r="I35" s="4">
        <f t="shared" si="5"/>
        <v>2.621</v>
      </c>
      <c r="J35" s="10">
        <v>29.5</v>
      </c>
      <c r="K35" s="10">
        <v>12.6</v>
      </c>
      <c r="L35" s="4">
        <f t="shared" si="6"/>
        <v>8</v>
      </c>
      <c r="M35" s="4">
        <f t="shared" si="7"/>
        <v>1</v>
      </c>
      <c r="N35" s="4">
        <f t="shared" si="8"/>
        <v>12.4412</v>
      </c>
      <c r="O35" s="4">
        <f t="shared" si="9"/>
        <v>29.5</v>
      </c>
      <c r="P35" s="4">
        <f t="shared" si="10"/>
        <v>12.6</v>
      </c>
    </row>
    <row r="36" ht="15.75" customHeight="1">
      <c r="A36" s="4">
        <v>1998.0</v>
      </c>
      <c r="B36" s="4">
        <v>186.0</v>
      </c>
      <c r="C36" s="10">
        <v>12.3</v>
      </c>
      <c r="D36" s="10">
        <v>15.6</v>
      </c>
      <c r="E36" s="4">
        <f t="shared" si="1"/>
        <v>1</v>
      </c>
      <c r="F36" s="4">
        <f t="shared" si="2"/>
        <v>1</v>
      </c>
      <c r="G36" s="4">
        <f t="shared" si="3"/>
        <v>25.323</v>
      </c>
      <c r="H36" s="4">
        <f t="shared" si="4"/>
        <v>26.4665</v>
      </c>
      <c r="I36" s="4">
        <f t="shared" si="5"/>
        <v>1.1435</v>
      </c>
      <c r="J36" s="10">
        <v>12.6</v>
      </c>
      <c r="K36" s="10">
        <v>13.4</v>
      </c>
      <c r="L36" s="4">
        <f t="shared" si="6"/>
        <v>8</v>
      </c>
      <c r="M36" s="4">
        <f t="shared" si="7"/>
        <v>1</v>
      </c>
      <c r="N36" s="4">
        <f t="shared" si="8"/>
        <v>5.0693</v>
      </c>
      <c r="O36" s="4">
        <f t="shared" si="9"/>
        <v>12.6</v>
      </c>
      <c r="P36" s="4">
        <f t="shared" si="10"/>
        <v>13.4</v>
      </c>
    </row>
    <row r="37" ht="15.75" customHeight="1">
      <c r="A37" s="4">
        <v>1998.0</v>
      </c>
      <c r="B37" s="4">
        <v>187.0</v>
      </c>
      <c r="C37" s="10">
        <v>11.3</v>
      </c>
      <c r="D37" s="10">
        <v>20.9</v>
      </c>
      <c r="E37" s="4">
        <f t="shared" si="1"/>
        <v>1</v>
      </c>
      <c r="F37" s="4">
        <f t="shared" si="2"/>
        <v>0</v>
      </c>
      <c r="G37" s="4">
        <f t="shared" si="3"/>
        <v>33.791</v>
      </c>
      <c r="H37" s="4">
        <f t="shared" si="4"/>
        <v>32.2725</v>
      </c>
      <c r="I37" s="4" t="str">
        <f t="shared" si="5"/>
        <v> </v>
      </c>
      <c r="J37" s="10">
        <v>0.2</v>
      </c>
      <c r="K37" s="10">
        <v>15.8</v>
      </c>
      <c r="L37" s="4">
        <f t="shared" si="6"/>
        <v>8</v>
      </c>
      <c r="M37" s="4">
        <f t="shared" si="7"/>
        <v>0</v>
      </c>
      <c r="N37" s="4">
        <f t="shared" si="8"/>
        <v>-3.3332</v>
      </c>
      <c r="O37" s="4">
        <f t="shared" si="9"/>
        <v>0.2</v>
      </c>
      <c r="P37" s="4">
        <f t="shared" si="10"/>
        <v>15.8</v>
      </c>
    </row>
    <row r="38" ht="15.75" customHeight="1">
      <c r="A38" s="4">
        <v>1998.0</v>
      </c>
      <c r="B38" s="4">
        <v>188.0</v>
      </c>
      <c r="C38" s="10">
        <v>9.0</v>
      </c>
      <c r="D38" s="10">
        <v>21.9</v>
      </c>
      <c r="E38" s="4">
        <f t="shared" si="1"/>
        <v>0</v>
      </c>
      <c r="F38" s="4">
        <f t="shared" si="2"/>
        <v>0</v>
      </c>
      <c r="G38" s="4">
        <f t="shared" si="3"/>
        <v>29.466</v>
      </c>
      <c r="H38" s="4">
        <f t="shared" si="4"/>
        <v>27.31</v>
      </c>
      <c r="I38" s="4" t="str">
        <f t="shared" si="5"/>
        <v> </v>
      </c>
      <c r="J38" s="11"/>
      <c r="K38" s="10">
        <v>16.8</v>
      </c>
      <c r="L38" s="4">
        <f t="shared" si="6"/>
        <v>3</v>
      </c>
      <c r="M38" s="4">
        <f t="shared" si="7"/>
        <v>0</v>
      </c>
      <c r="N38" s="4">
        <f t="shared" si="8"/>
        <v>-4.1104</v>
      </c>
      <c r="O38" s="12" t="str">
        <f t="shared" si="9"/>
        <v/>
      </c>
      <c r="P38" s="4">
        <f t="shared" si="10"/>
        <v>16.8</v>
      </c>
    </row>
    <row r="39" ht="15.75" customHeight="1">
      <c r="A39" s="4">
        <v>1998.0</v>
      </c>
      <c r="B39" s="4">
        <v>189.0</v>
      </c>
      <c r="C39" s="10">
        <v>11.5</v>
      </c>
      <c r="D39" s="10">
        <v>19.9</v>
      </c>
      <c r="E39" s="4">
        <f t="shared" si="1"/>
        <v>0</v>
      </c>
      <c r="F39" s="4">
        <f t="shared" si="2"/>
        <v>0</v>
      </c>
      <c r="G39" s="4">
        <f t="shared" si="3"/>
        <v>27.304</v>
      </c>
      <c r="H39" s="4">
        <f t="shared" si="4"/>
        <v>26.7635</v>
      </c>
      <c r="I39" s="4" t="str">
        <f t="shared" si="5"/>
        <v> </v>
      </c>
      <c r="J39" s="11"/>
      <c r="K39" s="10">
        <v>16.1</v>
      </c>
      <c r="L39" s="4">
        <f t="shared" si="6"/>
        <v>3</v>
      </c>
      <c r="M39" s="4">
        <f t="shared" si="7"/>
        <v>1</v>
      </c>
      <c r="N39" s="4">
        <f t="shared" si="8"/>
        <v>5.0873</v>
      </c>
      <c r="O39" s="12" t="str">
        <f t="shared" si="9"/>
        <v/>
      </c>
      <c r="P39" s="4">
        <f t="shared" si="10"/>
        <v>16.1</v>
      </c>
    </row>
    <row r="40" ht="15.75" customHeight="1">
      <c r="A40" s="4">
        <v>1998.0</v>
      </c>
      <c r="B40" s="4">
        <v>190.0</v>
      </c>
      <c r="C40" s="10">
        <v>9.3</v>
      </c>
      <c r="D40" s="10">
        <v>21.0</v>
      </c>
      <c r="E40" s="4">
        <f t="shared" si="1"/>
        <v>1</v>
      </c>
      <c r="F40" s="4">
        <f t="shared" si="2"/>
        <v>1</v>
      </c>
      <c r="G40" s="4">
        <f t="shared" si="3"/>
        <v>26.936</v>
      </c>
      <c r="H40" s="4">
        <f t="shared" si="4"/>
        <v>28.8395</v>
      </c>
      <c r="I40" s="4">
        <f t="shared" si="5"/>
        <v>1.9035</v>
      </c>
      <c r="J40" s="10">
        <v>0.3</v>
      </c>
      <c r="K40" s="10">
        <v>17.0</v>
      </c>
      <c r="L40" s="4">
        <f t="shared" si="6"/>
        <v>8</v>
      </c>
      <c r="M40" s="4">
        <f t="shared" si="7"/>
        <v>1</v>
      </c>
      <c r="N40" s="4">
        <f t="shared" si="8"/>
        <v>2.0315</v>
      </c>
      <c r="O40" s="4">
        <f t="shared" si="9"/>
        <v>0.3</v>
      </c>
      <c r="P40" s="4">
        <f t="shared" si="10"/>
        <v>17</v>
      </c>
    </row>
    <row r="41" ht="15.75" customHeight="1">
      <c r="A41" s="4">
        <v>1998.0</v>
      </c>
      <c r="B41" s="4">
        <v>191.0</v>
      </c>
      <c r="C41" s="10">
        <v>17.0</v>
      </c>
      <c r="D41" s="10">
        <v>29.0</v>
      </c>
      <c r="E41" s="4">
        <f t="shared" si="1"/>
        <v>0</v>
      </c>
      <c r="F41" s="4">
        <f t="shared" si="2"/>
        <v>0</v>
      </c>
      <c r="G41" s="4">
        <f t="shared" si="3"/>
        <v>35.17</v>
      </c>
      <c r="H41" s="4">
        <f t="shared" si="4"/>
        <v>34.636</v>
      </c>
      <c r="I41" s="4" t="str">
        <f t="shared" si="5"/>
        <v> </v>
      </c>
      <c r="J41" s="11"/>
      <c r="K41" s="10">
        <v>23.1</v>
      </c>
      <c r="L41" s="4">
        <f t="shared" si="6"/>
        <v>3</v>
      </c>
      <c r="M41" s="4">
        <f t="shared" si="7"/>
        <v>1</v>
      </c>
      <c r="N41" s="4">
        <f t="shared" si="8"/>
        <v>4.5307</v>
      </c>
      <c r="O41" s="12" t="str">
        <f t="shared" si="9"/>
        <v/>
      </c>
      <c r="P41" s="4">
        <f t="shared" si="10"/>
        <v>23.1</v>
      </c>
    </row>
    <row r="42" ht="15.75" customHeight="1">
      <c r="A42" s="4">
        <v>1998.0</v>
      </c>
      <c r="B42" s="4">
        <v>192.0</v>
      </c>
      <c r="C42" s="10">
        <v>17.7</v>
      </c>
      <c r="D42" s="10">
        <v>22.7</v>
      </c>
      <c r="E42" s="4">
        <f t="shared" si="1"/>
        <v>1</v>
      </c>
      <c r="F42" s="4">
        <f t="shared" si="2"/>
        <v>1</v>
      </c>
      <c r="G42" s="4">
        <f t="shared" si="3"/>
        <v>34.628</v>
      </c>
      <c r="H42" s="4">
        <f t="shared" si="4"/>
        <v>36.826</v>
      </c>
      <c r="I42" s="4">
        <f t="shared" si="5"/>
        <v>2.198</v>
      </c>
      <c r="J42" s="10">
        <v>2.0</v>
      </c>
      <c r="K42" s="10">
        <v>20.2</v>
      </c>
      <c r="L42" s="4">
        <f t="shared" si="6"/>
        <v>8</v>
      </c>
      <c r="M42" s="4">
        <f t="shared" si="7"/>
        <v>1</v>
      </c>
      <c r="N42" s="4">
        <f t="shared" si="8"/>
        <v>11.2273</v>
      </c>
      <c r="O42" s="4">
        <f t="shared" si="9"/>
        <v>2</v>
      </c>
      <c r="P42" s="4">
        <f t="shared" si="10"/>
        <v>20.2</v>
      </c>
    </row>
    <row r="43" ht="15.75" customHeight="1">
      <c r="A43" s="4">
        <v>1998.0</v>
      </c>
      <c r="B43" s="4">
        <v>193.0</v>
      </c>
      <c r="C43" s="10">
        <v>12.5</v>
      </c>
      <c r="D43" s="10">
        <v>17.1</v>
      </c>
      <c r="E43" s="4">
        <f t="shared" si="1"/>
        <v>1</v>
      </c>
      <c r="F43" s="4">
        <f t="shared" si="2"/>
        <v>1</v>
      </c>
      <c r="G43" s="4">
        <f t="shared" si="3"/>
        <v>29.454</v>
      </c>
      <c r="H43" s="4">
        <f t="shared" si="4"/>
        <v>32.057</v>
      </c>
      <c r="I43" s="4">
        <f t="shared" si="5"/>
        <v>2.603</v>
      </c>
      <c r="J43" s="10">
        <v>10.8</v>
      </c>
      <c r="K43" s="10">
        <v>15.4</v>
      </c>
      <c r="L43" s="4">
        <f t="shared" si="6"/>
        <v>8</v>
      </c>
      <c r="M43" s="4">
        <f t="shared" si="7"/>
        <v>1</v>
      </c>
      <c r="N43" s="4">
        <f t="shared" si="8"/>
        <v>12.4403</v>
      </c>
      <c r="O43" s="4">
        <f t="shared" si="9"/>
        <v>10.8</v>
      </c>
      <c r="P43" s="4">
        <f t="shared" si="10"/>
        <v>15.4</v>
      </c>
    </row>
    <row r="44" ht="15.75" customHeight="1">
      <c r="A44" s="4">
        <v>1998.0</v>
      </c>
      <c r="B44" s="4">
        <v>194.0</v>
      </c>
      <c r="C44" s="10">
        <v>11.8</v>
      </c>
      <c r="D44" s="10">
        <v>14.9</v>
      </c>
      <c r="E44" s="4">
        <f t="shared" si="1"/>
        <v>1</v>
      </c>
      <c r="F44" s="4">
        <f t="shared" si="2"/>
        <v>1</v>
      </c>
      <c r="G44" s="4">
        <f t="shared" si="3"/>
        <v>33.075</v>
      </c>
      <c r="H44" s="4">
        <f t="shared" si="4"/>
        <v>36.4215</v>
      </c>
      <c r="I44" s="4">
        <f t="shared" si="5"/>
        <v>3.3465</v>
      </c>
      <c r="J44" s="10">
        <v>8.2</v>
      </c>
      <c r="K44" s="10">
        <v>13.1</v>
      </c>
      <c r="L44" s="4">
        <f t="shared" si="6"/>
        <v>8</v>
      </c>
      <c r="M44" s="4">
        <f t="shared" si="7"/>
        <v>1</v>
      </c>
      <c r="N44" s="4">
        <f t="shared" si="8"/>
        <v>14.3695</v>
      </c>
      <c r="O44" s="4">
        <f t="shared" si="9"/>
        <v>8.2</v>
      </c>
      <c r="P44" s="4">
        <f t="shared" si="10"/>
        <v>13.1</v>
      </c>
    </row>
    <row r="45" ht="15.75" customHeight="1">
      <c r="A45" s="4">
        <v>1998.0</v>
      </c>
      <c r="B45" s="4">
        <v>195.0</v>
      </c>
      <c r="C45" s="10">
        <v>12.4</v>
      </c>
      <c r="D45" s="10">
        <v>22.4</v>
      </c>
      <c r="E45" s="4">
        <f t="shared" si="1"/>
        <v>1</v>
      </c>
      <c r="F45" s="4">
        <f t="shared" si="2"/>
        <v>1</v>
      </c>
      <c r="G45" s="4">
        <f t="shared" si="3"/>
        <v>40.511</v>
      </c>
      <c r="H45" s="4">
        <f t="shared" si="4"/>
        <v>42.2995</v>
      </c>
      <c r="I45" s="4">
        <f t="shared" si="5"/>
        <v>1.7885</v>
      </c>
      <c r="J45" s="10">
        <v>0.1</v>
      </c>
      <c r="K45" s="10">
        <v>17.2</v>
      </c>
      <c r="L45" s="4">
        <f t="shared" si="6"/>
        <v>8</v>
      </c>
      <c r="M45" s="4">
        <f t="shared" si="7"/>
        <v>1</v>
      </c>
      <c r="N45" s="4">
        <f t="shared" si="8"/>
        <v>9.8693</v>
      </c>
      <c r="O45" s="4">
        <f t="shared" si="9"/>
        <v>0.1</v>
      </c>
      <c r="P45" s="4">
        <f t="shared" si="10"/>
        <v>17.2</v>
      </c>
    </row>
    <row r="46" ht="15.75" customHeight="1">
      <c r="A46" s="4">
        <v>1998.0</v>
      </c>
      <c r="B46" s="4">
        <v>196.0</v>
      </c>
      <c r="C46" s="10">
        <v>17.6</v>
      </c>
      <c r="D46" s="10">
        <v>24.7</v>
      </c>
      <c r="E46" s="4">
        <f t="shared" si="1"/>
        <v>1</v>
      </c>
      <c r="F46" s="4">
        <f t="shared" si="2"/>
        <v>1</v>
      </c>
      <c r="G46" s="4">
        <f t="shared" si="3"/>
        <v>39.426</v>
      </c>
      <c r="H46" s="4">
        <f t="shared" si="4"/>
        <v>41.244</v>
      </c>
      <c r="I46" s="4">
        <f t="shared" si="5"/>
        <v>1.818</v>
      </c>
      <c r="J46" s="10">
        <v>2.5</v>
      </c>
      <c r="K46" s="10">
        <v>20.4</v>
      </c>
      <c r="L46" s="4">
        <f t="shared" si="6"/>
        <v>8</v>
      </c>
      <c r="M46" s="4">
        <f t="shared" si="7"/>
        <v>1</v>
      </c>
      <c r="N46" s="4">
        <f t="shared" si="8"/>
        <v>10.6343</v>
      </c>
      <c r="O46" s="4">
        <f t="shared" si="9"/>
        <v>2.5</v>
      </c>
      <c r="P46" s="4">
        <f t="shared" si="10"/>
        <v>20.4</v>
      </c>
    </row>
    <row r="47" ht="15.75" customHeight="1">
      <c r="A47" s="4">
        <v>1998.0</v>
      </c>
      <c r="B47" s="4">
        <v>197.0</v>
      </c>
      <c r="C47" s="10">
        <v>14.5</v>
      </c>
      <c r="D47" s="10">
        <v>21.4</v>
      </c>
      <c r="E47" s="4">
        <f t="shared" si="1"/>
        <v>1</v>
      </c>
      <c r="F47" s="4">
        <f t="shared" si="2"/>
        <v>1</v>
      </c>
      <c r="G47" s="4">
        <f t="shared" si="3"/>
        <v>37.393</v>
      </c>
      <c r="H47" s="4">
        <f t="shared" si="4"/>
        <v>39.785</v>
      </c>
      <c r="I47" s="4">
        <f t="shared" si="5"/>
        <v>2.392</v>
      </c>
      <c r="J47" s="10">
        <v>26.4</v>
      </c>
      <c r="K47" s="10">
        <v>17.9</v>
      </c>
      <c r="L47" s="4">
        <f t="shared" si="6"/>
        <v>8</v>
      </c>
      <c r="M47" s="4">
        <f t="shared" si="7"/>
        <v>1</v>
      </c>
      <c r="N47" s="4">
        <f t="shared" si="8"/>
        <v>11.1319</v>
      </c>
      <c r="O47" s="4">
        <f t="shared" si="9"/>
        <v>26.4</v>
      </c>
      <c r="P47" s="4">
        <f t="shared" si="10"/>
        <v>17.9</v>
      </c>
    </row>
    <row r="48" ht="15.75" customHeight="1">
      <c r="A48" s="4">
        <v>1998.0</v>
      </c>
      <c r="B48" s="4">
        <v>198.0</v>
      </c>
      <c r="C48" s="10">
        <v>15.5</v>
      </c>
      <c r="D48" s="10">
        <v>26.0</v>
      </c>
      <c r="E48" s="4">
        <f t="shared" si="1"/>
        <v>1</v>
      </c>
      <c r="F48" s="4">
        <f t="shared" si="2"/>
        <v>0</v>
      </c>
      <c r="G48" s="4">
        <f t="shared" si="3"/>
        <v>40.64</v>
      </c>
      <c r="H48" s="4">
        <f t="shared" si="4"/>
        <v>39.8005</v>
      </c>
      <c r="I48" s="4" t="str">
        <f t="shared" si="5"/>
        <v> </v>
      </c>
      <c r="J48" s="10">
        <v>0.2</v>
      </c>
      <c r="K48" s="10">
        <v>21.0</v>
      </c>
      <c r="L48" s="4">
        <f t="shared" si="6"/>
        <v>8</v>
      </c>
      <c r="M48" s="4">
        <f t="shared" si="7"/>
        <v>1</v>
      </c>
      <c r="N48" s="4">
        <f t="shared" si="8"/>
        <v>9.8243</v>
      </c>
      <c r="O48" s="4">
        <f t="shared" si="9"/>
        <v>0.2</v>
      </c>
      <c r="P48" s="4">
        <f t="shared" si="10"/>
        <v>21</v>
      </c>
    </row>
    <row r="49" ht="15.75" customHeight="1">
      <c r="A49" s="4">
        <v>1998.0</v>
      </c>
      <c r="B49" s="4">
        <v>199.0</v>
      </c>
      <c r="C49" s="10">
        <v>17.0</v>
      </c>
      <c r="D49" s="10">
        <v>26.8</v>
      </c>
      <c r="E49" s="4">
        <f t="shared" si="1"/>
        <v>1</v>
      </c>
      <c r="F49" s="4">
        <f t="shared" si="2"/>
        <v>0</v>
      </c>
      <c r="G49" s="4">
        <f t="shared" si="3"/>
        <v>40.397</v>
      </c>
      <c r="H49" s="4">
        <f t="shared" si="4"/>
        <v>39.555</v>
      </c>
      <c r="I49" s="4" t="str">
        <f t="shared" si="5"/>
        <v> </v>
      </c>
      <c r="J49" s="10">
        <v>4.7</v>
      </c>
      <c r="K49" s="10">
        <v>21.2</v>
      </c>
      <c r="L49" s="4">
        <f t="shared" si="6"/>
        <v>8</v>
      </c>
      <c r="M49" s="4">
        <f t="shared" si="7"/>
        <v>1</v>
      </c>
      <c r="N49" s="4">
        <f t="shared" si="8"/>
        <v>9.5364</v>
      </c>
      <c r="O49" s="4">
        <f t="shared" si="9"/>
        <v>4.7</v>
      </c>
      <c r="P49" s="4">
        <f t="shared" si="10"/>
        <v>21.2</v>
      </c>
    </row>
    <row r="50" ht="15.75" customHeight="1">
      <c r="A50" s="4">
        <v>1998.0</v>
      </c>
      <c r="B50" s="4">
        <v>200.0</v>
      </c>
      <c r="C50" s="10">
        <v>15.8</v>
      </c>
      <c r="D50" s="10">
        <v>19.7</v>
      </c>
      <c r="E50" s="4">
        <f t="shared" si="1"/>
        <v>1</v>
      </c>
      <c r="F50" s="4">
        <f t="shared" si="2"/>
        <v>1</v>
      </c>
      <c r="G50" s="4">
        <f t="shared" si="3"/>
        <v>36.994</v>
      </c>
      <c r="H50" s="4">
        <f t="shared" si="4"/>
        <v>37.5375</v>
      </c>
      <c r="I50" s="4">
        <f t="shared" si="5"/>
        <v>0.5435</v>
      </c>
      <c r="J50" s="10">
        <v>0.8</v>
      </c>
      <c r="K50" s="10">
        <v>17.0</v>
      </c>
      <c r="L50" s="4">
        <f t="shared" si="6"/>
        <v>8</v>
      </c>
      <c r="M50" s="4">
        <f t="shared" si="7"/>
        <v>1</v>
      </c>
      <c r="N50" s="4">
        <f t="shared" si="8"/>
        <v>4.6034</v>
      </c>
      <c r="O50" s="4">
        <f t="shared" si="9"/>
        <v>0.8</v>
      </c>
      <c r="P50" s="4">
        <f t="shared" si="10"/>
        <v>17</v>
      </c>
    </row>
    <row r="51" ht="15.75" customHeight="1">
      <c r="A51" s="4">
        <v>1998.0</v>
      </c>
      <c r="B51" s="4">
        <v>201.0</v>
      </c>
      <c r="C51" s="10">
        <v>13.5</v>
      </c>
      <c r="D51" s="10">
        <v>21.7</v>
      </c>
      <c r="E51" s="4">
        <f t="shared" si="1"/>
        <v>1</v>
      </c>
      <c r="F51" s="4">
        <f t="shared" si="2"/>
        <v>0</v>
      </c>
      <c r="G51" s="4">
        <f t="shared" si="3"/>
        <v>40.953</v>
      </c>
      <c r="H51" s="4">
        <f t="shared" si="4"/>
        <v>39.7855</v>
      </c>
      <c r="I51" s="4" t="str">
        <f t="shared" si="5"/>
        <v> </v>
      </c>
      <c r="J51" s="10">
        <v>0.6</v>
      </c>
      <c r="K51" s="10">
        <v>17.8</v>
      </c>
      <c r="L51" s="4">
        <f t="shared" si="6"/>
        <v>8</v>
      </c>
      <c r="M51" s="4">
        <f t="shared" si="7"/>
        <v>0</v>
      </c>
      <c r="N51" s="4">
        <f t="shared" si="8"/>
        <v>-4.0218</v>
      </c>
      <c r="O51" s="4">
        <f t="shared" si="9"/>
        <v>0.6</v>
      </c>
      <c r="P51" s="4">
        <f t="shared" si="10"/>
        <v>17.8</v>
      </c>
    </row>
    <row r="52" ht="15.75" customHeight="1">
      <c r="A52" s="4">
        <v>1998.0</v>
      </c>
      <c r="B52" s="4">
        <v>202.0</v>
      </c>
      <c r="C52" s="10">
        <v>11.0</v>
      </c>
      <c r="D52" s="10">
        <v>24.6</v>
      </c>
      <c r="E52" s="4">
        <f t="shared" si="1"/>
        <v>0</v>
      </c>
      <c r="F52" s="4">
        <f t="shared" si="2"/>
        <v>0</v>
      </c>
      <c r="G52" s="4">
        <f t="shared" si="3"/>
        <v>40.124</v>
      </c>
      <c r="H52" s="4">
        <f t="shared" si="4"/>
        <v>36.205</v>
      </c>
      <c r="I52" s="4" t="str">
        <f t="shared" si="5"/>
        <v> </v>
      </c>
      <c r="J52" s="11"/>
      <c r="K52" s="10">
        <v>18.8</v>
      </c>
      <c r="L52" s="4">
        <f t="shared" si="6"/>
        <v>3</v>
      </c>
      <c r="M52" s="4">
        <f t="shared" si="7"/>
        <v>0</v>
      </c>
      <c r="N52" s="4">
        <f t="shared" si="8"/>
        <v>-1.9869</v>
      </c>
      <c r="O52" s="12" t="str">
        <f t="shared" si="9"/>
        <v/>
      </c>
      <c r="P52" s="4">
        <f t="shared" si="10"/>
        <v>18.8</v>
      </c>
    </row>
    <row r="53" ht="15.75" customHeight="1">
      <c r="A53" s="4">
        <v>1998.0</v>
      </c>
      <c r="B53" s="4">
        <v>203.0</v>
      </c>
      <c r="C53" s="10">
        <v>13.3</v>
      </c>
      <c r="D53" s="10">
        <v>26.6</v>
      </c>
      <c r="E53" s="4">
        <f t="shared" si="1"/>
        <v>0</v>
      </c>
      <c r="F53" s="4">
        <f t="shared" si="2"/>
        <v>0</v>
      </c>
      <c r="G53" s="4">
        <f t="shared" si="3"/>
        <v>39.673</v>
      </c>
      <c r="H53" s="4">
        <f t="shared" si="4"/>
        <v>36.318</v>
      </c>
      <c r="I53" s="4" t="str">
        <f t="shared" si="5"/>
        <v> </v>
      </c>
      <c r="J53" s="11"/>
      <c r="K53" s="10">
        <v>20.6</v>
      </c>
      <c r="L53" s="4">
        <f t="shared" si="6"/>
        <v>3</v>
      </c>
      <c r="M53" s="4">
        <f t="shared" si="7"/>
        <v>1</v>
      </c>
      <c r="N53" s="4">
        <f t="shared" si="8"/>
        <v>6.568</v>
      </c>
      <c r="O53" s="12" t="str">
        <f t="shared" si="9"/>
        <v/>
      </c>
      <c r="P53" s="4">
        <f t="shared" si="10"/>
        <v>20.6</v>
      </c>
    </row>
    <row r="54" ht="15.75" customHeight="1">
      <c r="A54" s="4">
        <v>1998.0</v>
      </c>
      <c r="B54" s="4">
        <v>204.0</v>
      </c>
      <c r="C54" s="10">
        <v>17.3</v>
      </c>
      <c r="D54" s="10">
        <v>27.2</v>
      </c>
      <c r="E54" s="4">
        <f t="shared" si="1"/>
        <v>1</v>
      </c>
      <c r="F54" s="4">
        <f t="shared" si="2"/>
        <v>0</v>
      </c>
      <c r="G54" s="4">
        <f t="shared" si="3"/>
        <v>39.355</v>
      </c>
      <c r="H54" s="4">
        <f t="shared" si="4"/>
        <v>36.8415</v>
      </c>
      <c r="I54" s="4" t="str">
        <f t="shared" si="5"/>
        <v> </v>
      </c>
      <c r="J54" s="10">
        <v>3.7</v>
      </c>
      <c r="K54" s="10">
        <v>21.6</v>
      </c>
      <c r="L54" s="4">
        <f t="shared" si="6"/>
        <v>8</v>
      </c>
      <c r="M54" s="4">
        <f t="shared" si="7"/>
        <v>1</v>
      </c>
      <c r="N54" s="4">
        <f t="shared" si="8"/>
        <v>4.8469</v>
      </c>
      <c r="O54" s="4">
        <f t="shared" si="9"/>
        <v>3.7</v>
      </c>
      <c r="P54" s="4">
        <f t="shared" si="10"/>
        <v>21.6</v>
      </c>
    </row>
    <row r="55" ht="15.75" customHeight="1">
      <c r="A55" s="4">
        <v>1998.0</v>
      </c>
      <c r="B55" s="4">
        <v>205.0</v>
      </c>
      <c r="C55" s="10">
        <v>18.4</v>
      </c>
      <c r="D55" s="10">
        <v>28.7</v>
      </c>
      <c r="E55" s="4">
        <f t="shared" si="1"/>
        <v>1</v>
      </c>
      <c r="F55" s="4">
        <f t="shared" si="2"/>
        <v>0</v>
      </c>
      <c r="G55" s="4">
        <f t="shared" si="3"/>
        <v>39.144</v>
      </c>
      <c r="H55" s="4">
        <f t="shared" si="4"/>
        <v>34.9035</v>
      </c>
      <c r="I55" s="4" t="str">
        <f t="shared" si="5"/>
        <v> </v>
      </c>
      <c r="J55" s="10">
        <v>0.2</v>
      </c>
      <c r="K55" s="10">
        <v>22.6</v>
      </c>
      <c r="L55" s="4">
        <f t="shared" si="6"/>
        <v>8</v>
      </c>
      <c r="M55" s="4">
        <f t="shared" si="7"/>
        <v>0</v>
      </c>
      <c r="N55" s="4">
        <f t="shared" si="8"/>
        <v>-6.5169</v>
      </c>
      <c r="O55" s="4">
        <f t="shared" si="9"/>
        <v>0.2</v>
      </c>
      <c r="P55" s="4">
        <f t="shared" si="10"/>
        <v>22.6</v>
      </c>
    </row>
    <row r="56" ht="15.75" customHeight="1">
      <c r="A56" s="4">
        <v>1998.0</v>
      </c>
      <c r="B56" s="4">
        <v>206.0</v>
      </c>
      <c r="C56" s="10">
        <v>17.8</v>
      </c>
      <c r="D56" s="10">
        <v>26.6</v>
      </c>
      <c r="E56" s="4">
        <f t="shared" si="1"/>
        <v>0</v>
      </c>
      <c r="F56" s="4">
        <f t="shared" si="2"/>
        <v>0</v>
      </c>
      <c r="G56" s="4">
        <f t="shared" si="3"/>
        <v>35.533</v>
      </c>
      <c r="H56" s="4">
        <f t="shared" si="4"/>
        <v>29.656</v>
      </c>
      <c r="I56" s="4" t="str">
        <f t="shared" si="5"/>
        <v> </v>
      </c>
      <c r="J56" s="11"/>
      <c r="K56" s="10">
        <v>22.2</v>
      </c>
      <c r="L56" s="4">
        <f t="shared" si="6"/>
        <v>3</v>
      </c>
      <c r="M56" s="4">
        <f t="shared" si="7"/>
        <v>0</v>
      </c>
      <c r="N56" s="4">
        <f t="shared" si="8"/>
        <v>-9.9974</v>
      </c>
      <c r="O56" s="12" t="str">
        <f t="shared" si="9"/>
        <v/>
      </c>
      <c r="P56" s="4">
        <f t="shared" si="10"/>
        <v>22.2</v>
      </c>
    </row>
    <row r="57" ht="15.75" customHeight="1">
      <c r="A57" s="4">
        <v>1998.0</v>
      </c>
      <c r="B57" s="4">
        <v>207.0</v>
      </c>
      <c r="C57" s="10">
        <v>13.5</v>
      </c>
      <c r="D57" s="10">
        <v>23.1</v>
      </c>
      <c r="E57" s="4">
        <f t="shared" si="1"/>
        <v>0</v>
      </c>
      <c r="F57" s="4">
        <f t="shared" si="2"/>
        <v>0</v>
      </c>
      <c r="G57" s="4">
        <f t="shared" si="3"/>
        <v>35.076</v>
      </c>
      <c r="H57" s="4">
        <f t="shared" si="4"/>
        <v>32.023</v>
      </c>
      <c r="I57" s="4" t="str">
        <f t="shared" si="5"/>
        <v> </v>
      </c>
      <c r="J57" s="11"/>
      <c r="K57" s="10">
        <v>19.2</v>
      </c>
      <c r="L57" s="4">
        <f t="shared" si="6"/>
        <v>3</v>
      </c>
      <c r="M57" s="4">
        <f t="shared" si="7"/>
        <v>0</v>
      </c>
      <c r="N57" s="4">
        <f t="shared" si="8"/>
        <v>-9.079</v>
      </c>
      <c r="O57" s="12" t="str">
        <f t="shared" si="9"/>
        <v/>
      </c>
      <c r="P57" s="4">
        <f t="shared" si="10"/>
        <v>19.2</v>
      </c>
    </row>
    <row r="58" ht="15.75" customHeight="1">
      <c r="A58" s="4">
        <v>1998.0</v>
      </c>
      <c r="B58" s="4">
        <v>208.0</v>
      </c>
      <c r="C58" s="10">
        <v>10.3</v>
      </c>
      <c r="D58" s="10">
        <v>21.2</v>
      </c>
      <c r="E58" s="4">
        <f t="shared" si="1"/>
        <v>0</v>
      </c>
      <c r="F58" s="4">
        <f t="shared" si="2"/>
        <v>0</v>
      </c>
      <c r="G58" s="4">
        <f t="shared" si="3"/>
        <v>36.5</v>
      </c>
      <c r="H58" s="4">
        <f t="shared" si="4"/>
        <v>31.501</v>
      </c>
      <c r="I58" s="4" t="str">
        <f t="shared" si="5"/>
        <v> </v>
      </c>
      <c r="J58" s="11"/>
      <c r="K58" s="10">
        <v>16.3</v>
      </c>
      <c r="L58" s="4">
        <f t="shared" si="6"/>
        <v>3</v>
      </c>
      <c r="M58" s="4">
        <f t="shared" si="7"/>
        <v>0</v>
      </c>
      <c r="N58" s="4">
        <f t="shared" si="8"/>
        <v>-7.6184</v>
      </c>
      <c r="O58" s="12" t="str">
        <f t="shared" si="9"/>
        <v/>
      </c>
      <c r="P58" s="4">
        <f t="shared" si="10"/>
        <v>16.3</v>
      </c>
    </row>
    <row r="59" ht="15.75" customHeight="1">
      <c r="A59" s="4">
        <v>1998.0</v>
      </c>
      <c r="B59" s="4">
        <v>209.0</v>
      </c>
      <c r="C59" s="10">
        <v>9.8</v>
      </c>
      <c r="D59" s="10">
        <v>24.7</v>
      </c>
      <c r="E59" s="4">
        <f t="shared" si="1"/>
        <v>0</v>
      </c>
      <c r="F59" s="4">
        <f t="shared" si="2"/>
        <v>0</v>
      </c>
      <c r="G59" s="4">
        <f t="shared" si="3"/>
        <v>35.516</v>
      </c>
      <c r="H59" s="4">
        <f t="shared" si="4"/>
        <v>30.4335</v>
      </c>
      <c r="I59" s="4" t="str">
        <f t="shared" si="5"/>
        <v> </v>
      </c>
      <c r="J59" s="11"/>
      <c r="K59" s="10">
        <v>17.8</v>
      </c>
      <c r="L59" s="4">
        <f t="shared" si="6"/>
        <v>3</v>
      </c>
      <c r="M59" s="4">
        <f t="shared" si="7"/>
        <v>0</v>
      </c>
      <c r="N59" s="4">
        <f t="shared" si="8"/>
        <v>-0.8846</v>
      </c>
      <c r="O59" s="12" t="str">
        <f t="shared" si="9"/>
        <v/>
      </c>
      <c r="P59" s="4">
        <f t="shared" si="10"/>
        <v>17.8</v>
      </c>
    </row>
    <row r="60" ht="15.75" customHeight="1">
      <c r="A60" s="4">
        <v>1998.0</v>
      </c>
      <c r="B60" s="4">
        <v>210.0</v>
      </c>
      <c r="C60" s="10">
        <v>12.8</v>
      </c>
      <c r="D60" s="10">
        <v>26.7</v>
      </c>
      <c r="E60" s="4">
        <f t="shared" si="1"/>
        <v>0</v>
      </c>
      <c r="F60" s="4">
        <f t="shared" si="2"/>
        <v>0</v>
      </c>
      <c r="G60" s="4">
        <f t="shared" si="3"/>
        <v>36.691</v>
      </c>
      <c r="H60" s="4">
        <f t="shared" si="4"/>
        <v>32.9875</v>
      </c>
      <c r="I60" s="4" t="str">
        <f t="shared" si="5"/>
        <v> </v>
      </c>
      <c r="J60" s="11"/>
      <c r="K60" s="10">
        <v>21.1</v>
      </c>
      <c r="L60" s="4">
        <f t="shared" si="6"/>
        <v>3</v>
      </c>
      <c r="M60" s="4">
        <f t="shared" si="7"/>
        <v>1</v>
      </c>
      <c r="N60" s="4">
        <f t="shared" si="8"/>
        <v>1.8249</v>
      </c>
      <c r="O60" s="12" t="str">
        <f t="shared" si="9"/>
        <v/>
      </c>
      <c r="P60" s="4">
        <f t="shared" si="10"/>
        <v>21.1</v>
      </c>
    </row>
    <row r="61" ht="15.75" customHeight="1">
      <c r="A61" s="4">
        <v>1998.0</v>
      </c>
      <c r="B61" s="4">
        <v>211.0</v>
      </c>
      <c r="C61" s="10">
        <v>19.2</v>
      </c>
      <c r="D61" s="10">
        <v>28.3</v>
      </c>
      <c r="E61" s="4">
        <f t="shared" si="1"/>
        <v>1</v>
      </c>
      <c r="F61" s="4">
        <f t="shared" si="2"/>
        <v>0</v>
      </c>
      <c r="G61" s="4">
        <f t="shared" si="3"/>
        <v>40.981</v>
      </c>
      <c r="H61" s="4">
        <f t="shared" si="4"/>
        <v>36.372</v>
      </c>
      <c r="I61" s="4" t="str">
        <f t="shared" si="5"/>
        <v> </v>
      </c>
      <c r="J61" s="10">
        <v>0.4</v>
      </c>
      <c r="K61" s="10">
        <v>23.8</v>
      </c>
      <c r="L61" s="4">
        <f t="shared" si="6"/>
        <v>8</v>
      </c>
      <c r="M61" s="4">
        <f t="shared" si="7"/>
        <v>0</v>
      </c>
      <c r="N61" s="4">
        <f t="shared" si="8"/>
        <v>-8.0514</v>
      </c>
      <c r="O61" s="4">
        <f t="shared" si="9"/>
        <v>0.4</v>
      </c>
      <c r="P61" s="4">
        <f t="shared" si="10"/>
        <v>23.8</v>
      </c>
    </row>
    <row r="62" ht="15.75" customHeight="1">
      <c r="A62" s="4">
        <v>1998.0</v>
      </c>
      <c r="B62" s="4">
        <v>212.0</v>
      </c>
      <c r="C62" s="10">
        <v>18.9</v>
      </c>
      <c r="D62" s="10">
        <v>28.2</v>
      </c>
      <c r="E62" s="4">
        <f t="shared" si="1"/>
        <v>0</v>
      </c>
      <c r="F62" s="4">
        <f t="shared" si="2"/>
        <v>0</v>
      </c>
      <c r="G62" s="4">
        <f t="shared" si="3"/>
        <v>37.496</v>
      </c>
      <c r="H62" s="4">
        <f t="shared" si="4"/>
        <v>32.027</v>
      </c>
      <c r="I62" s="4" t="str">
        <f t="shared" si="5"/>
        <v> </v>
      </c>
      <c r="J62" s="11"/>
      <c r="K62" s="10">
        <v>23.3</v>
      </c>
      <c r="L62" s="4">
        <f t="shared" si="6"/>
        <v>3</v>
      </c>
      <c r="M62" s="4">
        <f t="shared" si="7"/>
        <v>0</v>
      </c>
      <c r="N62" s="4">
        <f t="shared" si="8"/>
        <v>-9.5</v>
      </c>
      <c r="O62" s="12" t="str">
        <f t="shared" si="9"/>
        <v/>
      </c>
      <c r="P62" s="4">
        <f t="shared" si="10"/>
        <v>23.3</v>
      </c>
    </row>
    <row r="63" ht="15.75" customHeight="1">
      <c r="A63" s="4">
        <v>1998.0</v>
      </c>
      <c r="B63" s="4">
        <v>213.0</v>
      </c>
      <c r="C63" s="10">
        <v>11.7</v>
      </c>
      <c r="D63" s="10">
        <v>23.1</v>
      </c>
      <c r="E63" s="4">
        <f t="shared" si="1"/>
        <v>0</v>
      </c>
      <c r="F63" s="4">
        <f t="shared" si="2"/>
        <v>0</v>
      </c>
      <c r="G63" s="4">
        <f t="shared" si="3"/>
        <v>29.712</v>
      </c>
      <c r="H63" s="4">
        <f t="shared" si="4"/>
        <v>25.8505</v>
      </c>
      <c r="I63" s="4" t="str">
        <f t="shared" si="5"/>
        <v> </v>
      </c>
      <c r="J63" s="11"/>
      <c r="K63" s="10">
        <v>17.6</v>
      </c>
      <c r="L63" s="4">
        <f t="shared" si="6"/>
        <v>3</v>
      </c>
      <c r="M63" s="4">
        <f t="shared" si="7"/>
        <v>0</v>
      </c>
      <c r="N63" s="4">
        <f t="shared" si="8"/>
        <v>-9.3121</v>
      </c>
      <c r="O63" s="12" t="str">
        <f t="shared" si="9"/>
        <v/>
      </c>
      <c r="P63" s="4">
        <f t="shared" si="10"/>
        <v>17.6</v>
      </c>
    </row>
    <row r="64" ht="15.75" customHeight="1">
      <c r="A64" s="4">
        <v>1998.0</v>
      </c>
      <c r="B64" s="4">
        <v>214.0</v>
      </c>
      <c r="C64" s="10">
        <v>11.6</v>
      </c>
      <c r="D64" s="10">
        <v>23.6</v>
      </c>
      <c r="E64" s="4">
        <f t="shared" si="1"/>
        <v>0</v>
      </c>
      <c r="F64" s="4">
        <f t="shared" si="2"/>
        <v>0</v>
      </c>
      <c r="G64" s="4">
        <f t="shared" si="3"/>
        <v>30.091</v>
      </c>
      <c r="H64" s="4">
        <f t="shared" si="4"/>
        <v>27.438</v>
      </c>
      <c r="I64" s="4" t="str">
        <f t="shared" si="5"/>
        <v> </v>
      </c>
      <c r="J64" s="11"/>
      <c r="K64" s="10">
        <v>17.8</v>
      </c>
      <c r="L64" s="4">
        <f t="shared" si="6"/>
        <v>3</v>
      </c>
      <c r="M64" s="4">
        <f t="shared" si="7"/>
        <v>0</v>
      </c>
      <c r="N64" s="4">
        <f t="shared" si="8"/>
        <v>-5.6629</v>
      </c>
      <c r="O64" s="12" t="str">
        <f t="shared" si="9"/>
        <v/>
      </c>
      <c r="P64" s="4">
        <f t="shared" si="10"/>
        <v>17.8</v>
      </c>
    </row>
    <row r="65" ht="15.75" customHeight="1">
      <c r="A65" s="4">
        <v>1998.0</v>
      </c>
      <c r="B65" s="4">
        <v>215.0</v>
      </c>
      <c r="C65" s="10">
        <v>10.6</v>
      </c>
      <c r="D65" s="10">
        <v>25.1</v>
      </c>
      <c r="E65" s="4">
        <f t="shared" si="1"/>
        <v>0</v>
      </c>
      <c r="F65" s="4">
        <f t="shared" si="2"/>
        <v>0</v>
      </c>
      <c r="G65" s="4">
        <f t="shared" si="3"/>
        <v>31.579</v>
      </c>
      <c r="H65" s="4">
        <f t="shared" si="4"/>
        <v>28.111</v>
      </c>
      <c r="I65" s="4" t="str">
        <f t="shared" si="5"/>
        <v> </v>
      </c>
      <c r="J65" s="11"/>
      <c r="K65" s="10">
        <v>18.9</v>
      </c>
      <c r="L65" s="4">
        <f t="shared" si="6"/>
        <v>3</v>
      </c>
      <c r="M65" s="4">
        <f t="shared" si="7"/>
        <v>0</v>
      </c>
      <c r="N65" s="4">
        <f t="shared" si="8"/>
        <v>-4.2231</v>
      </c>
      <c r="O65" s="12" t="str">
        <f t="shared" si="9"/>
        <v/>
      </c>
      <c r="P65" s="4">
        <f t="shared" si="10"/>
        <v>18.9</v>
      </c>
    </row>
    <row r="66" ht="15.75" customHeight="1">
      <c r="A66" s="4">
        <v>1998.0</v>
      </c>
      <c r="B66" s="4">
        <v>216.0</v>
      </c>
      <c r="C66" s="10">
        <v>16.9</v>
      </c>
      <c r="D66" s="10">
        <v>25.8</v>
      </c>
      <c r="E66" s="4">
        <f t="shared" si="1"/>
        <v>0</v>
      </c>
      <c r="F66" s="4">
        <f t="shared" si="2"/>
        <v>0</v>
      </c>
      <c r="G66" s="4">
        <f t="shared" si="3"/>
        <v>35.649</v>
      </c>
      <c r="H66" s="4">
        <f t="shared" si="4"/>
        <v>33.034</v>
      </c>
      <c r="I66" s="4" t="str">
        <f t="shared" si="5"/>
        <v> </v>
      </c>
      <c r="J66" s="11"/>
      <c r="K66" s="10">
        <v>21.0</v>
      </c>
      <c r="L66" s="4">
        <f t="shared" si="6"/>
        <v>3</v>
      </c>
      <c r="M66" s="4">
        <f t="shared" si="7"/>
        <v>1</v>
      </c>
      <c r="N66" s="4">
        <f t="shared" si="8"/>
        <v>4.5089</v>
      </c>
      <c r="O66" s="12" t="str">
        <f t="shared" si="9"/>
        <v/>
      </c>
      <c r="P66" s="4">
        <f t="shared" si="10"/>
        <v>21</v>
      </c>
    </row>
    <row r="67" ht="15.75" customHeight="1">
      <c r="A67" s="4">
        <v>1998.0</v>
      </c>
      <c r="B67" s="4">
        <v>217.0</v>
      </c>
      <c r="C67" s="10">
        <v>13.4</v>
      </c>
      <c r="D67" s="10">
        <v>20.6</v>
      </c>
      <c r="E67" s="4">
        <f t="shared" si="1"/>
        <v>1</v>
      </c>
      <c r="F67" s="4">
        <f t="shared" si="2"/>
        <v>1</v>
      </c>
      <c r="G67" s="4">
        <f t="shared" si="3"/>
        <v>27.902</v>
      </c>
      <c r="H67" s="4">
        <f t="shared" si="4"/>
        <v>28.8495</v>
      </c>
      <c r="I67" s="4">
        <f t="shared" si="5"/>
        <v>0.9475</v>
      </c>
      <c r="J67" s="10">
        <v>4.2</v>
      </c>
      <c r="K67" s="10">
        <v>17.4</v>
      </c>
      <c r="L67" s="4">
        <f t="shared" si="6"/>
        <v>8</v>
      </c>
      <c r="M67" s="4">
        <f t="shared" si="7"/>
        <v>1</v>
      </c>
      <c r="N67" s="4">
        <f t="shared" si="8"/>
        <v>3.3552</v>
      </c>
      <c r="O67" s="4">
        <f t="shared" si="9"/>
        <v>4.2</v>
      </c>
      <c r="P67" s="4">
        <f t="shared" si="10"/>
        <v>17.4</v>
      </c>
    </row>
    <row r="68" ht="15.75" customHeight="1">
      <c r="A68" s="4">
        <v>1998.0</v>
      </c>
      <c r="B68" s="4">
        <v>218.0</v>
      </c>
      <c r="C68" s="10">
        <v>10.2</v>
      </c>
      <c r="D68" s="10">
        <v>20.5</v>
      </c>
      <c r="E68" s="4">
        <f t="shared" si="1"/>
        <v>1</v>
      </c>
      <c r="F68" s="4">
        <f t="shared" si="2"/>
        <v>1</v>
      </c>
      <c r="G68" s="4">
        <f t="shared" si="3"/>
        <v>26.882</v>
      </c>
      <c r="H68" s="4">
        <f t="shared" si="4"/>
        <v>27.648</v>
      </c>
      <c r="I68" s="4">
        <f t="shared" si="5"/>
        <v>0.766</v>
      </c>
      <c r="J68" s="10">
        <v>14.4</v>
      </c>
      <c r="K68" s="10">
        <v>15.0</v>
      </c>
      <c r="L68" s="4">
        <f t="shared" si="6"/>
        <v>8</v>
      </c>
      <c r="M68" s="4">
        <f t="shared" si="7"/>
        <v>0</v>
      </c>
      <c r="N68" s="4">
        <f t="shared" si="8"/>
        <v>-5.2355</v>
      </c>
      <c r="O68" s="4">
        <f t="shared" si="9"/>
        <v>14.4</v>
      </c>
      <c r="P68" s="4">
        <f t="shared" si="10"/>
        <v>15</v>
      </c>
    </row>
    <row r="69" ht="15.75" customHeight="1">
      <c r="A69" s="4">
        <v>1998.0</v>
      </c>
      <c r="B69" s="4">
        <v>219.0</v>
      </c>
      <c r="C69" s="10">
        <v>7.6</v>
      </c>
      <c r="D69" s="10">
        <v>22.1</v>
      </c>
      <c r="E69" s="4">
        <f t="shared" si="1"/>
        <v>0</v>
      </c>
      <c r="F69" s="4">
        <f t="shared" si="2"/>
        <v>1</v>
      </c>
      <c r="G69" s="4">
        <f t="shared" si="3"/>
        <v>21.702</v>
      </c>
      <c r="H69" s="4">
        <f t="shared" si="4"/>
        <v>21.935</v>
      </c>
      <c r="I69" s="4">
        <f t="shared" si="5"/>
        <v>0.233</v>
      </c>
      <c r="J69" s="11"/>
      <c r="K69" s="10">
        <v>15.2</v>
      </c>
      <c r="L69" s="4">
        <f t="shared" si="6"/>
        <v>3</v>
      </c>
      <c r="M69" s="4">
        <f t="shared" si="7"/>
        <v>0</v>
      </c>
      <c r="N69" s="4">
        <f t="shared" si="8"/>
        <v>-4.7773</v>
      </c>
      <c r="O69" s="12" t="str">
        <f t="shared" si="9"/>
        <v/>
      </c>
      <c r="P69" s="4">
        <f t="shared" si="10"/>
        <v>15.2</v>
      </c>
    </row>
    <row r="70" ht="15.75" customHeight="1">
      <c r="A70" s="4">
        <v>1998.0</v>
      </c>
      <c r="B70" s="4">
        <v>220.0</v>
      </c>
      <c r="C70" s="10">
        <v>9.1</v>
      </c>
      <c r="D70" s="10">
        <v>25.6</v>
      </c>
      <c r="E70" s="4">
        <f t="shared" si="1"/>
        <v>0</v>
      </c>
      <c r="F70" s="4">
        <f t="shared" si="2"/>
        <v>1</v>
      </c>
      <c r="G70" s="4">
        <f t="shared" si="3"/>
        <v>23.871</v>
      </c>
      <c r="H70" s="4">
        <f t="shared" si="4"/>
        <v>24.549</v>
      </c>
      <c r="I70" s="4">
        <f t="shared" si="5"/>
        <v>0.678</v>
      </c>
      <c r="J70" s="11"/>
      <c r="K70" s="10">
        <v>16.4</v>
      </c>
      <c r="L70" s="4">
        <f t="shared" si="6"/>
        <v>3</v>
      </c>
      <c r="M70" s="4">
        <f t="shared" si="7"/>
        <v>1</v>
      </c>
      <c r="N70" s="4">
        <f t="shared" si="8"/>
        <v>4.5286</v>
      </c>
      <c r="O70" s="12" t="str">
        <f t="shared" si="9"/>
        <v/>
      </c>
      <c r="P70" s="4">
        <f t="shared" si="10"/>
        <v>16.4</v>
      </c>
    </row>
    <row r="71" ht="15.75" customHeight="1">
      <c r="A71" s="4">
        <v>1998.0</v>
      </c>
      <c r="B71" s="4">
        <v>221.0</v>
      </c>
      <c r="C71" s="10">
        <v>8.6</v>
      </c>
      <c r="D71" s="10">
        <v>16.8</v>
      </c>
      <c r="E71" s="4">
        <f t="shared" si="1"/>
        <v>1</v>
      </c>
      <c r="F71" s="4">
        <f t="shared" si="2"/>
        <v>1</v>
      </c>
      <c r="G71" s="4">
        <f t="shared" si="3"/>
        <v>18.241</v>
      </c>
      <c r="H71" s="4">
        <f t="shared" si="4"/>
        <v>20.6945</v>
      </c>
      <c r="I71" s="4">
        <f t="shared" si="5"/>
        <v>2.4535</v>
      </c>
      <c r="J71" s="10">
        <v>2.2</v>
      </c>
      <c r="K71" s="10">
        <v>12.7</v>
      </c>
      <c r="L71" s="4">
        <f t="shared" si="6"/>
        <v>8</v>
      </c>
      <c r="M71" s="4">
        <f t="shared" si="7"/>
        <v>1</v>
      </c>
      <c r="N71" s="4">
        <f t="shared" si="8"/>
        <v>12.3784</v>
      </c>
      <c r="O71" s="4">
        <f t="shared" si="9"/>
        <v>2.2</v>
      </c>
      <c r="P71" s="4">
        <f t="shared" si="10"/>
        <v>12.7</v>
      </c>
    </row>
    <row r="72" ht="15.75" customHeight="1">
      <c r="A72" s="4">
        <v>1998.0</v>
      </c>
      <c r="B72" s="4">
        <v>222.0</v>
      </c>
      <c r="C72" s="10">
        <v>7.2</v>
      </c>
      <c r="D72" s="10">
        <v>17.6</v>
      </c>
      <c r="E72" s="4">
        <f t="shared" si="1"/>
        <v>1</v>
      </c>
      <c r="F72" s="4">
        <f t="shared" si="2"/>
        <v>1</v>
      </c>
      <c r="G72" s="4">
        <f t="shared" si="3"/>
        <v>16.68</v>
      </c>
      <c r="H72" s="4">
        <f t="shared" si="4"/>
        <v>20.078</v>
      </c>
      <c r="I72" s="4">
        <f t="shared" si="5"/>
        <v>3.398</v>
      </c>
      <c r="J72" s="10">
        <v>0.7</v>
      </c>
      <c r="K72" s="10">
        <v>13.1</v>
      </c>
      <c r="L72" s="4">
        <f t="shared" si="6"/>
        <v>8</v>
      </c>
      <c r="M72" s="4">
        <f t="shared" si="7"/>
        <v>1</v>
      </c>
      <c r="N72" s="4">
        <f t="shared" si="8"/>
        <v>10.0219</v>
      </c>
      <c r="O72" s="4">
        <f t="shared" si="9"/>
        <v>0.7</v>
      </c>
      <c r="P72" s="4">
        <f t="shared" si="10"/>
        <v>13.1</v>
      </c>
    </row>
    <row r="73" ht="15.75" customHeight="1">
      <c r="A73" s="4">
        <v>1998.0</v>
      </c>
      <c r="B73" s="4">
        <v>223.0</v>
      </c>
      <c r="C73" s="10">
        <v>10.2</v>
      </c>
      <c r="D73" s="10">
        <v>14.0</v>
      </c>
      <c r="E73" s="4">
        <f t="shared" si="1"/>
        <v>1</v>
      </c>
      <c r="F73" s="4">
        <f t="shared" si="2"/>
        <v>1</v>
      </c>
      <c r="G73" s="4">
        <f t="shared" si="3"/>
        <v>15.216</v>
      </c>
      <c r="H73" s="4">
        <f t="shared" si="4"/>
        <v>17.207</v>
      </c>
      <c r="I73" s="4">
        <f t="shared" si="5"/>
        <v>1.991</v>
      </c>
      <c r="J73" s="10">
        <v>5.2</v>
      </c>
      <c r="K73" s="10">
        <v>11.9</v>
      </c>
      <c r="L73" s="4">
        <f t="shared" si="6"/>
        <v>8</v>
      </c>
      <c r="M73" s="4">
        <f t="shared" si="7"/>
        <v>1</v>
      </c>
      <c r="N73" s="4">
        <f t="shared" si="8"/>
        <v>7.2707</v>
      </c>
      <c r="O73" s="4">
        <f t="shared" si="9"/>
        <v>5.2</v>
      </c>
      <c r="P73" s="4">
        <f t="shared" si="10"/>
        <v>11.9</v>
      </c>
    </row>
    <row r="74" ht="15.75" customHeight="1">
      <c r="A74" s="4">
        <v>1998.0</v>
      </c>
      <c r="B74" s="4">
        <v>224.0</v>
      </c>
      <c r="C74" s="10">
        <v>6.7</v>
      </c>
      <c r="D74" s="10">
        <v>15.3</v>
      </c>
      <c r="E74" s="4">
        <f t="shared" si="1"/>
        <v>1</v>
      </c>
      <c r="F74" s="4">
        <f t="shared" si="2"/>
        <v>0</v>
      </c>
      <c r="G74" s="4">
        <f t="shared" si="3"/>
        <v>16.995</v>
      </c>
      <c r="H74" s="4">
        <f t="shared" si="4"/>
        <v>16.289</v>
      </c>
      <c r="I74" s="4" t="str">
        <f t="shared" si="5"/>
        <v> </v>
      </c>
      <c r="J74" s="10">
        <v>4.0</v>
      </c>
      <c r="K74" s="10">
        <v>11.3</v>
      </c>
      <c r="L74" s="4">
        <f t="shared" si="6"/>
        <v>8</v>
      </c>
      <c r="M74" s="4">
        <f t="shared" si="7"/>
        <v>1</v>
      </c>
      <c r="N74" s="4">
        <f t="shared" si="8"/>
        <v>1.5412</v>
      </c>
      <c r="O74" s="4">
        <f t="shared" si="9"/>
        <v>4</v>
      </c>
      <c r="P74" s="4">
        <f t="shared" si="10"/>
        <v>11.3</v>
      </c>
    </row>
    <row r="75" ht="15.75" customHeight="1">
      <c r="A75" s="4">
        <v>1998.0</v>
      </c>
      <c r="B75" s="4">
        <v>225.0</v>
      </c>
      <c r="C75" s="10">
        <v>7.8</v>
      </c>
      <c r="D75" s="10">
        <v>15.5</v>
      </c>
      <c r="E75" s="4">
        <f t="shared" si="1"/>
        <v>0</v>
      </c>
      <c r="F75" s="4">
        <f t="shared" si="2"/>
        <v>0</v>
      </c>
      <c r="G75" s="4">
        <f t="shared" si="3"/>
        <v>16.635</v>
      </c>
      <c r="H75" s="4">
        <f t="shared" si="4"/>
        <v>14.473</v>
      </c>
      <c r="I75" s="4" t="str">
        <f t="shared" si="5"/>
        <v> </v>
      </c>
      <c r="J75" s="11"/>
      <c r="K75" s="10">
        <v>10.7</v>
      </c>
      <c r="L75" s="4">
        <f t="shared" si="6"/>
        <v>3</v>
      </c>
      <c r="M75" s="4">
        <f t="shared" si="7"/>
        <v>1</v>
      </c>
      <c r="N75" s="4">
        <f t="shared" si="8"/>
        <v>5.8737</v>
      </c>
      <c r="O75" s="12" t="str">
        <f t="shared" si="9"/>
        <v/>
      </c>
      <c r="P75" s="4">
        <f t="shared" si="10"/>
        <v>10.7</v>
      </c>
    </row>
    <row r="76" ht="15.75" customHeight="1">
      <c r="A76" s="4">
        <v>1998.0</v>
      </c>
      <c r="B76" s="4">
        <v>226.0</v>
      </c>
      <c r="C76" s="10">
        <v>7.0</v>
      </c>
      <c r="D76" s="10">
        <v>15.5</v>
      </c>
      <c r="E76" s="4">
        <f t="shared" si="1"/>
        <v>1</v>
      </c>
      <c r="F76" s="4">
        <f t="shared" si="2"/>
        <v>0</v>
      </c>
      <c r="G76" s="4">
        <f t="shared" si="3"/>
        <v>21.189</v>
      </c>
      <c r="H76" s="4">
        <f t="shared" si="4"/>
        <v>20.0765</v>
      </c>
      <c r="I76" s="4" t="str">
        <f t="shared" si="5"/>
        <v> </v>
      </c>
      <c r="J76" s="10">
        <v>1.2</v>
      </c>
      <c r="K76" s="10">
        <v>10.7</v>
      </c>
      <c r="L76" s="4">
        <f t="shared" si="6"/>
        <v>8</v>
      </c>
      <c r="M76" s="4">
        <f t="shared" si="7"/>
        <v>0</v>
      </c>
      <c r="N76" s="4">
        <f t="shared" si="8"/>
        <v>-3.3014</v>
      </c>
      <c r="O76" s="4">
        <f t="shared" si="9"/>
        <v>1.2</v>
      </c>
      <c r="P76" s="4">
        <f t="shared" si="10"/>
        <v>10.7</v>
      </c>
    </row>
    <row r="77" ht="15.75" customHeight="1">
      <c r="A77" s="4">
        <v>1998.0</v>
      </c>
      <c r="B77" s="4">
        <v>227.0</v>
      </c>
      <c r="C77" s="10">
        <v>12.0</v>
      </c>
      <c r="D77" s="10">
        <v>16.0</v>
      </c>
      <c r="E77" s="4">
        <f t="shared" si="1"/>
        <v>0</v>
      </c>
      <c r="F77" s="4">
        <f t="shared" si="2"/>
        <v>0</v>
      </c>
      <c r="G77" s="4">
        <f t="shared" si="3"/>
        <v>25.722</v>
      </c>
      <c r="H77" s="4">
        <f t="shared" si="4"/>
        <v>20.996</v>
      </c>
      <c r="I77" s="4" t="str">
        <f t="shared" si="5"/>
        <v> </v>
      </c>
      <c r="J77" s="11"/>
      <c r="K77" s="10">
        <v>13.5</v>
      </c>
      <c r="L77" s="4">
        <f t="shared" si="6"/>
        <v>3</v>
      </c>
      <c r="M77" s="4">
        <f t="shared" si="7"/>
        <v>0</v>
      </c>
      <c r="N77" s="4">
        <f t="shared" si="8"/>
        <v>-6.893</v>
      </c>
      <c r="O77" s="12" t="str">
        <f t="shared" si="9"/>
        <v/>
      </c>
      <c r="P77" s="4">
        <f t="shared" si="10"/>
        <v>13.5</v>
      </c>
    </row>
    <row r="78" ht="15.75" customHeight="1">
      <c r="A78" s="4">
        <v>1998.0</v>
      </c>
      <c r="B78" s="4">
        <v>228.0</v>
      </c>
      <c r="C78" s="10">
        <v>8.8</v>
      </c>
      <c r="D78" s="10">
        <v>20.2</v>
      </c>
      <c r="E78" s="4">
        <f t="shared" si="1"/>
        <v>0</v>
      </c>
      <c r="F78" s="4">
        <f t="shared" si="2"/>
        <v>0</v>
      </c>
      <c r="G78" s="4">
        <f t="shared" si="3"/>
        <v>27.458</v>
      </c>
      <c r="H78" s="4">
        <f t="shared" si="4"/>
        <v>22.2835</v>
      </c>
      <c r="I78" s="4" t="str">
        <f t="shared" si="5"/>
        <v> </v>
      </c>
      <c r="J78" s="11"/>
      <c r="K78" s="10">
        <v>14.7</v>
      </c>
      <c r="L78" s="4">
        <f t="shared" si="6"/>
        <v>3</v>
      </c>
      <c r="M78" s="4">
        <f t="shared" si="7"/>
        <v>0</v>
      </c>
      <c r="N78" s="4">
        <f t="shared" si="8"/>
        <v>-5.614</v>
      </c>
      <c r="O78" s="12" t="str">
        <f t="shared" si="9"/>
        <v/>
      </c>
      <c r="P78" s="4">
        <f t="shared" si="10"/>
        <v>14.7</v>
      </c>
    </row>
    <row r="79" ht="15.75" customHeight="1">
      <c r="A79" s="4">
        <v>1998.0</v>
      </c>
      <c r="B79" s="4">
        <v>229.0</v>
      </c>
      <c r="C79" s="10">
        <v>9.7</v>
      </c>
      <c r="D79" s="10">
        <v>22.4</v>
      </c>
      <c r="E79" s="4">
        <f t="shared" si="1"/>
        <v>0</v>
      </c>
      <c r="F79" s="4">
        <f t="shared" si="2"/>
        <v>0</v>
      </c>
      <c r="G79" s="4">
        <f t="shared" si="3"/>
        <v>26.049</v>
      </c>
      <c r="H79" s="4">
        <f t="shared" si="4"/>
        <v>21.261</v>
      </c>
      <c r="I79" s="4" t="str">
        <f t="shared" si="5"/>
        <v> </v>
      </c>
      <c r="J79" s="11"/>
      <c r="K79" s="10">
        <v>16.3</v>
      </c>
      <c r="L79" s="4">
        <f t="shared" si="6"/>
        <v>3</v>
      </c>
      <c r="M79" s="4">
        <f t="shared" si="7"/>
        <v>0</v>
      </c>
      <c r="N79" s="4">
        <f t="shared" si="8"/>
        <v>-7.4581</v>
      </c>
      <c r="O79" s="12" t="str">
        <f t="shared" si="9"/>
        <v/>
      </c>
      <c r="P79" s="4">
        <f t="shared" si="10"/>
        <v>16.3</v>
      </c>
    </row>
    <row r="80" ht="15.75" customHeight="1">
      <c r="A80" s="4">
        <v>1998.0</v>
      </c>
      <c r="B80" s="4">
        <v>230.0</v>
      </c>
      <c r="C80" s="10">
        <v>14.4</v>
      </c>
      <c r="D80" s="10">
        <v>23.9</v>
      </c>
      <c r="E80" s="4">
        <f t="shared" si="1"/>
        <v>0</v>
      </c>
      <c r="F80" s="4">
        <f t="shared" si="2"/>
        <v>0</v>
      </c>
      <c r="G80" s="4">
        <f t="shared" si="3"/>
        <v>27.721</v>
      </c>
      <c r="H80" s="4">
        <f t="shared" si="4"/>
        <v>22.724</v>
      </c>
      <c r="I80" s="4" t="str">
        <f t="shared" si="5"/>
        <v> </v>
      </c>
      <c r="J80" s="11"/>
      <c r="K80" s="10">
        <v>18.4</v>
      </c>
      <c r="L80" s="4">
        <f t="shared" si="6"/>
        <v>3</v>
      </c>
      <c r="M80" s="4">
        <f t="shared" si="7"/>
        <v>0</v>
      </c>
      <c r="N80" s="4">
        <f t="shared" si="8"/>
        <v>-9.3437</v>
      </c>
      <c r="O80" s="12" t="str">
        <f t="shared" si="9"/>
        <v/>
      </c>
      <c r="P80" s="4">
        <f t="shared" si="10"/>
        <v>18.4</v>
      </c>
    </row>
    <row r="81" ht="15.75" customHeight="1">
      <c r="A81" s="4">
        <v>1998.0</v>
      </c>
      <c r="B81" s="4">
        <v>231.0</v>
      </c>
      <c r="C81" s="10">
        <v>14.5</v>
      </c>
      <c r="D81" s="10">
        <v>26.8</v>
      </c>
      <c r="E81" s="4">
        <f t="shared" si="1"/>
        <v>0</v>
      </c>
      <c r="F81" s="4">
        <f t="shared" si="2"/>
        <v>0</v>
      </c>
      <c r="G81" s="4">
        <f t="shared" si="3"/>
        <v>31.233</v>
      </c>
      <c r="H81" s="4">
        <f t="shared" si="4"/>
        <v>26.058</v>
      </c>
      <c r="I81" s="4" t="str">
        <f t="shared" si="5"/>
        <v> </v>
      </c>
      <c r="J81" s="11"/>
      <c r="K81" s="10">
        <v>20.5</v>
      </c>
      <c r="L81" s="4">
        <f t="shared" si="6"/>
        <v>3</v>
      </c>
      <c r="M81" s="4">
        <f t="shared" si="7"/>
        <v>0</v>
      </c>
      <c r="N81" s="4">
        <f t="shared" si="8"/>
        <v>-10.8697</v>
      </c>
      <c r="O81" s="12" t="str">
        <f t="shared" si="9"/>
        <v/>
      </c>
      <c r="P81" s="4">
        <f t="shared" si="10"/>
        <v>20.5</v>
      </c>
    </row>
    <row r="82" ht="15.75" customHeight="1">
      <c r="A82" s="4">
        <v>1998.0</v>
      </c>
      <c r="B82" s="4">
        <v>232.0</v>
      </c>
      <c r="C82" s="10">
        <v>12.4</v>
      </c>
      <c r="D82" s="10">
        <v>24.2</v>
      </c>
      <c r="E82" s="4">
        <f t="shared" si="1"/>
        <v>0</v>
      </c>
      <c r="F82" s="4">
        <f t="shared" si="2"/>
        <v>0</v>
      </c>
      <c r="G82" s="4">
        <f t="shared" si="3"/>
        <v>30.274</v>
      </c>
      <c r="H82" s="4">
        <f t="shared" si="4"/>
        <v>25.192</v>
      </c>
      <c r="I82" s="4" t="str">
        <f t="shared" si="5"/>
        <v> </v>
      </c>
      <c r="J82" s="11"/>
      <c r="K82" s="10">
        <v>18.6</v>
      </c>
      <c r="L82" s="4">
        <f t="shared" si="6"/>
        <v>3</v>
      </c>
      <c r="M82" s="4">
        <f t="shared" si="7"/>
        <v>0</v>
      </c>
      <c r="N82" s="4">
        <f t="shared" si="8"/>
        <v>-10.3467</v>
      </c>
      <c r="O82" s="12" t="str">
        <f t="shared" si="9"/>
        <v/>
      </c>
      <c r="P82" s="4">
        <f t="shared" si="10"/>
        <v>18.6</v>
      </c>
    </row>
    <row r="83" ht="15.75" customHeight="1">
      <c r="A83" s="4">
        <v>1998.0</v>
      </c>
      <c r="B83" s="4">
        <v>233.0</v>
      </c>
      <c r="C83" s="10">
        <v>8.6</v>
      </c>
      <c r="D83" s="10">
        <v>18.9</v>
      </c>
      <c r="E83" s="4">
        <f t="shared" si="1"/>
        <v>0</v>
      </c>
      <c r="F83" s="4">
        <f t="shared" si="2"/>
        <v>0</v>
      </c>
      <c r="G83" s="4">
        <f t="shared" si="3"/>
        <v>28.931</v>
      </c>
      <c r="H83" s="4">
        <f t="shared" si="4"/>
        <v>23.956</v>
      </c>
      <c r="I83" s="4" t="str">
        <f t="shared" si="5"/>
        <v> </v>
      </c>
      <c r="J83" s="11"/>
      <c r="K83" s="10">
        <v>13.8</v>
      </c>
      <c r="L83" s="4">
        <f t="shared" si="6"/>
        <v>3</v>
      </c>
      <c r="M83" s="4">
        <f t="shared" si="7"/>
        <v>0</v>
      </c>
      <c r="N83" s="4">
        <f t="shared" si="8"/>
        <v>-7.0885</v>
      </c>
      <c r="O83" s="12" t="str">
        <f t="shared" si="9"/>
        <v/>
      </c>
      <c r="P83" s="4">
        <f t="shared" si="10"/>
        <v>13.8</v>
      </c>
    </row>
    <row r="84" ht="15.75" customHeight="1">
      <c r="A84" s="4">
        <v>1998.0</v>
      </c>
      <c r="B84" s="4">
        <v>234.0</v>
      </c>
      <c r="C84" s="10">
        <v>6.0</v>
      </c>
      <c r="D84" s="10">
        <v>19.4</v>
      </c>
      <c r="E84" s="4">
        <f t="shared" si="1"/>
        <v>0</v>
      </c>
      <c r="F84" s="4">
        <f t="shared" si="2"/>
        <v>0</v>
      </c>
      <c r="G84" s="4">
        <f t="shared" si="3"/>
        <v>30.68</v>
      </c>
      <c r="H84" s="4">
        <f t="shared" si="4"/>
        <v>25.9535</v>
      </c>
      <c r="I84" s="4" t="str">
        <f t="shared" si="5"/>
        <v> </v>
      </c>
      <c r="J84" s="11"/>
      <c r="K84" s="10">
        <v>13.1</v>
      </c>
      <c r="L84" s="4">
        <f t="shared" si="6"/>
        <v>3</v>
      </c>
      <c r="M84" s="4">
        <f t="shared" si="7"/>
        <v>0</v>
      </c>
      <c r="N84" s="4">
        <f t="shared" si="8"/>
        <v>-6.2699</v>
      </c>
      <c r="O84" s="12" t="str">
        <f t="shared" si="9"/>
        <v/>
      </c>
      <c r="P84" s="4">
        <f t="shared" si="10"/>
        <v>13.1</v>
      </c>
    </row>
    <row r="85" ht="15.75" customHeight="1">
      <c r="A85" s="4">
        <v>1998.0</v>
      </c>
      <c r="B85" s="4">
        <v>235.0</v>
      </c>
      <c r="C85" s="10">
        <v>9.8</v>
      </c>
      <c r="D85" s="10">
        <v>24.5</v>
      </c>
      <c r="E85" s="4">
        <f t="shared" si="1"/>
        <v>0</v>
      </c>
      <c r="F85" s="4">
        <f t="shared" si="2"/>
        <v>0</v>
      </c>
      <c r="G85" s="4">
        <f t="shared" si="3"/>
        <v>36.274</v>
      </c>
      <c r="H85" s="4">
        <f t="shared" si="4"/>
        <v>30.7325</v>
      </c>
      <c r="I85" s="4" t="str">
        <f t="shared" si="5"/>
        <v> </v>
      </c>
      <c r="J85" s="11"/>
      <c r="K85" s="10">
        <v>17.6</v>
      </c>
      <c r="L85" s="4">
        <f t="shared" si="6"/>
        <v>3</v>
      </c>
      <c r="M85" s="4">
        <f t="shared" si="7"/>
        <v>0</v>
      </c>
      <c r="N85" s="4">
        <f t="shared" si="8"/>
        <v>-8.9378</v>
      </c>
      <c r="O85" s="12" t="str">
        <f t="shared" si="9"/>
        <v/>
      </c>
      <c r="P85" s="4">
        <f t="shared" si="10"/>
        <v>17.6</v>
      </c>
    </row>
    <row r="86" ht="15.75" customHeight="1">
      <c r="A86" s="4">
        <v>1998.0</v>
      </c>
      <c r="B86" s="4">
        <v>236.0</v>
      </c>
      <c r="C86" s="10">
        <v>14.2</v>
      </c>
      <c r="D86" s="10">
        <v>26.2</v>
      </c>
      <c r="E86" s="4">
        <f t="shared" si="1"/>
        <v>0</v>
      </c>
      <c r="F86" s="4">
        <f t="shared" si="2"/>
        <v>0</v>
      </c>
      <c r="G86" s="4">
        <f t="shared" si="3"/>
        <v>36.254</v>
      </c>
      <c r="H86" s="4">
        <f t="shared" si="4"/>
        <v>30.635</v>
      </c>
      <c r="I86" s="4" t="str">
        <f t="shared" si="5"/>
        <v> </v>
      </c>
      <c r="J86" s="11"/>
      <c r="K86" s="10">
        <v>20.4</v>
      </c>
      <c r="L86" s="4">
        <f t="shared" si="6"/>
        <v>3</v>
      </c>
      <c r="M86" s="4">
        <f t="shared" si="7"/>
        <v>0</v>
      </c>
      <c r="N86" s="4">
        <f t="shared" si="8"/>
        <v>-8.9932</v>
      </c>
      <c r="O86" s="12" t="str">
        <f t="shared" si="9"/>
        <v/>
      </c>
      <c r="P86" s="4">
        <f t="shared" si="10"/>
        <v>20.4</v>
      </c>
    </row>
    <row r="87" ht="15.75" customHeight="1">
      <c r="A87" s="4">
        <v>1998.0</v>
      </c>
      <c r="B87" s="4">
        <v>237.0</v>
      </c>
      <c r="C87" s="10">
        <v>13.7</v>
      </c>
      <c r="D87" s="10">
        <v>27.8</v>
      </c>
      <c r="E87" s="4">
        <f t="shared" si="1"/>
        <v>0</v>
      </c>
      <c r="F87" s="4">
        <f t="shared" si="2"/>
        <v>0</v>
      </c>
      <c r="G87" s="4">
        <f t="shared" si="3"/>
        <v>35.847</v>
      </c>
      <c r="H87" s="4">
        <f t="shared" si="4"/>
        <v>31.579</v>
      </c>
      <c r="I87" s="4" t="str">
        <f t="shared" si="5"/>
        <v> </v>
      </c>
      <c r="J87" s="11"/>
      <c r="K87" s="10">
        <v>20.5</v>
      </c>
      <c r="L87" s="4">
        <f t="shared" si="6"/>
        <v>3</v>
      </c>
      <c r="M87" s="4">
        <f t="shared" si="7"/>
        <v>0</v>
      </c>
      <c r="N87" s="4">
        <f t="shared" si="8"/>
        <v>-9.3124</v>
      </c>
      <c r="O87" s="12" t="str">
        <f t="shared" si="9"/>
        <v/>
      </c>
      <c r="P87" s="4">
        <f t="shared" si="10"/>
        <v>20.5</v>
      </c>
    </row>
    <row r="88" ht="15.75" customHeight="1">
      <c r="A88" s="4">
        <v>1998.0</v>
      </c>
      <c r="B88" s="4">
        <v>238.0</v>
      </c>
      <c r="C88" s="10">
        <v>14.5</v>
      </c>
      <c r="D88" s="10">
        <v>27.7</v>
      </c>
      <c r="E88" s="4">
        <f t="shared" si="1"/>
        <v>0</v>
      </c>
      <c r="J88" s="11"/>
      <c r="K88" s="10">
        <v>20.9</v>
      </c>
      <c r="L88" s="4">
        <f t="shared" si="6"/>
        <v>3</v>
      </c>
      <c r="O88" s="12" t="str">
        <f t="shared" si="9"/>
        <v/>
      </c>
      <c r="P88" s="4">
        <f t="shared" si="10"/>
        <v>20.9</v>
      </c>
    </row>
    <row r="89" ht="15.75" customHeight="1">
      <c r="A89" s="4">
        <v>1998.0</v>
      </c>
      <c r="B89" s="4">
        <v>239.0</v>
      </c>
      <c r="C89" s="10">
        <v>14.6</v>
      </c>
      <c r="D89" s="10">
        <v>27.0</v>
      </c>
      <c r="E89" s="4">
        <f t="shared" si="1"/>
        <v>0</v>
      </c>
      <c r="J89" s="11"/>
      <c r="K89" s="10">
        <v>20.2</v>
      </c>
      <c r="L89" s="4">
        <f t="shared" si="6"/>
        <v>3</v>
      </c>
      <c r="O89" s="12" t="str">
        <f t="shared" si="9"/>
        <v/>
      </c>
      <c r="P89" s="4">
        <f t="shared" si="10"/>
        <v>20.2</v>
      </c>
    </row>
    <row r="90" ht="15.75" customHeight="1">
      <c r="A90" s="4">
        <v>1998.0</v>
      </c>
      <c r="B90" s="4">
        <v>240.0</v>
      </c>
      <c r="C90" s="10">
        <v>15.2</v>
      </c>
      <c r="D90" s="10">
        <v>23.0</v>
      </c>
      <c r="E90" s="4">
        <f t="shared" si="1"/>
        <v>0</v>
      </c>
      <c r="J90" s="11"/>
      <c r="K90" s="10">
        <v>17.9</v>
      </c>
      <c r="L90" s="4">
        <f t="shared" si="6"/>
        <v>3</v>
      </c>
      <c r="O90" s="12" t="str">
        <f t="shared" si="9"/>
        <v/>
      </c>
      <c r="P90" s="4">
        <f t="shared" si="10"/>
        <v>17.9</v>
      </c>
    </row>
    <row r="91" ht="15.75" customHeight="1">
      <c r="A91" s="4">
        <v>1998.0</v>
      </c>
      <c r="B91" s="4">
        <v>241.0</v>
      </c>
      <c r="C91" s="10">
        <v>12.7</v>
      </c>
      <c r="D91" s="10">
        <v>22.3</v>
      </c>
      <c r="E91" s="4">
        <f t="shared" si="1"/>
        <v>1</v>
      </c>
      <c r="J91" s="10">
        <v>16.2</v>
      </c>
      <c r="K91" s="10">
        <v>16.2</v>
      </c>
      <c r="L91" s="4">
        <f t="shared" si="6"/>
        <v>8</v>
      </c>
      <c r="O91" s="4">
        <f t="shared" si="9"/>
        <v>16.2</v>
      </c>
      <c r="P91" s="4">
        <f t="shared" si="10"/>
        <v>16.2</v>
      </c>
    </row>
    <row r="92" ht="15.75" customHeight="1">
      <c r="A92" s="4">
        <v>1998.0</v>
      </c>
      <c r="B92" s="4">
        <v>242.0</v>
      </c>
      <c r="C92" s="10">
        <v>11.1</v>
      </c>
      <c r="D92" s="10">
        <v>24.3</v>
      </c>
      <c r="E92" s="4">
        <f t="shared" si="1"/>
        <v>0</v>
      </c>
      <c r="J92" s="11"/>
      <c r="K92" s="10">
        <v>17.4</v>
      </c>
      <c r="L92" s="4">
        <f t="shared" si="6"/>
        <v>3</v>
      </c>
      <c r="O92" s="12" t="str">
        <f t="shared" si="9"/>
        <v/>
      </c>
      <c r="P92" s="4">
        <f t="shared" si="10"/>
        <v>17.4</v>
      </c>
    </row>
    <row r="93" ht="15.75" customHeight="1">
      <c r="A93" s="4">
        <v>1998.0</v>
      </c>
      <c r="B93" s="4">
        <v>243.0</v>
      </c>
      <c r="C93" s="10">
        <v>14.3</v>
      </c>
      <c r="D93" s="10">
        <v>26.4</v>
      </c>
      <c r="E93" s="4">
        <f t="shared" si="1"/>
        <v>0</v>
      </c>
      <c r="J93" s="11"/>
      <c r="K93" s="10">
        <v>20.0</v>
      </c>
      <c r="L93" s="4">
        <f t="shared" si="6"/>
        <v>3</v>
      </c>
      <c r="O93" s="12" t="str">
        <f t="shared" si="9"/>
        <v/>
      </c>
      <c r="P93" s="4">
        <f t="shared" si="10"/>
        <v>20</v>
      </c>
    </row>
    <row r="94" ht="15.75" customHeight="1"/>
    <row r="95" ht="15.75" customHeight="1"/>
    <row r="96" ht="15.75" customHeight="1">
      <c r="O96" s="4">
        <f>SUM(O2:O93)</f>
        <v>235.8</v>
      </c>
      <c r="P96" s="4">
        <f>SUMIF(P2:P93,"&gt;0")/10</f>
        <v>165.95</v>
      </c>
    </row>
    <row r="97" ht="15.75" customHeight="1"/>
    <row r="98" ht="15.75" customHeight="1">
      <c r="I98" s="4">
        <f>SUM(I2:I87)</f>
        <v>51.176</v>
      </c>
      <c r="O98" s="4" t="s">
        <v>15</v>
      </c>
      <c r="P98" s="4">
        <f>O96/P96</f>
        <v>1.420909913</v>
      </c>
    </row>
    <row r="99" ht="15.75" customHeight="1">
      <c r="I99" s="4">
        <f>SUM(I2:I31)</f>
        <v>13.7265</v>
      </c>
      <c r="O99" s="4" t="s">
        <v>16</v>
      </c>
      <c r="P99" s="4">
        <f>SUM(O2:O31)/(SUM(P2:P31)/10)</f>
        <v>0.778525807</v>
      </c>
    </row>
    <row r="100" ht="15.75" customHeight="1">
      <c r="I100" s="4">
        <f>SUM(I32:I62)</f>
        <v>26.9825</v>
      </c>
      <c r="O100" s="4" t="s">
        <v>17</v>
      </c>
      <c r="P100" s="4">
        <f>SUM(O33:O62)/(SUM(P33:P62)/10)</f>
        <v>2.570758969</v>
      </c>
    </row>
    <row r="101" ht="15.75" customHeight="1">
      <c r="I101" s="4">
        <f>SUM(I63:I93)</f>
        <v>10.467</v>
      </c>
      <c r="O101" s="4" t="s">
        <v>18</v>
      </c>
      <c r="P101" s="4">
        <f>SUM(O63:O93)/(SUM(P63:P93)/10)</f>
        <v>0.9436923681</v>
      </c>
    </row>
    <row r="102" ht="15.75" customHeight="1">
      <c r="I102" s="4">
        <f>SUMIF(I2:I87,"&gt;0")</f>
        <v>51.176</v>
      </c>
    </row>
    <row r="103" ht="15.75" customHeight="1">
      <c r="I103" s="4">
        <f>SUMIF(I2:I31,"&gt;0")</f>
        <v>13.7265</v>
      </c>
    </row>
    <row r="104" ht="15.75" customHeight="1">
      <c r="I104" s="4">
        <f>SUMIF(I32:I62,"&gt;0")</f>
        <v>26.9825</v>
      </c>
      <c r="P104" s="4">
        <f>SUM(O16:O35)/(SUM(P16:P35)/10)</f>
        <v>3.191365228</v>
      </c>
    </row>
    <row r="105" ht="15.75" customHeight="1">
      <c r="I105" s="4">
        <f>SUMIF(I63:I87,"&gt;0")</f>
        <v>10.467</v>
      </c>
      <c r="P105" s="4">
        <f>SUM(O36:O55)/(SUM(P36:P55)/10)</f>
        <v>1.997275204</v>
      </c>
    </row>
    <row r="106" ht="15.75" customHeight="1">
      <c r="P106" s="4">
        <f>SUM(O56:O77)/(SUM(P56:P77)/10)</f>
        <v>0.8803488689</v>
      </c>
    </row>
    <row r="107" ht="15.75" customHeight="1">
      <c r="P107" s="4">
        <f>SUM(O16:O77)/(SUM(P16:P77)/10)</f>
        <v>1.996842203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6.14"/>
    <col customWidth="1" min="7" max="9" width="8.71"/>
    <col customWidth="1" min="10" max="10" width="21.0"/>
    <col customWidth="1" min="11" max="26" width="8.71"/>
  </cols>
  <sheetData>
    <row r="1">
      <c r="B1" s="6" t="s">
        <v>0</v>
      </c>
      <c r="C1" s="6" t="s">
        <v>1</v>
      </c>
      <c r="D1" s="7" t="s">
        <v>2</v>
      </c>
      <c r="E1" s="6" t="s">
        <v>3</v>
      </c>
      <c r="F1" s="6" t="s">
        <v>4</v>
      </c>
      <c r="G1" s="3" t="s">
        <v>5</v>
      </c>
      <c r="H1" s="3" t="s">
        <v>6</v>
      </c>
      <c r="I1" s="3" t="s">
        <v>7</v>
      </c>
      <c r="J1" s="7" t="s">
        <v>8</v>
      </c>
    </row>
    <row r="2">
      <c r="A2" s="4">
        <v>2002.0</v>
      </c>
      <c r="B2" s="4">
        <v>152.0</v>
      </c>
      <c r="C2" s="4">
        <v>6.0</v>
      </c>
      <c r="D2" s="4">
        <v>25.0</v>
      </c>
      <c r="E2" s="4">
        <f t="shared" ref="E2:E93" si="1">IF(J2&gt;0,1,0)</f>
        <v>0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27.489</v>
      </c>
      <c r="H2" s="4">
        <f t="shared" ref="H2:H87" si="4">0.63 * D2 + 0.37 * D3 + 0.49 * D4 + 0.22 * D5 + 0.65 * D6 + 0.24 *C2 - 0.06 * C3- 0.15 * C4 - 0.135 * C5 + 0.15 * C6 + 4.88 * E2 + 3.55 * E3 + 3.34 *E4 + 2.5 * E5 + 2.29 *E6-31.34</f>
        <v>23.7435</v>
      </c>
      <c r="I2" s="4" t="str">
        <f t="shared" ref="I2:I87" si="5">IF((H2-G2)&gt;0,H2-G2," ")</f>
        <v> </v>
      </c>
    </row>
    <row r="3">
      <c r="A3" s="4">
        <v>2002.0</v>
      </c>
      <c r="B3" s="4">
        <v>153.0</v>
      </c>
      <c r="C3" s="4">
        <v>8.5</v>
      </c>
      <c r="D3" s="4">
        <v>26.5</v>
      </c>
      <c r="E3" s="4">
        <f t="shared" si="1"/>
        <v>0</v>
      </c>
      <c r="F3" s="4">
        <f t="shared" si="2"/>
        <v>0</v>
      </c>
      <c r="G3" s="4">
        <f t="shared" si="3"/>
        <v>25.764</v>
      </c>
      <c r="H3" s="4">
        <f t="shared" si="4"/>
        <v>21.9135</v>
      </c>
      <c r="I3" s="4" t="str">
        <f t="shared" si="5"/>
        <v> </v>
      </c>
    </row>
    <row r="4">
      <c r="A4" s="4">
        <v>2002.0</v>
      </c>
      <c r="B4" s="4">
        <v>154.0</v>
      </c>
      <c r="C4" s="4">
        <v>8.0</v>
      </c>
      <c r="D4" s="4">
        <v>26.4</v>
      </c>
      <c r="E4" s="4">
        <f t="shared" si="1"/>
        <v>0</v>
      </c>
      <c r="F4" s="4">
        <f t="shared" si="2"/>
        <v>0</v>
      </c>
      <c r="G4" s="4">
        <f t="shared" si="3"/>
        <v>24.779</v>
      </c>
      <c r="H4" s="4">
        <f t="shared" si="4"/>
        <v>21.522</v>
      </c>
      <c r="I4" s="4" t="str">
        <f t="shared" si="5"/>
        <v> </v>
      </c>
    </row>
    <row r="5">
      <c r="A5" s="4">
        <v>2002.0</v>
      </c>
      <c r="B5" s="4">
        <v>155.0</v>
      </c>
      <c r="C5" s="4">
        <v>10.9</v>
      </c>
      <c r="D5" s="4">
        <v>20.2</v>
      </c>
      <c r="E5" s="4">
        <f t="shared" si="1"/>
        <v>1</v>
      </c>
      <c r="F5" s="4">
        <f t="shared" si="2"/>
        <v>0</v>
      </c>
      <c r="G5" s="4">
        <f t="shared" si="3"/>
        <v>21.395</v>
      </c>
      <c r="H5" s="4">
        <f t="shared" si="4"/>
        <v>20.5055</v>
      </c>
      <c r="I5" s="4" t="str">
        <f t="shared" si="5"/>
        <v> </v>
      </c>
      <c r="J5" s="4">
        <v>4.7</v>
      </c>
    </row>
    <row r="6">
      <c r="A6" s="4">
        <v>2002.0</v>
      </c>
      <c r="B6" s="4">
        <v>156.0</v>
      </c>
      <c r="C6" s="4">
        <v>7.9</v>
      </c>
      <c r="D6" s="4">
        <v>15.7</v>
      </c>
      <c r="E6" s="4">
        <f t="shared" si="1"/>
        <v>0</v>
      </c>
      <c r="F6" s="4">
        <f t="shared" si="2"/>
        <v>0</v>
      </c>
      <c r="G6" s="4">
        <f t="shared" si="3"/>
        <v>15.829</v>
      </c>
      <c r="H6" s="4">
        <f t="shared" si="4"/>
        <v>14.4645</v>
      </c>
      <c r="I6" s="4" t="str">
        <f t="shared" si="5"/>
        <v> </v>
      </c>
    </row>
    <row r="7">
      <c r="A7" s="4">
        <v>2002.0</v>
      </c>
      <c r="B7" s="4">
        <v>157.0</v>
      </c>
      <c r="C7" s="4">
        <v>3.0</v>
      </c>
      <c r="D7" s="4">
        <v>16.6</v>
      </c>
      <c r="E7" s="4">
        <f t="shared" si="1"/>
        <v>0</v>
      </c>
      <c r="F7" s="4">
        <f t="shared" si="2"/>
        <v>0</v>
      </c>
      <c r="G7" s="4">
        <f t="shared" si="3"/>
        <v>20.041</v>
      </c>
      <c r="H7" s="4">
        <f t="shared" si="4"/>
        <v>16.466</v>
      </c>
      <c r="I7" s="4" t="str">
        <f t="shared" si="5"/>
        <v> </v>
      </c>
    </row>
    <row r="8">
      <c r="A8" s="4">
        <v>2002.0</v>
      </c>
      <c r="B8" s="4">
        <v>158.0</v>
      </c>
      <c r="C8" s="4">
        <v>2.7</v>
      </c>
      <c r="D8" s="4">
        <v>21.2</v>
      </c>
      <c r="E8" s="4">
        <f t="shared" si="1"/>
        <v>0</v>
      </c>
      <c r="F8" s="4">
        <f t="shared" si="2"/>
        <v>0</v>
      </c>
      <c r="G8" s="4">
        <f t="shared" si="3"/>
        <v>23.637</v>
      </c>
      <c r="H8" s="4">
        <f t="shared" si="4"/>
        <v>19.986</v>
      </c>
      <c r="I8" s="4" t="str">
        <f t="shared" si="5"/>
        <v> </v>
      </c>
    </row>
    <row r="9">
      <c r="A9" s="4">
        <v>2002.0</v>
      </c>
      <c r="B9" s="4">
        <v>159.0</v>
      </c>
      <c r="C9" s="4">
        <v>11.3</v>
      </c>
      <c r="D9" s="4">
        <v>19.4</v>
      </c>
      <c r="E9" s="4">
        <f t="shared" si="1"/>
        <v>0</v>
      </c>
      <c r="F9" s="4">
        <f t="shared" si="2"/>
        <v>0</v>
      </c>
      <c r="G9" s="4">
        <f t="shared" si="3"/>
        <v>27.656</v>
      </c>
      <c r="H9" s="4">
        <f t="shared" si="4"/>
        <v>25.1575</v>
      </c>
      <c r="I9" s="4" t="str">
        <f t="shared" si="5"/>
        <v> </v>
      </c>
    </row>
    <row r="10">
      <c r="A10" s="4">
        <v>2002.0</v>
      </c>
      <c r="B10" s="4">
        <v>160.0</v>
      </c>
      <c r="C10" s="4">
        <v>12.4</v>
      </c>
      <c r="D10" s="4">
        <v>17.2</v>
      </c>
      <c r="E10" s="4">
        <f t="shared" si="1"/>
        <v>1</v>
      </c>
      <c r="F10" s="4">
        <f t="shared" si="2"/>
        <v>0</v>
      </c>
      <c r="G10" s="4">
        <f t="shared" si="3"/>
        <v>30.628</v>
      </c>
      <c r="H10" s="4">
        <f t="shared" si="4"/>
        <v>28.371</v>
      </c>
      <c r="I10" s="4" t="str">
        <f t="shared" si="5"/>
        <v> </v>
      </c>
      <c r="J10" s="4">
        <v>0.9</v>
      </c>
    </row>
    <row r="11">
      <c r="A11" s="4">
        <v>2002.0</v>
      </c>
      <c r="B11" s="4">
        <v>161.0</v>
      </c>
      <c r="C11" s="4">
        <v>9.2</v>
      </c>
      <c r="D11" s="4">
        <v>23.3</v>
      </c>
      <c r="E11" s="4">
        <f t="shared" si="1"/>
        <v>0</v>
      </c>
      <c r="F11" s="4">
        <f t="shared" si="2"/>
        <v>0</v>
      </c>
      <c r="G11" s="4">
        <f t="shared" si="3"/>
        <v>30.727</v>
      </c>
      <c r="H11" s="4">
        <f t="shared" si="4"/>
        <v>27.604</v>
      </c>
      <c r="I11" s="4" t="str">
        <f t="shared" si="5"/>
        <v> </v>
      </c>
    </row>
    <row r="12">
      <c r="A12" s="4">
        <v>2002.0</v>
      </c>
      <c r="B12" s="4">
        <v>162.0</v>
      </c>
      <c r="C12" s="4">
        <v>6.5</v>
      </c>
      <c r="D12" s="4">
        <v>24.7</v>
      </c>
      <c r="E12" s="4">
        <f t="shared" si="1"/>
        <v>0</v>
      </c>
      <c r="F12" s="4">
        <f t="shared" si="2"/>
        <v>0</v>
      </c>
      <c r="G12" s="4">
        <f t="shared" si="3"/>
        <v>26.114</v>
      </c>
      <c r="H12" s="4">
        <f t="shared" si="4"/>
        <v>24.4285</v>
      </c>
      <c r="I12" s="4" t="str">
        <f t="shared" si="5"/>
        <v> </v>
      </c>
    </row>
    <row r="13">
      <c r="A13" s="4">
        <v>2002.0</v>
      </c>
      <c r="B13" s="4">
        <v>163.0</v>
      </c>
      <c r="C13" s="4">
        <v>8.6</v>
      </c>
      <c r="D13" s="4">
        <v>25.4</v>
      </c>
      <c r="E13" s="4">
        <f t="shared" si="1"/>
        <v>0</v>
      </c>
      <c r="F13" s="4">
        <f t="shared" si="2"/>
        <v>0</v>
      </c>
      <c r="G13" s="4">
        <f t="shared" si="3"/>
        <v>27.907</v>
      </c>
      <c r="H13" s="4">
        <f t="shared" si="4"/>
        <v>27.858</v>
      </c>
      <c r="I13" s="4" t="str">
        <f t="shared" si="5"/>
        <v> </v>
      </c>
    </row>
    <row r="14">
      <c r="A14" s="4">
        <v>2002.0</v>
      </c>
      <c r="B14" s="4">
        <v>164.0</v>
      </c>
      <c r="C14" s="4">
        <v>9.8</v>
      </c>
      <c r="D14" s="4">
        <v>24.5</v>
      </c>
      <c r="E14" s="4">
        <f t="shared" si="1"/>
        <v>0</v>
      </c>
      <c r="F14" s="4">
        <f t="shared" si="2"/>
        <v>1</v>
      </c>
      <c r="G14" s="4">
        <f t="shared" si="3"/>
        <v>28.019</v>
      </c>
      <c r="H14" s="4">
        <f t="shared" si="4"/>
        <v>28.2835</v>
      </c>
      <c r="I14" s="4">
        <f t="shared" si="5"/>
        <v>0.2645</v>
      </c>
    </row>
    <row r="15">
      <c r="A15" s="4">
        <v>2002.0</v>
      </c>
      <c r="B15" s="4">
        <v>165.0</v>
      </c>
      <c r="C15" s="4">
        <v>9.1</v>
      </c>
      <c r="D15" s="4">
        <v>22.2</v>
      </c>
      <c r="E15" s="4">
        <f t="shared" si="1"/>
        <v>1</v>
      </c>
      <c r="F15" s="4">
        <f t="shared" si="2"/>
        <v>1</v>
      </c>
      <c r="G15" s="4">
        <f t="shared" si="3"/>
        <v>29.965</v>
      </c>
      <c r="H15" s="4">
        <f t="shared" si="4"/>
        <v>30.375</v>
      </c>
      <c r="I15" s="4">
        <f t="shared" si="5"/>
        <v>0.41</v>
      </c>
      <c r="J15" s="4">
        <v>2.7</v>
      </c>
    </row>
    <row r="16">
      <c r="A16" s="4">
        <v>2002.0</v>
      </c>
      <c r="B16" s="4">
        <v>166.0</v>
      </c>
      <c r="C16" s="4">
        <v>8.2</v>
      </c>
      <c r="D16" s="4">
        <v>14.7</v>
      </c>
      <c r="E16" s="4">
        <f t="shared" si="1"/>
        <v>1</v>
      </c>
      <c r="F16" s="4">
        <f t="shared" si="2"/>
        <v>1</v>
      </c>
      <c r="G16" s="4">
        <f t="shared" si="3"/>
        <v>26.77</v>
      </c>
      <c r="H16" s="4">
        <f t="shared" si="4"/>
        <v>28.1215</v>
      </c>
      <c r="I16" s="4">
        <f t="shared" si="5"/>
        <v>1.3515</v>
      </c>
      <c r="J16" s="4">
        <v>13.8</v>
      </c>
    </row>
    <row r="17">
      <c r="A17" s="4">
        <v>2002.0</v>
      </c>
      <c r="B17" s="4">
        <v>167.0</v>
      </c>
      <c r="C17" s="4">
        <v>10.5</v>
      </c>
      <c r="D17" s="4">
        <v>17.4</v>
      </c>
      <c r="E17" s="4">
        <f t="shared" si="1"/>
        <v>1</v>
      </c>
      <c r="F17" s="4">
        <f t="shared" si="2"/>
        <v>0</v>
      </c>
      <c r="G17" s="4">
        <f t="shared" si="3"/>
        <v>33.645</v>
      </c>
      <c r="H17" s="4">
        <f t="shared" si="4"/>
        <v>32.9395</v>
      </c>
      <c r="I17" s="4" t="str">
        <f t="shared" si="5"/>
        <v> </v>
      </c>
      <c r="J17" s="4">
        <v>1.5</v>
      </c>
    </row>
    <row r="18">
      <c r="A18" s="4">
        <v>2002.0</v>
      </c>
      <c r="B18" s="4">
        <v>168.0</v>
      </c>
      <c r="C18" s="4">
        <v>10.4</v>
      </c>
      <c r="D18" s="4">
        <v>19.3</v>
      </c>
      <c r="E18" s="4">
        <f t="shared" si="1"/>
        <v>1</v>
      </c>
      <c r="F18" s="4">
        <f t="shared" si="2"/>
        <v>0</v>
      </c>
      <c r="G18" s="4">
        <f t="shared" si="3"/>
        <v>34.714</v>
      </c>
      <c r="H18" s="4">
        <f t="shared" si="4"/>
        <v>31.3265</v>
      </c>
      <c r="I18" s="4" t="str">
        <f t="shared" si="5"/>
        <v> </v>
      </c>
      <c r="J18" s="4">
        <v>9.5</v>
      </c>
    </row>
    <row r="19">
      <c r="A19" s="4">
        <v>2002.0</v>
      </c>
      <c r="B19" s="4">
        <v>169.0</v>
      </c>
      <c r="C19" s="4">
        <v>7.1</v>
      </c>
      <c r="D19" s="4">
        <v>23.8</v>
      </c>
      <c r="E19" s="4">
        <f t="shared" si="1"/>
        <v>0</v>
      </c>
      <c r="F19" s="4">
        <f t="shared" si="2"/>
        <v>0</v>
      </c>
      <c r="G19" s="4">
        <f t="shared" si="3"/>
        <v>32.365</v>
      </c>
      <c r="H19" s="4">
        <f t="shared" si="4"/>
        <v>27.9285</v>
      </c>
      <c r="I19" s="4" t="str">
        <f t="shared" si="5"/>
        <v> </v>
      </c>
    </row>
    <row r="20">
      <c r="A20" s="4">
        <v>2002.0</v>
      </c>
      <c r="B20" s="4">
        <v>170.0</v>
      </c>
      <c r="C20" s="4">
        <v>10.1</v>
      </c>
      <c r="D20" s="4">
        <v>26.1</v>
      </c>
      <c r="E20" s="4">
        <f t="shared" si="1"/>
        <v>0</v>
      </c>
      <c r="F20" s="4">
        <f t="shared" si="2"/>
        <v>0</v>
      </c>
      <c r="G20" s="4">
        <f t="shared" si="3"/>
        <v>32.914</v>
      </c>
      <c r="H20" s="4">
        <f t="shared" si="4"/>
        <v>27.586</v>
      </c>
      <c r="I20" s="4" t="str">
        <f t="shared" si="5"/>
        <v> </v>
      </c>
    </row>
    <row r="21" ht="15.75" customHeight="1">
      <c r="A21" s="4">
        <v>2002.0</v>
      </c>
      <c r="B21" s="4">
        <v>171.0</v>
      </c>
      <c r="C21" s="4">
        <v>13.5</v>
      </c>
      <c r="D21" s="4">
        <v>29.0</v>
      </c>
      <c r="E21" s="4">
        <f t="shared" si="1"/>
        <v>0</v>
      </c>
      <c r="F21" s="4">
        <f t="shared" si="2"/>
        <v>0</v>
      </c>
      <c r="G21" s="4">
        <f t="shared" si="3"/>
        <v>30.907</v>
      </c>
      <c r="H21" s="4">
        <f t="shared" si="4"/>
        <v>27.0705</v>
      </c>
      <c r="I21" s="4" t="str">
        <f t="shared" si="5"/>
        <v> </v>
      </c>
    </row>
    <row r="22" ht="15.75" customHeight="1">
      <c r="A22" s="4">
        <v>2002.0</v>
      </c>
      <c r="B22" s="4">
        <v>172.0</v>
      </c>
      <c r="C22" s="4">
        <v>11.3</v>
      </c>
      <c r="D22" s="4">
        <v>26.5</v>
      </c>
      <c r="E22" s="4">
        <f t="shared" si="1"/>
        <v>0</v>
      </c>
      <c r="F22" s="4">
        <f t="shared" si="2"/>
        <v>0</v>
      </c>
      <c r="G22" s="4">
        <f t="shared" si="3"/>
        <v>26.897</v>
      </c>
      <c r="H22" s="4">
        <f t="shared" si="4"/>
        <v>24.456</v>
      </c>
      <c r="I22" s="4" t="str">
        <f t="shared" si="5"/>
        <v> </v>
      </c>
    </row>
    <row r="23" ht="15.75" customHeight="1">
      <c r="A23" s="4">
        <v>2002.0</v>
      </c>
      <c r="B23" s="4">
        <v>173.0</v>
      </c>
      <c r="C23" s="4">
        <v>13.0</v>
      </c>
      <c r="D23" s="4">
        <v>23.2</v>
      </c>
      <c r="E23" s="4">
        <f t="shared" si="1"/>
        <v>0</v>
      </c>
      <c r="F23" s="4">
        <f t="shared" si="2"/>
        <v>0</v>
      </c>
      <c r="G23" s="4">
        <f t="shared" si="3"/>
        <v>26.89</v>
      </c>
      <c r="H23" s="4">
        <f t="shared" si="4"/>
        <v>25.9905</v>
      </c>
      <c r="I23" s="4" t="str">
        <f t="shared" si="5"/>
        <v> </v>
      </c>
    </row>
    <row r="24" ht="15.75" customHeight="1">
      <c r="A24" s="4">
        <v>2002.0</v>
      </c>
      <c r="B24" s="4">
        <v>174.0</v>
      </c>
      <c r="C24" s="4">
        <v>11.9</v>
      </c>
      <c r="D24" s="4">
        <v>21.1</v>
      </c>
      <c r="E24" s="4">
        <f t="shared" si="1"/>
        <v>0</v>
      </c>
      <c r="F24" s="4">
        <f t="shared" si="2"/>
        <v>1</v>
      </c>
      <c r="G24" s="4">
        <f t="shared" si="3"/>
        <v>26.775</v>
      </c>
      <c r="H24" s="4">
        <f t="shared" si="4"/>
        <v>27.2435</v>
      </c>
      <c r="I24" s="4">
        <f t="shared" si="5"/>
        <v>0.4685</v>
      </c>
    </row>
    <row r="25" ht="15.75" customHeight="1">
      <c r="A25" s="4">
        <v>2002.0</v>
      </c>
      <c r="B25" s="4">
        <v>175.0</v>
      </c>
      <c r="C25" s="4">
        <v>10.6</v>
      </c>
      <c r="D25" s="4">
        <v>17.6</v>
      </c>
      <c r="E25" s="4">
        <f t="shared" si="1"/>
        <v>1</v>
      </c>
      <c r="F25" s="4">
        <f t="shared" si="2"/>
        <v>1</v>
      </c>
      <c r="G25" s="4">
        <f t="shared" si="3"/>
        <v>30.802</v>
      </c>
      <c r="H25" s="4">
        <f t="shared" si="4"/>
        <v>32.155</v>
      </c>
      <c r="I25" s="4">
        <f t="shared" si="5"/>
        <v>1.353</v>
      </c>
      <c r="J25" s="4">
        <v>8.6</v>
      </c>
    </row>
    <row r="26" ht="15.75" customHeight="1">
      <c r="A26" s="4">
        <v>2002.0</v>
      </c>
      <c r="B26" s="4">
        <v>176.0</v>
      </c>
      <c r="C26" s="4">
        <v>9.5</v>
      </c>
      <c r="D26" s="4">
        <v>17.5</v>
      </c>
      <c r="E26" s="4">
        <f t="shared" si="1"/>
        <v>1</v>
      </c>
      <c r="F26" s="4">
        <f t="shared" si="2"/>
        <v>1</v>
      </c>
      <c r="G26" s="4">
        <f t="shared" si="3"/>
        <v>32.577</v>
      </c>
      <c r="H26" s="4">
        <f t="shared" si="4"/>
        <v>33.8275</v>
      </c>
      <c r="I26" s="4">
        <f t="shared" si="5"/>
        <v>1.2505</v>
      </c>
      <c r="J26" s="4">
        <v>5.5</v>
      </c>
    </row>
    <row r="27" ht="15.75" customHeight="1">
      <c r="A27" s="4">
        <v>2002.0</v>
      </c>
      <c r="B27" s="4">
        <v>177.0</v>
      </c>
      <c r="C27" s="4">
        <v>10.5</v>
      </c>
      <c r="D27" s="4">
        <v>20.3</v>
      </c>
      <c r="E27" s="4">
        <f t="shared" si="1"/>
        <v>1</v>
      </c>
      <c r="F27" s="4">
        <f t="shared" si="2"/>
        <v>1</v>
      </c>
      <c r="G27" s="4">
        <f t="shared" si="3"/>
        <v>33.041</v>
      </c>
      <c r="H27" s="4">
        <f t="shared" si="4"/>
        <v>33.044</v>
      </c>
      <c r="I27" s="4">
        <f t="shared" si="5"/>
        <v>0.003</v>
      </c>
      <c r="J27" s="4">
        <v>3.7</v>
      </c>
    </row>
    <row r="28" ht="15.75" customHeight="1">
      <c r="A28" s="4">
        <v>2002.0</v>
      </c>
      <c r="B28" s="4">
        <v>178.0</v>
      </c>
      <c r="C28" s="4">
        <v>8.6</v>
      </c>
      <c r="D28" s="4">
        <v>20.6</v>
      </c>
      <c r="E28" s="4">
        <f t="shared" si="1"/>
        <v>1</v>
      </c>
      <c r="F28" s="4">
        <f t="shared" si="2"/>
        <v>0</v>
      </c>
      <c r="G28" s="4">
        <f t="shared" si="3"/>
        <v>32.901</v>
      </c>
      <c r="H28" s="4">
        <f t="shared" si="4"/>
        <v>30.906</v>
      </c>
      <c r="I28" s="4" t="str">
        <f t="shared" si="5"/>
        <v> </v>
      </c>
      <c r="J28" s="4">
        <v>2.6</v>
      </c>
    </row>
    <row r="29" ht="15.75" customHeight="1">
      <c r="A29" s="4">
        <v>2002.0</v>
      </c>
      <c r="B29" s="4">
        <v>179.0</v>
      </c>
      <c r="C29" s="4">
        <v>8.7</v>
      </c>
      <c r="D29" s="4">
        <v>25.6</v>
      </c>
      <c r="E29" s="4">
        <f t="shared" si="1"/>
        <v>0</v>
      </c>
      <c r="F29" s="4">
        <f t="shared" si="2"/>
        <v>0</v>
      </c>
      <c r="G29" s="4">
        <f t="shared" si="3"/>
        <v>34.584</v>
      </c>
      <c r="H29" s="4">
        <f t="shared" si="4"/>
        <v>30.37</v>
      </c>
      <c r="I29" s="4" t="str">
        <f t="shared" si="5"/>
        <v> </v>
      </c>
    </row>
    <row r="30" ht="15.75" customHeight="1">
      <c r="A30" s="4">
        <v>2002.0</v>
      </c>
      <c r="B30" s="4">
        <v>180.0</v>
      </c>
      <c r="C30" s="4">
        <v>16.0</v>
      </c>
      <c r="D30" s="4">
        <v>27.0</v>
      </c>
      <c r="E30" s="4">
        <f t="shared" si="1"/>
        <v>0</v>
      </c>
      <c r="F30" s="4">
        <f t="shared" si="2"/>
        <v>0</v>
      </c>
      <c r="G30" s="4">
        <f t="shared" si="3"/>
        <v>40.125</v>
      </c>
      <c r="H30" s="4">
        <f t="shared" si="4"/>
        <v>35.692</v>
      </c>
      <c r="I30" s="4" t="str">
        <f t="shared" si="5"/>
        <v> </v>
      </c>
    </row>
    <row r="31" ht="15.75" customHeight="1">
      <c r="A31" s="4">
        <v>2002.0</v>
      </c>
      <c r="B31" s="4">
        <v>181.0</v>
      </c>
      <c r="C31" s="4">
        <v>12.0</v>
      </c>
      <c r="D31" s="4">
        <v>22.2</v>
      </c>
      <c r="E31" s="4">
        <f t="shared" si="1"/>
        <v>1</v>
      </c>
      <c r="F31" s="4">
        <f t="shared" si="2"/>
        <v>0</v>
      </c>
      <c r="G31" s="4">
        <f t="shared" si="3"/>
        <v>39.782</v>
      </c>
      <c r="H31" s="4">
        <f t="shared" si="4"/>
        <v>36.4725</v>
      </c>
      <c r="I31" s="4" t="str">
        <f t="shared" si="5"/>
        <v> </v>
      </c>
      <c r="J31" s="4">
        <v>0.9</v>
      </c>
    </row>
    <row r="32" ht="15.75" customHeight="1">
      <c r="A32" s="4">
        <v>2002.0</v>
      </c>
      <c r="B32" s="4">
        <v>182.0</v>
      </c>
      <c r="C32" s="4">
        <v>9.6</v>
      </c>
      <c r="D32" s="4">
        <v>23.6</v>
      </c>
      <c r="E32" s="4">
        <f t="shared" si="1"/>
        <v>0</v>
      </c>
      <c r="F32" s="4">
        <f t="shared" si="2"/>
        <v>0</v>
      </c>
      <c r="G32" s="4">
        <f t="shared" si="3"/>
        <v>40.252</v>
      </c>
      <c r="H32" s="4">
        <f t="shared" si="4"/>
        <v>35.0505</v>
      </c>
      <c r="I32" s="4" t="str">
        <f t="shared" si="5"/>
        <v> </v>
      </c>
    </row>
    <row r="33" ht="15.75" customHeight="1">
      <c r="A33" s="4">
        <v>2002.0</v>
      </c>
      <c r="B33" s="4">
        <v>183.0</v>
      </c>
      <c r="C33" s="4">
        <v>9.2</v>
      </c>
      <c r="D33" s="4">
        <v>25.8</v>
      </c>
      <c r="E33" s="4">
        <f t="shared" si="1"/>
        <v>0</v>
      </c>
      <c r="F33" s="4">
        <f t="shared" si="2"/>
        <v>0</v>
      </c>
      <c r="G33" s="4">
        <f t="shared" si="3"/>
        <v>40.022</v>
      </c>
      <c r="H33" s="4">
        <f t="shared" si="4"/>
        <v>33.8995</v>
      </c>
      <c r="I33" s="4" t="str">
        <f t="shared" si="5"/>
        <v> </v>
      </c>
    </row>
    <row r="34" ht="15.75" customHeight="1">
      <c r="A34" s="4">
        <v>2002.0</v>
      </c>
      <c r="B34" s="4">
        <v>184.0</v>
      </c>
      <c r="C34" s="4">
        <v>11.1</v>
      </c>
      <c r="D34" s="4">
        <v>29.1</v>
      </c>
      <c r="E34" s="4">
        <f t="shared" si="1"/>
        <v>0</v>
      </c>
      <c r="F34" s="4">
        <f t="shared" si="2"/>
        <v>0</v>
      </c>
      <c r="G34" s="4">
        <f t="shared" si="3"/>
        <v>43.425</v>
      </c>
      <c r="H34" s="4">
        <f t="shared" si="4"/>
        <v>36.4945</v>
      </c>
      <c r="I34" s="4" t="str">
        <f t="shared" si="5"/>
        <v> </v>
      </c>
    </row>
    <row r="35" ht="15.75" customHeight="1">
      <c r="A35" s="4">
        <v>2002.0</v>
      </c>
      <c r="B35" s="4">
        <v>185.0</v>
      </c>
      <c r="C35" s="4">
        <v>14.1</v>
      </c>
      <c r="D35" s="4">
        <v>30.2</v>
      </c>
      <c r="E35" s="4">
        <f t="shared" si="1"/>
        <v>0</v>
      </c>
      <c r="F35" s="4">
        <f t="shared" si="2"/>
        <v>0</v>
      </c>
      <c r="G35" s="4">
        <f t="shared" si="3"/>
        <v>45.574</v>
      </c>
      <c r="H35" s="4">
        <f t="shared" si="4"/>
        <v>38.6725</v>
      </c>
      <c r="I35" s="4" t="str">
        <f t="shared" si="5"/>
        <v> </v>
      </c>
    </row>
    <row r="36" ht="15.75" customHeight="1">
      <c r="A36" s="4">
        <v>2002.0</v>
      </c>
      <c r="B36" s="4">
        <v>186.0</v>
      </c>
      <c r="C36" s="4">
        <v>18.7</v>
      </c>
      <c r="D36" s="4">
        <v>30.9</v>
      </c>
      <c r="E36" s="4">
        <f t="shared" si="1"/>
        <v>0</v>
      </c>
      <c r="F36" s="4">
        <f t="shared" si="2"/>
        <v>0</v>
      </c>
      <c r="G36" s="4">
        <f t="shared" si="3"/>
        <v>42.418</v>
      </c>
      <c r="H36" s="4">
        <f t="shared" si="4"/>
        <v>38.097</v>
      </c>
      <c r="I36" s="4" t="str">
        <f t="shared" si="5"/>
        <v> </v>
      </c>
    </row>
    <row r="37" ht="15.75" customHeight="1">
      <c r="A37" s="4">
        <v>2002.0</v>
      </c>
      <c r="B37" s="4">
        <v>187.0</v>
      </c>
      <c r="C37" s="4">
        <v>17.5</v>
      </c>
      <c r="D37" s="4">
        <v>26.3</v>
      </c>
      <c r="E37" s="4">
        <f t="shared" si="1"/>
        <v>0</v>
      </c>
      <c r="F37" s="4">
        <f t="shared" si="2"/>
        <v>0</v>
      </c>
      <c r="G37" s="4">
        <f t="shared" si="3"/>
        <v>42.672</v>
      </c>
      <c r="H37" s="4">
        <f t="shared" si="4"/>
        <v>37.237</v>
      </c>
      <c r="I37" s="4" t="str">
        <f t="shared" si="5"/>
        <v> </v>
      </c>
    </row>
    <row r="38" ht="15.75" customHeight="1">
      <c r="A38" s="4">
        <v>2002.0</v>
      </c>
      <c r="B38" s="4">
        <v>188.0</v>
      </c>
      <c r="C38" s="4">
        <v>13.1</v>
      </c>
      <c r="D38" s="4">
        <v>28.9</v>
      </c>
      <c r="E38" s="4">
        <f t="shared" si="1"/>
        <v>0</v>
      </c>
      <c r="F38" s="4">
        <f t="shared" si="2"/>
        <v>0</v>
      </c>
      <c r="G38" s="4">
        <f t="shared" si="3"/>
        <v>41.726</v>
      </c>
      <c r="H38" s="4">
        <f t="shared" si="4"/>
        <v>37.752</v>
      </c>
      <c r="I38" s="4" t="str">
        <f t="shared" si="5"/>
        <v> </v>
      </c>
    </row>
    <row r="39" ht="15.75" customHeight="1">
      <c r="A39" s="4">
        <v>2002.0</v>
      </c>
      <c r="B39" s="4">
        <v>189.0</v>
      </c>
      <c r="C39" s="4">
        <v>14.4</v>
      </c>
      <c r="D39" s="4">
        <v>31.2</v>
      </c>
      <c r="E39" s="4">
        <f t="shared" si="1"/>
        <v>0</v>
      </c>
      <c r="F39" s="4">
        <f t="shared" si="2"/>
        <v>0</v>
      </c>
      <c r="G39" s="4">
        <f t="shared" si="3"/>
        <v>45.932</v>
      </c>
      <c r="H39" s="4">
        <f t="shared" si="4"/>
        <v>41.6325</v>
      </c>
      <c r="I39" s="4" t="str">
        <f t="shared" si="5"/>
        <v> </v>
      </c>
    </row>
    <row r="40" ht="15.75" customHeight="1">
      <c r="A40" s="4">
        <v>2002.0</v>
      </c>
      <c r="B40" s="4">
        <v>190.0</v>
      </c>
      <c r="C40" s="4">
        <v>17.6</v>
      </c>
      <c r="D40" s="4">
        <v>22.7</v>
      </c>
      <c r="E40" s="4">
        <f t="shared" si="1"/>
        <v>1</v>
      </c>
      <c r="F40" s="4">
        <f t="shared" si="2"/>
        <v>0</v>
      </c>
      <c r="G40" s="4">
        <f t="shared" si="3"/>
        <v>45.7</v>
      </c>
      <c r="H40" s="4">
        <f t="shared" si="4"/>
        <v>42.639</v>
      </c>
      <c r="I40" s="4" t="str">
        <f t="shared" si="5"/>
        <v> </v>
      </c>
      <c r="J40" s="4">
        <v>6.6</v>
      </c>
    </row>
    <row r="41" ht="15.75" customHeight="1">
      <c r="A41" s="4">
        <v>2002.0</v>
      </c>
      <c r="B41" s="4">
        <v>191.0</v>
      </c>
      <c r="C41" s="4">
        <v>16.2</v>
      </c>
      <c r="D41" s="4">
        <v>26.5</v>
      </c>
      <c r="E41" s="4">
        <f t="shared" si="1"/>
        <v>0</v>
      </c>
      <c r="F41" s="4">
        <f t="shared" si="2"/>
        <v>0</v>
      </c>
      <c r="G41" s="4">
        <f t="shared" si="3"/>
        <v>45.468</v>
      </c>
      <c r="H41" s="4">
        <f t="shared" si="4"/>
        <v>40.7935</v>
      </c>
      <c r="I41" s="4" t="str">
        <f t="shared" si="5"/>
        <v> </v>
      </c>
    </row>
    <row r="42" ht="15.75" customHeight="1">
      <c r="A42" s="4">
        <v>2002.0</v>
      </c>
      <c r="B42" s="4">
        <v>192.0</v>
      </c>
      <c r="C42" s="4">
        <v>14.3</v>
      </c>
      <c r="D42" s="4">
        <v>26.4</v>
      </c>
      <c r="E42" s="4">
        <f t="shared" si="1"/>
        <v>1</v>
      </c>
      <c r="F42" s="4">
        <f t="shared" si="2"/>
        <v>0</v>
      </c>
      <c r="G42" s="4">
        <f t="shared" si="3"/>
        <v>46.032</v>
      </c>
      <c r="H42" s="4">
        <f t="shared" si="4"/>
        <v>41.36</v>
      </c>
      <c r="I42" s="4" t="str">
        <f t="shared" si="5"/>
        <v> </v>
      </c>
      <c r="J42" s="4">
        <v>3.5</v>
      </c>
    </row>
    <row r="43" ht="15.75" customHeight="1">
      <c r="A43" s="4">
        <v>2002.0</v>
      </c>
      <c r="B43" s="4">
        <v>193.0</v>
      </c>
      <c r="C43" s="4">
        <v>15.6</v>
      </c>
      <c r="D43" s="4">
        <v>30.3</v>
      </c>
      <c r="E43" s="4">
        <f t="shared" si="1"/>
        <v>0</v>
      </c>
      <c r="F43" s="4">
        <f t="shared" si="2"/>
        <v>0</v>
      </c>
      <c r="G43" s="4">
        <f t="shared" si="3"/>
        <v>43.48</v>
      </c>
      <c r="H43" s="4">
        <f t="shared" si="4"/>
        <v>38.635</v>
      </c>
      <c r="I43" s="4" t="str">
        <f t="shared" si="5"/>
        <v> </v>
      </c>
    </row>
    <row r="44" ht="15.75" customHeight="1">
      <c r="A44" s="4">
        <v>2002.0</v>
      </c>
      <c r="B44" s="4">
        <v>194.0</v>
      </c>
      <c r="C44" s="4">
        <v>16.3</v>
      </c>
      <c r="D44" s="4">
        <v>31.7</v>
      </c>
      <c r="E44" s="4">
        <f t="shared" si="1"/>
        <v>0</v>
      </c>
      <c r="F44" s="4">
        <f t="shared" si="2"/>
        <v>0</v>
      </c>
      <c r="G44" s="4">
        <f t="shared" si="3"/>
        <v>44.475</v>
      </c>
      <c r="H44" s="4">
        <f t="shared" si="4"/>
        <v>38.497</v>
      </c>
      <c r="I44" s="4" t="str">
        <f t="shared" si="5"/>
        <v> </v>
      </c>
    </row>
    <row r="45" ht="15.75" customHeight="1">
      <c r="A45" s="4">
        <v>2002.0</v>
      </c>
      <c r="B45" s="4">
        <v>195.0</v>
      </c>
      <c r="C45" s="4">
        <v>18.0</v>
      </c>
      <c r="D45" s="4">
        <v>29.4</v>
      </c>
      <c r="E45" s="4">
        <f t="shared" si="1"/>
        <v>0</v>
      </c>
      <c r="F45" s="4">
        <f t="shared" si="2"/>
        <v>0</v>
      </c>
      <c r="G45" s="4">
        <f t="shared" si="3"/>
        <v>40.628</v>
      </c>
      <c r="H45" s="4">
        <f t="shared" si="4"/>
        <v>35.245</v>
      </c>
      <c r="I45" s="4" t="str">
        <f t="shared" si="5"/>
        <v> </v>
      </c>
    </row>
    <row r="46" ht="15.75" customHeight="1">
      <c r="A46" s="4">
        <v>2002.0</v>
      </c>
      <c r="B46" s="4">
        <v>196.0</v>
      </c>
      <c r="C46" s="4">
        <v>14.8</v>
      </c>
      <c r="D46" s="4">
        <v>27.9</v>
      </c>
      <c r="E46" s="4">
        <f t="shared" si="1"/>
        <v>0</v>
      </c>
      <c r="F46" s="4">
        <f t="shared" si="2"/>
        <v>0</v>
      </c>
      <c r="G46" s="4">
        <f t="shared" si="3"/>
        <v>40.3</v>
      </c>
      <c r="H46" s="4">
        <f t="shared" si="4"/>
        <v>35.687</v>
      </c>
      <c r="I46" s="4" t="str">
        <f t="shared" si="5"/>
        <v> </v>
      </c>
    </row>
    <row r="47" ht="15.75" customHeight="1">
      <c r="A47" s="4">
        <v>2002.0</v>
      </c>
      <c r="B47" s="4">
        <v>197.0</v>
      </c>
      <c r="C47" s="4">
        <v>13.8</v>
      </c>
      <c r="D47" s="4">
        <v>24.9</v>
      </c>
      <c r="E47" s="4">
        <f t="shared" si="1"/>
        <v>1</v>
      </c>
      <c r="F47" s="4">
        <f t="shared" si="2"/>
        <v>0</v>
      </c>
      <c r="G47" s="4">
        <f t="shared" si="3"/>
        <v>41.563</v>
      </c>
      <c r="H47" s="4">
        <f t="shared" si="4"/>
        <v>37.303</v>
      </c>
      <c r="I47" s="4" t="str">
        <f t="shared" si="5"/>
        <v> </v>
      </c>
      <c r="J47" s="4">
        <v>0.3</v>
      </c>
    </row>
    <row r="48" ht="15.75" customHeight="1">
      <c r="A48" s="4">
        <v>2002.0</v>
      </c>
      <c r="B48" s="4">
        <v>198.0</v>
      </c>
      <c r="C48" s="4">
        <v>13.0</v>
      </c>
      <c r="D48" s="4">
        <v>25.6</v>
      </c>
      <c r="E48" s="4">
        <f t="shared" si="1"/>
        <v>0</v>
      </c>
      <c r="F48" s="4">
        <f t="shared" si="2"/>
        <v>0</v>
      </c>
      <c r="G48" s="4">
        <f t="shared" si="3"/>
        <v>41.976</v>
      </c>
      <c r="H48" s="4">
        <f t="shared" si="4"/>
        <v>36.3445</v>
      </c>
      <c r="I48" s="4" t="str">
        <f t="shared" si="5"/>
        <v> </v>
      </c>
    </row>
    <row r="49" ht="15.75" customHeight="1">
      <c r="A49" s="4">
        <v>2002.0</v>
      </c>
      <c r="B49" s="4">
        <v>199.0</v>
      </c>
      <c r="C49" s="4">
        <v>10.8</v>
      </c>
      <c r="D49" s="4">
        <v>23.6</v>
      </c>
      <c r="E49" s="4">
        <f t="shared" si="1"/>
        <v>0</v>
      </c>
      <c r="F49" s="4">
        <f t="shared" si="2"/>
        <v>0</v>
      </c>
      <c r="G49" s="4">
        <f t="shared" si="3"/>
        <v>43.741</v>
      </c>
      <c r="H49" s="4">
        <f t="shared" si="4"/>
        <v>37.626</v>
      </c>
      <c r="I49" s="4" t="str">
        <f t="shared" si="5"/>
        <v> </v>
      </c>
    </row>
    <row r="50" ht="15.75" customHeight="1">
      <c r="A50" s="4">
        <v>2002.0</v>
      </c>
      <c r="B50" s="4">
        <v>200.0</v>
      </c>
      <c r="C50" s="4">
        <v>10.0</v>
      </c>
      <c r="D50" s="4">
        <v>27.9</v>
      </c>
      <c r="E50" s="4">
        <f t="shared" si="1"/>
        <v>0</v>
      </c>
      <c r="F50" s="4">
        <f t="shared" si="2"/>
        <v>0</v>
      </c>
      <c r="G50" s="4">
        <f t="shared" si="3"/>
        <v>47.91</v>
      </c>
      <c r="H50" s="4">
        <f t="shared" si="4"/>
        <v>41.527</v>
      </c>
      <c r="I50" s="4" t="str">
        <f t="shared" si="5"/>
        <v> </v>
      </c>
    </row>
    <row r="51" ht="15.75" customHeight="1">
      <c r="A51" s="4">
        <v>2002.0</v>
      </c>
      <c r="B51" s="4">
        <v>201.0</v>
      </c>
      <c r="C51" s="4">
        <v>10.1</v>
      </c>
      <c r="D51" s="4">
        <v>30.5</v>
      </c>
      <c r="E51" s="4">
        <f t="shared" si="1"/>
        <v>0</v>
      </c>
      <c r="F51" s="4">
        <f t="shared" si="2"/>
        <v>0</v>
      </c>
      <c r="G51" s="4">
        <f t="shared" si="3"/>
        <v>49.355</v>
      </c>
      <c r="H51" s="4">
        <f t="shared" si="4"/>
        <v>44.5665</v>
      </c>
      <c r="I51" s="4" t="str">
        <f t="shared" si="5"/>
        <v> </v>
      </c>
    </row>
    <row r="52" ht="15.75" customHeight="1">
      <c r="A52" s="4">
        <v>2002.0</v>
      </c>
      <c r="B52" s="4">
        <v>202.0</v>
      </c>
      <c r="C52" s="4">
        <v>14.0</v>
      </c>
      <c r="D52" s="4">
        <v>31.9</v>
      </c>
      <c r="E52" s="4">
        <f t="shared" si="1"/>
        <v>0</v>
      </c>
      <c r="F52" s="4">
        <f t="shared" si="2"/>
        <v>0</v>
      </c>
      <c r="G52" s="4">
        <f t="shared" si="3"/>
        <v>48.207</v>
      </c>
      <c r="H52" s="4">
        <f t="shared" si="4"/>
        <v>44.3735</v>
      </c>
      <c r="I52" s="4" t="str">
        <f t="shared" si="5"/>
        <v> </v>
      </c>
    </row>
    <row r="53" ht="15.75" customHeight="1">
      <c r="A53" s="4">
        <v>2002.0</v>
      </c>
      <c r="B53" s="4">
        <v>203.0</v>
      </c>
      <c r="C53" s="4">
        <v>14.0</v>
      </c>
      <c r="D53" s="4">
        <v>32.5</v>
      </c>
      <c r="E53" s="4">
        <f t="shared" si="1"/>
        <v>0</v>
      </c>
      <c r="F53" s="4">
        <f t="shared" si="2"/>
        <v>0</v>
      </c>
      <c r="G53" s="4">
        <f t="shared" si="3"/>
        <v>49.24</v>
      </c>
      <c r="H53" s="4">
        <f t="shared" si="4"/>
        <v>44.163</v>
      </c>
      <c r="I53" s="4" t="str">
        <f t="shared" si="5"/>
        <v> </v>
      </c>
    </row>
    <row r="54" ht="15.75" customHeight="1">
      <c r="A54" s="4">
        <v>2002.0</v>
      </c>
      <c r="B54" s="4">
        <v>204.0</v>
      </c>
      <c r="C54" s="4">
        <v>15.3</v>
      </c>
      <c r="D54" s="4">
        <v>32.5</v>
      </c>
      <c r="E54" s="4">
        <f t="shared" si="1"/>
        <v>0</v>
      </c>
      <c r="F54" s="4">
        <f t="shared" si="2"/>
        <v>0</v>
      </c>
      <c r="G54" s="4">
        <f t="shared" si="3"/>
        <v>47.842</v>
      </c>
      <c r="H54" s="4">
        <f t="shared" si="4"/>
        <v>43.117</v>
      </c>
      <c r="I54" s="4" t="str">
        <f t="shared" si="5"/>
        <v> </v>
      </c>
    </row>
    <row r="55" ht="15.75" customHeight="1">
      <c r="A55" s="4">
        <v>2002.0</v>
      </c>
      <c r="B55" s="4">
        <v>205.0</v>
      </c>
      <c r="C55" s="4">
        <v>16.5</v>
      </c>
      <c r="D55" s="4">
        <v>30.2</v>
      </c>
      <c r="E55" s="4">
        <f t="shared" si="1"/>
        <v>1</v>
      </c>
      <c r="F55" s="4">
        <f t="shared" si="2"/>
        <v>0</v>
      </c>
      <c r="G55" s="4">
        <f t="shared" si="3"/>
        <v>46.975</v>
      </c>
      <c r="H55" s="4">
        <f t="shared" si="4"/>
        <v>43.8375</v>
      </c>
      <c r="I55" s="4" t="str">
        <f t="shared" si="5"/>
        <v> </v>
      </c>
      <c r="J55" s="4">
        <v>0.8</v>
      </c>
    </row>
    <row r="56" ht="15.75" customHeight="1">
      <c r="A56" s="4">
        <v>2002.0</v>
      </c>
      <c r="B56" s="4">
        <v>206.0</v>
      </c>
      <c r="C56" s="4">
        <v>18.0</v>
      </c>
      <c r="D56" s="4">
        <v>23.9</v>
      </c>
      <c r="E56" s="4">
        <f t="shared" si="1"/>
        <v>1</v>
      </c>
      <c r="F56" s="4">
        <f t="shared" si="2"/>
        <v>0</v>
      </c>
      <c r="G56" s="4">
        <f t="shared" si="3"/>
        <v>44.862</v>
      </c>
      <c r="H56" s="4">
        <f t="shared" si="4"/>
        <v>40.509</v>
      </c>
      <c r="I56" s="4" t="str">
        <f t="shared" si="5"/>
        <v> </v>
      </c>
      <c r="J56" s="4">
        <v>0.8</v>
      </c>
    </row>
    <row r="57" ht="15.75" customHeight="1">
      <c r="A57" s="4">
        <v>2002.0</v>
      </c>
      <c r="B57" s="4">
        <v>207.0</v>
      </c>
      <c r="C57" s="4">
        <v>15.2</v>
      </c>
      <c r="D57" s="4">
        <v>26.6</v>
      </c>
      <c r="E57" s="4">
        <f t="shared" si="1"/>
        <v>0</v>
      </c>
      <c r="F57" s="4">
        <f t="shared" si="2"/>
        <v>0</v>
      </c>
      <c r="G57" s="4">
        <f t="shared" si="3"/>
        <v>45.051</v>
      </c>
      <c r="H57" s="4">
        <f t="shared" si="4"/>
        <v>38.683</v>
      </c>
      <c r="I57" s="4" t="str">
        <f t="shared" si="5"/>
        <v> </v>
      </c>
    </row>
    <row r="58" ht="15.75" customHeight="1">
      <c r="A58" s="4">
        <v>2002.0</v>
      </c>
      <c r="B58" s="4">
        <v>208.0</v>
      </c>
      <c r="C58" s="4">
        <v>13.1</v>
      </c>
      <c r="D58" s="4">
        <v>28.4</v>
      </c>
      <c r="E58" s="4">
        <f t="shared" si="1"/>
        <v>0</v>
      </c>
      <c r="F58" s="4">
        <f t="shared" si="2"/>
        <v>0</v>
      </c>
      <c r="G58" s="4">
        <f t="shared" si="3"/>
        <v>47.142</v>
      </c>
      <c r="H58" s="4">
        <f t="shared" si="4"/>
        <v>40.723</v>
      </c>
      <c r="I58" s="4" t="str">
        <f t="shared" si="5"/>
        <v> </v>
      </c>
    </row>
    <row r="59" ht="15.75" customHeight="1">
      <c r="A59" s="4">
        <v>2002.0</v>
      </c>
      <c r="B59" s="4">
        <v>209.0</v>
      </c>
      <c r="C59" s="4">
        <v>13.2</v>
      </c>
      <c r="D59" s="4">
        <v>28.9</v>
      </c>
      <c r="E59" s="4">
        <f t="shared" si="1"/>
        <v>0</v>
      </c>
      <c r="F59" s="4">
        <f t="shared" si="2"/>
        <v>0</v>
      </c>
      <c r="G59" s="4">
        <f t="shared" si="3"/>
        <v>49.962</v>
      </c>
      <c r="H59" s="4">
        <f t="shared" si="4"/>
        <v>42.719</v>
      </c>
      <c r="I59" s="4" t="str">
        <f t="shared" si="5"/>
        <v> </v>
      </c>
    </row>
    <row r="60" ht="15.75" customHeight="1">
      <c r="A60" s="4">
        <v>2002.0</v>
      </c>
      <c r="B60" s="4">
        <v>210.0</v>
      </c>
      <c r="C60" s="4">
        <v>12.8</v>
      </c>
      <c r="D60" s="4">
        <v>31.1</v>
      </c>
      <c r="E60" s="4">
        <f t="shared" si="1"/>
        <v>0</v>
      </c>
      <c r="F60" s="4">
        <f t="shared" si="2"/>
        <v>0</v>
      </c>
      <c r="G60" s="4">
        <f t="shared" si="3"/>
        <v>51.498</v>
      </c>
      <c r="H60" s="4">
        <f t="shared" si="4"/>
        <v>44.531</v>
      </c>
      <c r="I60" s="4" t="str">
        <f t="shared" si="5"/>
        <v> </v>
      </c>
    </row>
    <row r="61" ht="15.75" customHeight="1">
      <c r="A61" s="4">
        <v>2002.0</v>
      </c>
      <c r="B61" s="4">
        <v>211.0</v>
      </c>
      <c r="C61" s="4">
        <v>14.6</v>
      </c>
      <c r="D61" s="4">
        <v>31.4</v>
      </c>
      <c r="E61" s="4">
        <f t="shared" si="1"/>
        <v>0</v>
      </c>
      <c r="F61" s="4">
        <f t="shared" si="2"/>
        <v>0</v>
      </c>
      <c r="G61" s="4">
        <f t="shared" si="3"/>
        <v>44.795</v>
      </c>
      <c r="H61" s="4">
        <f t="shared" si="4"/>
        <v>39.778</v>
      </c>
      <c r="I61" s="4" t="str">
        <f t="shared" si="5"/>
        <v> </v>
      </c>
    </row>
    <row r="62" ht="15.75" customHeight="1">
      <c r="A62" s="4">
        <v>2002.0</v>
      </c>
      <c r="B62" s="4">
        <v>212.0</v>
      </c>
      <c r="C62" s="4">
        <v>16.4</v>
      </c>
      <c r="D62" s="4">
        <v>31.4</v>
      </c>
      <c r="E62" s="4">
        <f t="shared" si="1"/>
        <v>0</v>
      </c>
      <c r="F62" s="4">
        <f t="shared" si="2"/>
        <v>0</v>
      </c>
      <c r="G62" s="4">
        <f t="shared" si="3"/>
        <v>45.913</v>
      </c>
      <c r="H62" s="4">
        <f t="shared" si="4"/>
        <v>40.384</v>
      </c>
      <c r="I62" s="4" t="str">
        <f t="shared" si="5"/>
        <v> </v>
      </c>
    </row>
    <row r="63" ht="15.75" customHeight="1">
      <c r="A63" s="4">
        <v>2002.0</v>
      </c>
      <c r="B63" s="4">
        <v>213.0</v>
      </c>
      <c r="C63" s="4">
        <v>15.2</v>
      </c>
      <c r="D63" s="4">
        <v>33.5</v>
      </c>
      <c r="E63" s="4">
        <f t="shared" si="1"/>
        <v>0</v>
      </c>
      <c r="F63" s="4">
        <f t="shared" si="2"/>
        <v>0</v>
      </c>
      <c r="G63" s="4">
        <f t="shared" si="3"/>
        <v>42.006</v>
      </c>
      <c r="H63" s="4">
        <f t="shared" si="4"/>
        <v>35.8385</v>
      </c>
      <c r="I63" s="4" t="str">
        <f t="shared" si="5"/>
        <v> </v>
      </c>
    </row>
    <row r="64" ht="15.75" customHeight="1">
      <c r="A64" s="4">
        <v>2002.0</v>
      </c>
      <c r="B64" s="4">
        <v>214.0</v>
      </c>
      <c r="C64" s="4">
        <v>17.6</v>
      </c>
      <c r="D64" s="4">
        <v>33.2</v>
      </c>
      <c r="E64" s="4">
        <f t="shared" si="1"/>
        <v>0</v>
      </c>
      <c r="F64" s="4">
        <f t="shared" si="2"/>
        <v>0</v>
      </c>
      <c r="G64" s="4">
        <f t="shared" si="3"/>
        <v>34.934</v>
      </c>
      <c r="H64" s="4">
        <f t="shared" si="4"/>
        <v>31.2735</v>
      </c>
      <c r="I64" s="4" t="str">
        <f t="shared" si="5"/>
        <v> </v>
      </c>
    </row>
    <row r="65" ht="15.75" customHeight="1">
      <c r="A65" s="4">
        <v>2002.0</v>
      </c>
      <c r="B65" s="4">
        <v>215.0</v>
      </c>
      <c r="C65" s="4">
        <v>14.2</v>
      </c>
      <c r="D65" s="4">
        <v>21.1</v>
      </c>
      <c r="E65" s="4">
        <f t="shared" si="1"/>
        <v>1</v>
      </c>
      <c r="F65" s="4">
        <f t="shared" si="2"/>
        <v>0</v>
      </c>
      <c r="G65" s="4">
        <f t="shared" si="3"/>
        <v>26.764</v>
      </c>
      <c r="H65" s="4">
        <f t="shared" si="4"/>
        <v>24.1205</v>
      </c>
      <c r="I65" s="4" t="str">
        <f t="shared" si="5"/>
        <v> </v>
      </c>
      <c r="J65" s="4">
        <v>9.8</v>
      </c>
    </row>
    <row r="66" ht="15.75" customHeight="1">
      <c r="A66" s="4">
        <v>2002.0</v>
      </c>
      <c r="B66" s="4">
        <v>216.0</v>
      </c>
      <c r="C66" s="4">
        <v>12.5</v>
      </c>
      <c r="D66" s="4">
        <v>24.3</v>
      </c>
      <c r="E66" s="4">
        <f t="shared" si="1"/>
        <v>0</v>
      </c>
      <c r="F66" s="4">
        <f t="shared" si="2"/>
        <v>0</v>
      </c>
      <c r="G66" s="4">
        <f t="shared" si="3"/>
        <v>24.658</v>
      </c>
      <c r="H66" s="4">
        <f t="shared" si="4"/>
        <v>19.399</v>
      </c>
      <c r="I66" s="4" t="str">
        <f t="shared" si="5"/>
        <v> </v>
      </c>
    </row>
    <row r="67" ht="15.75" customHeight="1">
      <c r="A67" s="4">
        <v>2002.0</v>
      </c>
      <c r="B67" s="4">
        <v>217.0</v>
      </c>
      <c r="C67" s="4">
        <v>9.1</v>
      </c>
      <c r="D67" s="4">
        <v>22.5</v>
      </c>
      <c r="E67" s="4">
        <f t="shared" si="1"/>
        <v>0</v>
      </c>
      <c r="F67" s="4">
        <f t="shared" si="2"/>
        <v>0</v>
      </c>
      <c r="G67" s="4">
        <f t="shared" si="3"/>
        <v>20.507</v>
      </c>
      <c r="H67" s="4">
        <f t="shared" si="4"/>
        <v>17.244</v>
      </c>
      <c r="I67" s="4" t="str">
        <f t="shared" si="5"/>
        <v> </v>
      </c>
    </row>
    <row r="68" ht="15.75" customHeight="1">
      <c r="A68" s="4">
        <v>2002.0</v>
      </c>
      <c r="B68" s="4">
        <v>218.0</v>
      </c>
      <c r="C68" s="4">
        <v>12.7</v>
      </c>
      <c r="D68" s="4">
        <v>17.4</v>
      </c>
      <c r="E68" s="4">
        <f t="shared" si="1"/>
        <v>0</v>
      </c>
      <c r="F68" s="4">
        <f t="shared" si="2"/>
        <v>0</v>
      </c>
      <c r="G68" s="4">
        <f t="shared" si="3"/>
        <v>20.813</v>
      </c>
      <c r="H68" s="4">
        <f t="shared" si="4"/>
        <v>17.1735</v>
      </c>
      <c r="I68" s="4" t="str">
        <f t="shared" si="5"/>
        <v> </v>
      </c>
    </row>
    <row r="69" ht="15.75" customHeight="1">
      <c r="A69" s="4">
        <v>2002.0</v>
      </c>
      <c r="B69" s="4">
        <v>219.0</v>
      </c>
      <c r="C69" s="4">
        <v>11.4</v>
      </c>
      <c r="D69" s="4">
        <v>18.7</v>
      </c>
      <c r="E69" s="4">
        <f t="shared" si="1"/>
        <v>0</v>
      </c>
      <c r="F69" s="4">
        <f t="shared" si="2"/>
        <v>0</v>
      </c>
      <c r="G69" s="4">
        <f t="shared" si="3"/>
        <v>26.016</v>
      </c>
      <c r="H69" s="4">
        <f t="shared" si="4"/>
        <v>23.072</v>
      </c>
      <c r="I69" s="4" t="str">
        <f t="shared" si="5"/>
        <v> </v>
      </c>
    </row>
    <row r="70" ht="15.75" customHeight="1">
      <c r="A70" s="4">
        <v>2002.0</v>
      </c>
      <c r="B70" s="4">
        <v>220.0</v>
      </c>
      <c r="C70" s="4">
        <v>11.6</v>
      </c>
      <c r="D70" s="4">
        <v>21.1</v>
      </c>
      <c r="E70" s="4">
        <f t="shared" si="1"/>
        <v>0</v>
      </c>
      <c r="F70" s="4">
        <f t="shared" si="2"/>
        <v>0</v>
      </c>
      <c r="G70" s="4">
        <f t="shared" si="3"/>
        <v>31.997</v>
      </c>
      <c r="H70" s="4">
        <f t="shared" si="4"/>
        <v>29.0725</v>
      </c>
      <c r="I70" s="4" t="str">
        <f t="shared" si="5"/>
        <v> </v>
      </c>
    </row>
    <row r="71" ht="15.75" customHeight="1">
      <c r="A71" s="4">
        <v>2002.0</v>
      </c>
      <c r="B71" s="4">
        <v>221.0</v>
      </c>
      <c r="C71" s="4">
        <v>7.9</v>
      </c>
      <c r="D71" s="4">
        <v>19.3</v>
      </c>
      <c r="E71" s="4">
        <f t="shared" si="1"/>
        <v>1</v>
      </c>
      <c r="F71" s="4">
        <f t="shared" si="2"/>
        <v>0</v>
      </c>
      <c r="G71" s="4">
        <f t="shared" si="3"/>
        <v>33.422</v>
      </c>
      <c r="H71" s="4">
        <f t="shared" si="4"/>
        <v>30.9165</v>
      </c>
      <c r="I71" s="4" t="str">
        <f t="shared" si="5"/>
        <v> </v>
      </c>
      <c r="J71" s="4">
        <v>6.0</v>
      </c>
    </row>
    <row r="72" ht="15.75" customHeight="1">
      <c r="A72" s="4">
        <v>2002.0</v>
      </c>
      <c r="B72" s="4">
        <v>222.0</v>
      </c>
      <c r="C72" s="4">
        <v>4.0</v>
      </c>
      <c r="D72" s="4">
        <v>20.6</v>
      </c>
      <c r="E72" s="4">
        <f t="shared" si="1"/>
        <v>0</v>
      </c>
      <c r="F72" s="4">
        <f t="shared" si="2"/>
        <v>0</v>
      </c>
      <c r="G72" s="4">
        <f t="shared" si="3"/>
        <v>31.796</v>
      </c>
      <c r="H72" s="4">
        <f t="shared" si="4"/>
        <v>27.3205</v>
      </c>
      <c r="I72" s="4" t="str">
        <f t="shared" si="5"/>
        <v> </v>
      </c>
    </row>
    <row r="73" ht="15.75" customHeight="1">
      <c r="A73" s="4">
        <v>2002.0</v>
      </c>
      <c r="B73" s="4">
        <v>223.0</v>
      </c>
      <c r="C73" s="4">
        <v>4.9</v>
      </c>
      <c r="D73" s="4">
        <v>25.3</v>
      </c>
      <c r="E73" s="4">
        <f t="shared" si="1"/>
        <v>0</v>
      </c>
      <c r="F73" s="4">
        <f t="shared" si="2"/>
        <v>0</v>
      </c>
      <c r="G73" s="4">
        <f t="shared" si="3"/>
        <v>34.932</v>
      </c>
      <c r="H73" s="4">
        <f t="shared" si="4"/>
        <v>29.5105</v>
      </c>
      <c r="I73" s="4" t="str">
        <f t="shared" si="5"/>
        <v> </v>
      </c>
    </row>
    <row r="74" ht="15.75" customHeight="1">
      <c r="A74" s="4">
        <v>2002.0</v>
      </c>
      <c r="B74" s="4">
        <v>224.0</v>
      </c>
      <c r="C74" s="4">
        <v>9.7</v>
      </c>
      <c r="D74" s="4">
        <v>28.1</v>
      </c>
      <c r="E74" s="4">
        <f t="shared" si="1"/>
        <v>0</v>
      </c>
      <c r="F74" s="4">
        <f t="shared" si="2"/>
        <v>0</v>
      </c>
      <c r="G74" s="4">
        <f t="shared" si="3"/>
        <v>38.432</v>
      </c>
      <c r="H74" s="4">
        <f t="shared" si="4"/>
        <v>32.106</v>
      </c>
      <c r="I74" s="4" t="str">
        <f t="shared" si="5"/>
        <v> </v>
      </c>
    </row>
    <row r="75" ht="15.75" customHeight="1">
      <c r="A75" s="4">
        <v>2002.0</v>
      </c>
      <c r="B75" s="4">
        <v>225.0</v>
      </c>
      <c r="C75" s="4">
        <v>11.5</v>
      </c>
      <c r="D75" s="4">
        <v>27.2</v>
      </c>
      <c r="E75" s="4">
        <f t="shared" si="1"/>
        <v>0</v>
      </c>
      <c r="F75" s="4">
        <f t="shared" si="2"/>
        <v>0</v>
      </c>
      <c r="G75" s="4">
        <f t="shared" si="3"/>
        <v>34.029</v>
      </c>
      <c r="H75" s="4">
        <f t="shared" si="4"/>
        <v>29.176</v>
      </c>
      <c r="I75" s="4" t="str">
        <f t="shared" si="5"/>
        <v> </v>
      </c>
    </row>
    <row r="76" ht="15.75" customHeight="1">
      <c r="A76" s="4">
        <v>2002.0</v>
      </c>
      <c r="B76" s="4">
        <v>226.0</v>
      </c>
      <c r="C76" s="4">
        <v>12.1</v>
      </c>
      <c r="D76" s="4">
        <v>26.3</v>
      </c>
      <c r="E76" s="4">
        <f t="shared" si="1"/>
        <v>0</v>
      </c>
      <c r="F76" s="4">
        <f t="shared" si="2"/>
        <v>0</v>
      </c>
      <c r="G76" s="4">
        <f t="shared" si="3"/>
        <v>30.675</v>
      </c>
      <c r="H76" s="4">
        <f t="shared" si="4"/>
        <v>25.261</v>
      </c>
      <c r="I76" s="4" t="str">
        <f t="shared" si="5"/>
        <v> </v>
      </c>
    </row>
    <row r="77" ht="15.75" customHeight="1">
      <c r="A77" s="4">
        <v>2002.0</v>
      </c>
      <c r="B77" s="4">
        <v>227.0</v>
      </c>
      <c r="C77" s="4">
        <v>10.6</v>
      </c>
      <c r="D77" s="4">
        <v>25.5</v>
      </c>
      <c r="E77" s="4">
        <f t="shared" si="1"/>
        <v>0</v>
      </c>
      <c r="F77" s="4">
        <f t="shared" si="2"/>
        <v>0</v>
      </c>
      <c r="G77" s="4">
        <f t="shared" si="3"/>
        <v>30.321</v>
      </c>
      <c r="H77" s="4">
        <f t="shared" si="4"/>
        <v>26.973</v>
      </c>
      <c r="I77" s="4" t="str">
        <f t="shared" si="5"/>
        <v> </v>
      </c>
    </row>
    <row r="78" ht="15.75" customHeight="1">
      <c r="A78" s="4">
        <v>2002.0</v>
      </c>
      <c r="B78" s="4">
        <v>228.0</v>
      </c>
      <c r="C78" s="4">
        <v>7.4</v>
      </c>
      <c r="D78" s="4">
        <v>27.2</v>
      </c>
      <c r="E78" s="4">
        <f t="shared" si="1"/>
        <v>0</v>
      </c>
      <c r="F78" s="4">
        <f t="shared" si="2"/>
        <v>0</v>
      </c>
      <c r="G78" s="4">
        <f t="shared" si="3"/>
        <v>33.871</v>
      </c>
      <c r="H78" s="4">
        <f t="shared" si="4"/>
        <v>30.14</v>
      </c>
      <c r="I78" s="4" t="str">
        <f t="shared" si="5"/>
        <v> </v>
      </c>
    </row>
    <row r="79" ht="15.75" customHeight="1">
      <c r="A79" s="4">
        <v>2002.0</v>
      </c>
      <c r="B79" s="4">
        <v>229.0</v>
      </c>
      <c r="C79" s="4">
        <v>10.8</v>
      </c>
      <c r="D79" s="4">
        <v>21.7</v>
      </c>
      <c r="E79" s="4">
        <f t="shared" si="1"/>
        <v>0</v>
      </c>
      <c r="F79" s="4">
        <f t="shared" si="2"/>
        <v>0</v>
      </c>
      <c r="G79" s="4">
        <f t="shared" si="3"/>
        <v>29.438</v>
      </c>
      <c r="H79" s="4">
        <f t="shared" si="4"/>
        <v>25.172</v>
      </c>
      <c r="I79" s="4" t="str">
        <f t="shared" si="5"/>
        <v> </v>
      </c>
    </row>
    <row r="80" ht="15.75" customHeight="1">
      <c r="A80" s="4">
        <v>2002.0</v>
      </c>
      <c r="B80" s="4">
        <v>230.0</v>
      </c>
      <c r="C80" s="4">
        <v>6.0</v>
      </c>
      <c r="D80" s="4">
        <v>18.3</v>
      </c>
      <c r="E80" s="4">
        <f t="shared" si="1"/>
        <v>0</v>
      </c>
      <c r="F80" s="4">
        <f t="shared" si="2"/>
        <v>0</v>
      </c>
      <c r="G80" s="4">
        <f t="shared" si="3"/>
        <v>21.97</v>
      </c>
      <c r="H80" s="4">
        <f t="shared" si="4"/>
        <v>20.07</v>
      </c>
      <c r="I80" s="4" t="str">
        <f t="shared" si="5"/>
        <v> </v>
      </c>
    </row>
    <row r="81" ht="15.75" customHeight="1">
      <c r="A81" s="4">
        <v>2002.0</v>
      </c>
      <c r="B81" s="4">
        <v>231.0</v>
      </c>
      <c r="C81" s="4">
        <v>5.4</v>
      </c>
      <c r="D81" s="4">
        <v>22.7</v>
      </c>
      <c r="E81" s="4">
        <f t="shared" si="1"/>
        <v>1</v>
      </c>
      <c r="F81" s="4">
        <f t="shared" si="2"/>
        <v>0</v>
      </c>
      <c r="G81" s="4">
        <f t="shared" si="3"/>
        <v>25.473</v>
      </c>
      <c r="H81" s="4">
        <f t="shared" si="4"/>
        <v>23.49</v>
      </c>
      <c r="I81" s="4" t="str">
        <f t="shared" si="5"/>
        <v> </v>
      </c>
      <c r="J81" s="4">
        <v>0.1</v>
      </c>
    </row>
    <row r="82" ht="15.75" customHeight="1">
      <c r="A82" s="4">
        <v>2002.0</v>
      </c>
      <c r="B82" s="4">
        <v>232.0</v>
      </c>
      <c r="C82" s="4">
        <v>14.8</v>
      </c>
      <c r="D82" s="4">
        <v>27.9</v>
      </c>
      <c r="E82" s="4">
        <f t="shared" si="1"/>
        <v>0</v>
      </c>
      <c r="F82" s="4">
        <f t="shared" si="2"/>
        <v>0</v>
      </c>
      <c r="G82" s="4">
        <f t="shared" si="3"/>
        <v>27.315</v>
      </c>
      <c r="H82" s="4">
        <f t="shared" si="4"/>
        <v>21.5215</v>
      </c>
      <c r="I82" s="4" t="str">
        <f t="shared" si="5"/>
        <v> </v>
      </c>
    </row>
    <row r="83" ht="15.75" customHeight="1">
      <c r="A83" s="4">
        <v>2002.0</v>
      </c>
      <c r="B83" s="4">
        <v>233.0</v>
      </c>
      <c r="C83" s="4">
        <v>11.2</v>
      </c>
      <c r="D83" s="4">
        <v>22.1</v>
      </c>
      <c r="E83" s="4">
        <f t="shared" si="1"/>
        <v>0</v>
      </c>
      <c r="F83" s="4">
        <f t="shared" si="2"/>
        <v>0</v>
      </c>
      <c r="G83" s="4">
        <f t="shared" si="3"/>
        <v>20.742</v>
      </c>
      <c r="H83" s="4">
        <f t="shared" si="4"/>
        <v>16.2935</v>
      </c>
      <c r="I83" s="4" t="str">
        <f t="shared" si="5"/>
        <v> </v>
      </c>
    </row>
    <row r="84" ht="15.75" customHeight="1">
      <c r="A84" s="4">
        <v>2002.0</v>
      </c>
      <c r="B84" s="4">
        <v>234.0</v>
      </c>
      <c r="C84" s="4">
        <v>8.6</v>
      </c>
      <c r="D84" s="4">
        <v>16.5</v>
      </c>
      <c r="E84" s="4">
        <f t="shared" si="1"/>
        <v>0</v>
      </c>
      <c r="F84" s="4">
        <f t="shared" si="2"/>
        <v>0</v>
      </c>
      <c r="G84" s="4">
        <f t="shared" si="3"/>
        <v>17.199</v>
      </c>
      <c r="H84" s="4">
        <f t="shared" si="4"/>
        <v>13.269</v>
      </c>
      <c r="I84" s="4" t="str">
        <f t="shared" si="5"/>
        <v> </v>
      </c>
    </row>
    <row r="85" ht="15.75" customHeight="1">
      <c r="A85" s="4">
        <v>2002.0</v>
      </c>
      <c r="B85" s="4">
        <v>235.0</v>
      </c>
      <c r="C85" s="4">
        <v>8.5</v>
      </c>
      <c r="D85" s="4">
        <v>18.5</v>
      </c>
      <c r="E85" s="4">
        <f t="shared" si="1"/>
        <v>0</v>
      </c>
      <c r="F85" s="4">
        <f t="shared" si="2"/>
        <v>0</v>
      </c>
      <c r="G85" s="4">
        <f t="shared" si="3"/>
        <v>21.053</v>
      </c>
      <c r="H85" s="4">
        <f t="shared" si="4"/>
        <v>16.7185</v>
      </c>
      <c r="I85" s="4" t="str">
        <f t="shared" si="5"/>
        <v> </v>
      </c>
    </row>
    <row r="86" ht="15.75" customHeight="1">
      <c r="A86" s="4">
        <v>2002.0</v>
      </c>
      <c r="B86" s="4">
        <v>236.0</v>
      </c>
      <c r="C86" s="4">
        <v>7.9</v>
      </c>
      <c r="D86" s="4">
        <v>20.5</v>
      </c>
      <c r="E86" s="4">
        <f t="shared" si="1"/>
        <v>0</v>
      </c>
      <c r="F86" s="4">
        <f t="shared" si="2"/>
        <v>0</v>
      </c>
      <c r="G86" s="4">
        <f t="shared" si="3"/>
        <v>25.754</v>
      </c>
      <c r="H86" s="4">
        <f t="shared" si="4"/>
        <v>22.024</v>
      </c>
      <c r="I86" s="4" t="str">
        <f t="shared" si="5"/>
        <v> </v>
      </c>
    </row>
    <row r="87" ht="15.75" customHeight="1">
      <c r="A87" s="4">
        <v>2002.0</v>
      </c>
      <c r="B87" s="4">
        <v>237.0</v>
      </c>
      <c r="C87" s="4">
        <v>8.0</v>
      </c>
      <c r="D87" s="4">
        <v>20.0</v>
      </c>
      <c r="E87" s="4">
        <f t="shared" si="1"/>
        <v>0</v>
      </c>
      <c r="F87" s="4">
        <f t="shared" si="2"/>
        <v>0</v>
      </c>
      <c r="G87" s="4">
        <f t="shared" si="3"/>
        <v>29.158</v>
      </c>
      <c r="H87" s="4">
        <f t="shared" si="4"/>
        <v>24.407</v>
      </c>
      <c r="I87" s="4" t="str">
        <f t="shared" si="5"/>
        <v> </v>
      </c>
    </row>
    <row r="88" ht="15.75" customHeight="1">
      <c r="A88" s="4">
        <v>2002.0</v>
      </c>
      <c r="B88" s="4">
        <v>238.0</v>
      </c>
      <c r="C88" s="4">
        <v>5.1</v>
      </c>
      <c r="D88" s="4">
        <v>19.8</v>
      </c>
      <c r="E88" s="4">
        <f t="shared" si="1"/>
        <v>0</v>
      </c>
    </row>
    <row r="89" ht="15.75" customHeight="1">
      <c r="A89" s="4">
        <v>2002.0</v>
      </c>
      <c r="B89" s="4">
        <v>239.0</v>
      </c>
      <c r="C89" s="4">
        <v>2.4</v>
      </c>
      <c r="D89" s="4">
        <v>22.5</v>
      </c>
      <c r="E89" s="4">
        <f t="shared" si="1"/>
        <v>0</v>
      </c>
    </row>
    <row r="90" ht="15.75" customHeight="1">
      <c r="A90" s="4">
        <v>2002.0</v>
      </c>
      <c r="B90" s="4">
        <v>240.0</v>
      </c>
      <c r="C90" s="4">
        <v>7.8</v>
      </c>
      <c r="D90" s="4">
        <v>26.0</v>
      </c>
      <c r="E90" s="4">
        <f t="shared" si="1"/>
        <v>0</v>
      </c>
    </row>
    <row r="91" ht="15.75" customHeight="1">
      <c r="A91" s="4">
        <v>2002.0</v>
      </c>
      <c r="B91" s="4">
        <v>241.0</v>
      </c>
      <c r="C91" s="4">
        <v>8.4</v>
      </c>
      <c r="D91" s="4">
        <v>27.1</v>
      </c>
      <c r="E91" s="4">
        <f t="shared" si="1"/>
        <v>0</v>
      </c>
    </row>
    <row r="92" ht="15.75" customHeight="1">
      <c r="A92" s="4">
        <v>2002.0</v>
      </c>
      <c r="B92" s="4">
        <v>242.0</v>
      </c>
      <c r="C92" s="4">
        <v>10.8</v>
      </c>
      <c r="D92" s="4">
        <v>28.0</v>
      </c>
      <c r="E92" s="4">
        <f t="shared" si="1"/>
        <v>0</v>
      </c>
    </row>
    <row r="93" ht="15.75" customHeight="1">
      <c r="A93" s="4">
        <v>2002.0</v>
      </c>
      <c r="B93" s="4">
        <v>243.0</v>
      </c>
      <c r="C93" s="4">
        <v>13.1</v>
      </c>
      <c r="D93" s="4">
        <v>25.5</v>
      </c>
      <c r="E93" s="4">
        <f t="shared" si="1"/>
        <v>0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2004.0</v>
      </c>
      <c r="B2" s="9">
        <v>153.0</v>
      </c>
      <c r="C2" s="4">
        <v>5.71</v>
      </c>
      <c r="D2" s="4">
        <v>15.59</v>
      </c>
      <c r="E2" s="4">
        <f t="shared" ref="E2:E93" si="1">IF(J2&gt;0,1,0)</f>
        <v>0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21.07472</v>
      </c>
      <c r="H2" s="4">
        <f t="shared" ref="H2:H87" si="4">0.63 * D2 + 0.37 * D3 + 0.49 * D4 + 0.22 * D5 + 0.65 * D6 + 0.24 *C2 - 0.06 * C3- 0.15 * C4 - 0.135 * C5 + 0.15 * C6 + 4.88 * E2 + 3.55 * E3 + 3.34 *E4 + 2.5 * E5 + 2.29 *E6-31.34</f>
        <v>18.0578</v>
      </c>
      <c r="I2" s="4" t="str">
        <f t="shared" ref="I2:I87" si="5">IF((H2-G2)&gt;0,H2-G2," ")</f>
        <v> </v>
      </c>
      <c r="J2" s="4">
        <v>0.0</v>
      </c>
      <c r="K2" s="4">
        <v>11.89</v>
      </c>
      <c r="L2" s="4">
        <f t="shared" ref="L2:L93" si="6">IF(E2&gt;0,8,3)</f>
        <v>3</v>
      </c>
      <c r="M2" s="4">
        <f t="shared" ref="M2:M87" si="7">IF(N2&gt;=0,1,0)</f>
        <v>0</v>
      </c>
      <c r="N2" s="4">
        <f t="shared" ref="N2:N87" si="8">-0.216*D2-0.191*D3-0.119*D4+0.004*C2-0.171*C3+0.628*C4-0.479*L2+0.513*L3+0.046*L4+5.947*E2+6.699*E3+4.328*E4-1.788</f>
        <v>-3.929286</v>
      </c>
      <c r="O2" s="4">
        <f t="shared" ref="O2:O93" si="9">IF(K2&gt;10,J2,0)</f>
        <v>0</v>
      </c>
      <c r="P2" s="4">
        <f t="shared" ref="P2:P93" si="10">IF(K2&gt;10,K2,0)</f>
        <v>11.89</v>
      </c>
    </row>
    <row r="3">
      <c r="A3" s="4">
        <v>2004.0</v>
      </c>
      <c r="B3" s="9">
        <v>154.0</v>
      </c>
      <c r="C3" s="4">
        <v>6.71</v>
      </c>
      <c r="D3" s="4">
        <v>18.37</v>
      </c>
      <c r="E3" s="4">
        <f t="shared" si="1"/>
        <v>0</v>
      </c>
      <c r="F3" s="4">
        <f t="shared" si="2"/>
        <v>0</v>
      </c>
      <c r="G3" s="4">
        <f t="shared" si="3"/>
        <v>23.69384</v>
      </c>
      <c r="H3" s="4">
        <f t="shared" si="4"/>
        <v>21.26207</v>
      </c>
      <c r="I3" s="4" t="str">
        <f t="shared" si="5"/>
        <v> </v>
      </c>
      <c r="J3" s="4">
        <v>0.0</v>
      </c>
      <c r="K3" s="4">
        <v>11.63</v>
      </c>
      <c r="L3" s="4">
        <f t="shared" si="6"/>
        <v>3</v>
      </c>
      <c r="M3" s="4">
        <f t="shared" si="7"/>
        <v>1</v>
      </c>
      <c r="N3" s="4">
        <f t="shared" si="8"/>
        <v>3.804482</v>
      </c>
      <c r="O3" s="4">
        <f t="shared" si="9"/>
        <v>0</v>
      </c>
      <c r="P3" s="4">
        <f t="shared" si="10"/>
        <v>11.63</v>
      </c>
    </row>
    <row r="4">
      <c r="A4" s="4">
        <v>2004.0</v>
      </c>
      <c r="B4" s="9">
        <v>155.0</v>
      </c>
      <c r="C4" s="4">
        <v>5.118</v>
      </c>
      <c r="D4" s="4">
        <v>18.09</v>
      </c>
      <c r="E4" s="4">
        <f t="shared" si="1"/>
        <v>1</v>
      </c>
      <c r="F4" s="4">
        <f t="shared" si="2"/>
        <v>0</v>
      </c>
      <c r="G4" s="4">
        <f t="shared" si="3"/>
        <v>26.0729</v>
      </c>
      <c r="H4" s="4">
        <f t="shared" si="4"/>
        <v>24.67287</v>
      </c>
      <c r="I4" s="4" t="str">
        <f t="shared" si="5"/>
        <v> </v>
      </c>
      <c r="J4" s="4">
        <v>0.1</v>
      </c>
      <c r="K4" s="4">
        <v>15.17</v>
      </c>
      <c r="L4" s="4">
        <f t="shared" si="6"/>
        <v>8</v>
      </c>
      <c r="M4" s="4">
        <f t="shared" si="7"/>
        <v>0</v>
      </c>
      <c r="N4" s="4">
        <f t="shared" si="8"/>
        <v>-4.932568</v>
      </c>
      <c r="O4" s="4">
        <f t="shared" si="9"/>
        <v>0.1</v>
      </c>
      <c r="P4" s="4">
        <f t="shared" si="10"/>
        <v>15.17</v>
      </c>
    </row>
    <row r="5">
      <c r="A5" s="4">
        <v>2004.0</v>
      </c>
      <c r="B5" s="9">
        <v>156.0</v>
      </c>
      <c r="C5" s="4">
        <v>11.28</v>
      </c>
      <c r="D5" s="4">
        <v>22.89</v>
      </c>
      <c r="E5" s="4">
        <f t="shared" si="1"/>
        <v>0</v>
      </c>
      <c r="F5" s="4">
        <f t="shared" si="2"/>
        <v>0</v>
      </c>
      <c r="G5" s="4">
        <f t="shared" si="3"/>
        <v>24.9013</v>
      </c>
      <c r="H5" s="4">
        <f t="shared" si="4"/>
        <v>20.7741</v>
      </c>
      <c r="I5" s="4" t="str">
        <f t="shared" si="5"/>
        <v> </v>
      </c>
      <c r="J5" s="4">
        <v>0.0</v>
      </c>
      <c r="K5" s="4">
        <v>16.73</v>
      </c>
      <c r="L5" s="4">
        <f t="shared" si="6"/>
        <v>3</v>
      </c>
      <c r="M5" s="4">
        <f t="shared" si="7"/>
        <v>0</v>
      </c>
      <c r="N5" s="4">
        <f t="shared" si="8"/>
        <v>-9.46488</v>
      </c>
      <c r="O5" s="4">
        <f t="shared" si="9"/>
        <v>0</v>
      </c>
      <c r="P5" s="4">
        <f t="shared" si="10"/>
        <v>16.73</v>
      </c>
    </row>
    <row r="6">
      <c r="A6" s="4">
        <v>2004.0</v>
      </c>
      <c r="B6" s="9">
        <v>157.0</v>
      </c>
      <c r="C6" s="4">
        <v>9.67</v>
      </c>
      <c r="D6" s="4">
        <v>23.71</v>
      </c>
      <c r="E6" s="4">
        <f t="shared" si="1"/>
        <v>0</v>
      </c>
      <c r="F6" s="4">
        <f t="shared" si="2"/>
        <v>0</v>
      </c>
      <c r="G6" s="4">
        <f t="shared" si="3"/>
        <v>20.8702</v>
      </c>
      <c r="H6" s="4">
        <f t="shared" si="4"/>
        <v>17.1451</v>
      </c>
      <c r="I6" s="4" t="str">
        <f t="shared" si="5"/>
        <v> </v>
      </c>
      <c r="J6" s="4">
        <v>0.0</v>
      </c>
      <c r="K6" s="4">
        <v>17.61</v>
      </c>
      <c r="L6" s="4">
        <f t="shared" si="6"/>
        <v>3</v>
      </c>
      <c r="M6" s="4">
        <f t="shared" si="7"/>
        <v>0</v>
      </c>
      <c r="N6" s="4">
        <f t="shared" si="8"/>
        <v>-7.32691</v>
      </c>
      <c r="O6" s="4">
        <f t="shared" si="9"/>
        <v>0</v>
      </c>
      <c r="P6" s="4">
        <f t="shared" si="10"/>
        <v>17.61</v>
      </c>
    </row>
    <row r="7">
      <c r="A7" s="4">
        <v>2004.0</v>
      </c>
      <c r="B7" s="9">
        <v>158.0</v>
      </c>
      <c r="C7" s="4">
        <v>9.31</v>
      </c>
      <c r="D7" s="4">
        <v>22.54</v>
      </c>
      <c r="E7" s="4">
        <f t="shared" si="1"/>
        <v>0</v>
      </c>
      <c r="F7" s="4">
        <f t="shared" si="2"/>
        <v>0</v>
      </c>
      <c r="G7" s="4">
        <f t="shared" si="3"/>
        <v>19.80008</v>
      </c>
      <c r="H7" s="4">
        <f t="shared" si="4"/>
        <v>18.0044</v>
      </c>
      <c r="I7" s="4" t="str">
        <f t="shared" si="5"/>
        <v> </v>
      </c>
      <c r="J7" s="4">
        <v>0.0</v>
      </c>
      <c r="K7" s="4">
        <v>17.29</v>
      </c>
      <c r="L7" s="4">
        <f t="shared" si="6"/>
        <v>3</v>
      </c>
      <c r="M7" s="4">
        <f t="shared" si="7"/>
        <v>0</v>
      </c>
      <c r="N7" s="4">
        <f t="shared" si="8"/>
        <v>-4.66994</v>
      </c>
      <c r="O7" s="4">
        <f t="shared" si="9"/>
        <v>0</v>
      </c>
      <c r="P7" s="4">
        <f t="shared" si="10"/>
        <v>17.29</v>
      </c>
    </row>
    <row r="8">
      <c r="A8" s="4">
        <v>2004.0</v>
      </c>
      <c r="B8" s="9">
        <v>159.0</v>
      </c>
      <c r="C8" s="4">
        <v>12.64</v>
      </c>
      <c r="D8" s="4">
        <v>23.0</v>
      </c>
      <c r="E8" s="4">
        <f t="shared" si="1"/>
        <v>0</v>
      </c>
      <c r="F8" s="4">
        <f t="shared" si="2"/>
        <v>0</v>
      </c>
      <c r="G8" s="4">
        <f t="shared" si="3"/>
        <v>24.27176</v>
      </c>
      <c r="H8" s="4">
        <f t="shared" si="4"/>
        <v>21.40647</v>
      </c>
      <c r="I8" s="4" t="str">
        <f t="shared" si="5"/>
        <v> </v>
      </c>
      <c r="J8" s="4">
        <v>0.0</v>
      </c>
      <c r="K8" s="4">
        <v>19.76</v>
      </c>
      <c r="L8" s="4">
        <f t="shared" si="6"/>
        <v>3</v>
      </c>
      <c r="M8" s="4">
        <f t="shared" si="7"/>
        <v>0</v>
      </c>
      <c r="N8" s="4">
        <f t="shared" si="8"/>
        <v>-5.25771</v>
      </c>
      <c r="O8" s="4">
        <f t="shared" si="9"/>
        <v>0</v>
      </c>
      <c r="P8" s="4">
        <f t="shared" si="10"/>
        <v>19.76</v>
      </c>
    </row>
    <row r="9">
      <c r="A9" s="4">
        <v>2004.0</v>
      </c>
      <c r="B9" s="9">
        <v>160.0</v>
      </c>
      <c r="C9" s="4">
        <v>16.46</v>
      </c>
      <c r="D9" s="4">
        <v>17.42</v>
      </c>
      <c r="E9" s="4">
        <f t="shared" si="1"/>
        <v>0</v>
      </c>
      <c r="F9" s="4">
        <f t="shared" si="2"/>
        <v>0</v>
      </c>
      <c r="G9" s="4">
        <f t="shared" si="3"/>
        <v>21.51699</v>
      </c>
      <c r="H9" s="4">
        <f t="shared" si="4"/>
        <v>20.11192</v>
      </c>
      <c r="I9" s="4" t="str">
        <f t="shared" si="5"/>
        <v> </v>
      </c>
      <c r="J9" s="4">
        <v>0.0</v>
      </c>
      <c r="K9" s="4">
        <v>13.63</v>
      </c>
      <c r="L9" s="4">
        <f t="shared" si="6"/>
        <v>3</v>
      </c>
      <c r="M9" s="4">
        <f t="shared" si="7"/>
        <v>1</v>
      </c>
      <c r="N9" s="4">
        <f t="shared" si="8"/>
        <v>6.022054</v>
      </c>
      <c r="O9" s="4">
        <f t="shared" si="9"/>
        <v>0</v>
      </c>
      <c r="P9" s="4">
        <f t="shared" si="10"/>
        <v>13.63</v>
      </c>
    </row>
    <row r="10">
      <c r="A10" s="4">
        <v>2004.0</v>
      </c>
      <c r="B10" s="9">
        <v>161.0</v>
      </c>
      <c r="C10" s="4">
        <v>7.1</v>
      </c>
      <c r="D10" s="4">
        <v>14.01</v>
      </c>
      <c r="E10" s="4">
        <f t="shared" si="1"/>
        <v>1</v>
      </c>
      <c r="F10" s="4">
        <f t="shared" si="2"/>
        <v>1</v>
      </c>
      <c r="G10" s="4">
        <f t="shared" si="3"/>
        <v>22.2061</v>
      </c>
      <c r="H10" s="4">
        <f t="shared" si="4"/>
        <v>25.895305</v>
      </c>
      <c r="I10" s="4">
        <f t="shared" si="5"/>
        <v>3.689205</v>
      </c>
      <c r="J10" s="4">
        <v>7.8</v>
      </c>
      <c r="K10" s="4">
        <v>8.55</v>
      </c>
      <c r="L10" s="4">
        <f t="shared" si="6"/>
        <v>8</v>
      </c>
      <c r="M10" s="4">
        <f t="shared" si="7"/>
        <v>1</v>
      </c>
      <c r="N10" s="4">
        <f t="shared" si="8"/>
        <v>4.542106</v>
      </c>
      <c r="O10" s="4">
        <f t="shared" si="9"/>
        <v>0</v>
      </c>
      <c r="P10" s="4">
        <f t="shared" si="10"/>
        <v>0</v>
      </c>
    </row>
    <row r="11">
      <c r="A11" s="4">
        <v>2004.0</v>
      </c>
      <c r="B11" s="9">
        <v>162.0</v>
      </c>
      <c r="C11" s="4">
        <v>5.438</v>
      </c>
      <c r="D11" s="4">
        <v>17.48</v>
      </c>
      <c r="E11" s="4">
        <f t="shared" si="1"/>
        <v>1</v>
      </c>
      <c r="F11" s="4">
        <f t="shared" si="2"/>
        <v>0</v>
      </c>
      <c r="G11" s="4">
        <f t="shared" si="3"/>
        <v>23.3068</v>
      </c>
      <c r="H11" s="4">
        <f t="shared" si="4"/>
        <v>21.75699</v>
      </c>
      <c r="I11" s="4" t="str">
        <f t="shared" si="5"/>
        <v> </v>
      </c>
      <c r="J11" s="4">
        <v>1.4</v>
      </c>
      <c r="K11" s="4">
        <v>11.38</v>
      </c>
      <c r="L11" s="4">
        <f t="shared" si="6"/>
        <v>8</v>
      </c>
      <c r="M11" s="4">
        <f t="shared" si="7"/>
        <v>0</v>
      </c>
      <c r="N11" s="4">
        <f t="shared" si="8"/>
        <v>-7.045354</v>
      </c>
      <c r="O11" s="4">
        <f t="shared" si="9"/>
        <v>1.4</v>
      </c>
      <c r="P11" s="4">
        <f t="shared" si="10"/>
        <v>11.38</v>
      </c>
    </row>
    <row r="12">
      <c r="A12" s="4">
        <v>2004.0</v>
      </c>
      <c r="B12" s="9">
        <v>163.0</v>
      </c>
      <c r="C12" s="4">
        <v>5.018</v>
      </c>
      <c r="D12" s="4">
        <v>21.94</v>
      </c>
      <c r="E12" s="4">
        <f t="shared" si="1"/>
        <v>0</v>
      </c>
      <c r="F12" s="4">
        <f t="shared" si="2"/>
        <v>0</v>
      </c>
      <c r="G12" s="4">
        <f t="shared" si="3"/>
        <v>21.31467</v>
      </c>
      <c r="H12" s="4">
        <f t="shared" si="4"/>
        <v>20.69273</v>
      </c>
      <c r="I12" s="4" t="str">
        <f t="shared" si="5"/>
        <v> </v>
      </c>
      <c r="J12" s="4">
        <v>0.0</v>
      </c>
      <c r="K12" s="4">
        <v>13.83</v>
      </c>
      <c r="L12" s="4">
        <f t="shared" si="6"/>
        <v>3</v>
      </c>
      <c r="M12" s="4">
        <f t="shared" si="7"/>
        <v>0</v>
      </c>
      <c r="N12" s="4">
        <f t="shared" si="8"/>
        <v>-0.747327</v>
      </c>
      <c r="O12" s="4">
        <f t="shared" si="9"/>
        <v>0</v>
      </c>
      <c r="P12" s="4">
        <f t="shared" si="10"/>
        <v>13.83</v>
      </c>
    </row>
    <row r="13">
      <c r="A13" s="4">
        <v>2004.0</v>
      </c>
      <c r="B13" s="9">
        <v>164.0</v>
      </c>
      <c r="C13" s="4">
        <v>3.249</v>
      </c>
      <c r="D13" s="4">
        <v>19.22</v>
      </c>
      <c r="E13" s="4">
        <f t="shared" si="1"/>
        <v>0</v>
      </c>
      <c r="F13" s="4">
        <f t="shared" si="2"/>
        <v>1</v>
      </c>
      <c r="G13" s="4">
        <f t="shared" si="3"/>
        <v>16.5903</v>
      </c>
      <c r="H13" s="4">
        <f t="shared" si="4"/>
        <v>17.28951</v>
      </c>
      <c r="I13" s="4">
        <f t="shared" si="5"/>
        <v>0.69921</v>
      </c>
      <c r="J13" s="4">
        <v>0.0</v>
      </c>
      <c r="K13" s="4">
        <v>15.48</v>
      </c>
      <c r="L13" s="4">
        <f t="shared" si="6"/>
        <v>3</v>
      </c>
      <c r="M13" s="4">
        <f t="shared" si="7"/>
        <v>1</v>
      </c>
      <c r="N13" s="4">
        <f t="shared" si="8"/>
        <v>1.633516</v>
      </c>
      <c r="O13" s="4">
        <f t="shared" si="9"/>
        <v>0</v>
      </c>
      <c r="P13" s="4">
        <f t="shared" si="10"/>
        <v>15.48</v>
      </c>
    </row>
    <row r="14">
      <c r="A14" s="4">
        <v>2004.0</v>
      </c>
      <c r="B14" s="9">
        <v>165.0</v>
      </c>
      <c r="C14" s="4">
        <v>12.4</v>
      </c>
      <c r="D14" s="4">
        <v>21.84</v>
      </c>
      <c r="E14" s="4">
        <f t="shared" si="1"/>
        <v>1</v>
      </c>
      <c r="F14" s="4">
        <f t="shared" si="2"/>
        <v>1</v>
      </c>
      <c r="G14" s="4">
        <f t="shared" si="3"/>
        <v>24.26708</v>
      </c>
      <c r="H14" s="4">
        <f t="shared" si="4"/>
        <v>25.4861</v>
      </c>
      <c r="I14" s="4">
        <f t="shared" si="5"/>
        <v>1.21902</v>
      </c>
      <c r="J14" s="4">
        <v>1.4</v>
      </c>
      <c r="K14" s="4">
        <v>16.07</v>
      </c>
      <c r="L14" s="4">
        <f t="shared" si="6"/>
        <v>8</v>
      </c>
      <c r="M14" s="4">
        <f t="shared" si="7"/>
        <v>1</v>
      </c>
      <c r="N14" s="4">
        <f t="shared" si="8"/>
        <v>1.04749</v>
      </c>
      <c r="O14" s="4">
        <f t="shared" si="9"/>
        <v>1.4</v>
      </c>
      <c r="P14" s="4">
        <f t="shared" si="10"/>
        <v>16.07</v>
      </c>
    </row>
    <row r="15">
      <c r="A15" s="4">
        <v>2004.0</v>
      </c>
      <c r="B15" s="9">
        <v>166.0</v>
      </c>
      <c r="C15" s="4">
        <v>10.41</v>
      </c>
      <c r="D15" s="4">
        <v>18.4</v>
      </c>
      <c r="E15" s="4">
        <f t="shared" si="1"/>
        <v>0</v>
      </c>
      <c r="F15" s="4">
        <f t="shared" si="2"/>
        <v>1</v>
      </c>
      <c r="G15" s="4">
        <f t="shared" si="3"/>
        <v>21.19678</v>
      </c>
      <c r="H15" s="4">
        <f t="shared" si="4"/>
        <v>22.81447</v>
      </c>
      <c r="I15" s="4">
        <f t="shared" si="5"/>
        <v>1.61769</v>
      </c>
      <c r="J15" s="4">
        <v>0.0</v>
      </c>
      <c r="K15" s="4">
        <v>13.6</v>
      </c>
      <c r="L15" s="4">
        <f t="shared" si="6"/>
        <v>3</v>
      </c>
      <c r="M15" s="4">
        <f t="shared" si="7"/>
        <v>1</v>
      </c>
      <c r="N15" s="4">
        <f t="shared" si="8"/>
        <v>7.53613</v>
      </c>
      <c r="O15" s="4">
        <f t="shared" si="9"/>
        <v>0</v>
      </c>
      <c r="P15" s="4">
        <f t="shared" si="10"/>
        <v>13.6</v>
      </c>
    </row>
    <row r="16">
      <c r="A16" s="4">
        <v>2004.0</v>
      </c>
      <c r="B16" s="9">
        <v>167.0</v>
      </c>
      <c r="C16" s="4">
        <v>10.41</v>
      </c>
      <c r="D16" s="4">
        <v>17.56</v>
      </c>
      <c r="E16" s="4">
        <f t="shared" si="1"/>
        <v>1</v>
      </c>
      <c r="F16" s="4">
        <f t="shared" si="2"/>
        <v>1</v>
      </c>
      <c r="G16" s="4">
        <f t="shared" si="3"/>
        <v>28.21742</v>
      </c>
      <c r="H16" s="4">
        <f t="shared" si="4"/>
        <v>31.19355</v>
      </c>
      <c r="I16" s="4">
        <f t="shared" si="5"/>
        <v>2.97613</v>
      </c>
      <c r="J16" s="4">
        <v>7.9</v>
      </c>
      <c r="K16" s="4">
        <v>13.35</v>
      </c>
      <c r="L16" s="4">
        <f t="shared" si="6"/>
        <v>8</v>
      </c>
      <c r="M16" s="4">
        <f t="shared" si="7"/>
        <v>1</v>
      </c>
      <c r="N16" s="4">
        <f t="shared" si="8"/>
        <v>9.517754</v>
      </c>
      <c r="O16" s="4">
        <f t="shared" si="9"/>
        <v>7.9</v>
      </c>
      <c r="P16" s="4">
        <f t="shared" si="10"/>
        <v>13.35</v>
      </c>
    </row>
    <row r="17">
      <c r="A17" s="4">
        <v>2004.0</v>
      </c>
      <c r="B17" s="9">
        <v>168.0</v>
      </c>
      <c r="C17" s="4">
        <v>9.44</v>
      </c>
      <c r="D17" s="4">
        <v>13.44</v>
      </c>
      <c r="E17" s="4">
        <f t="shared" si="1"/>
        <v>1</v>
      </c>
      <c r="F17" s="4">
        <f t="shared" si="2"/>
        <v>1</v>
      </c>
      <c r="G17" s="4">
        <f t="shared" si="3"/>
        <v>30.09574</v>
      </c>
      <c r="H17" s="4">
        <f t="shared" si="4"/>
        <v>32.28477</v>
      </c>
      <c r="I17" s="4">
        <f t="shared" si="5"/>
        <v>2.18903</v>
      </c>
      <c r="J17" s="4">
        <v>2.5</v>
      </c>
      <c r="K17" s="4">
        <v>10.4</v>
      </c>
      <c r="L17" s="4">
        <f t="shared" si="6"/>
        <v>8</v>
      </c>
      <c r="M17" s="4">
        <f t="shared" si="7"/>
        <v>1</v>
      </c>
      <c r="N17" s="4">
        <f t="shared" si="8"/>
        <v>11.503562</v>
      </c>
      <c r="O17" s="4">
        <f t="shared" si="9"/>
        <v>2.5</v>
      </c>
      <c r="P17" s="4">
        <f t="shared" si="10"/>
        <v>10.4</v>
      </c>
    </row>
    <row r="18">
      <c r="A18" s="4">
        <v>2004.0</v>
      </c>
      <c r="B18" s="9">
        <v>169.0</v>
      </c>
      <c r="C18" s="4">
        <v>5.878</v>
      </c>
      <c r="D18" s="4">
        <v>17.37</v>
      </c>
      <c r="E18" s="4">
        <f t="shared" si="1"/>
        <v>1</v>
      </c>
      <c r="F18" s="4">
        <f t="shared" si="2"/>
        <v>1</v>
      </c>
      <c r="G18" s="4">
        <f t="shared" si="3"/>
        <v>32.5258</v>
      </c>
      <c r="H18" s="4">
        <f t="shared" si="4"/>
        <v>33.03192</v>
      </c>
      <c r="I18" s="4">
        <f t="shared" si="5"/>
        <v>0.50612</v>
      </c>
      <c r="J18" s="4">
        <v>6.3</v>
      </c>
      <c r="K18" s="4">
        <v>13.81</v>
      </c>
      <c r="L18" s="4">
        <f t="shared" si="6"/>
        <v>8</v>
      </c>
      <c r="M18" s="4">
        <f t="shared" si="7"/>
        <v>1</v>
      </c>
      <c r="N18" s="4">
        <f t="shared" si="8"/>
        <v>8.492412</v>
      </c>
      <c r="O18" s="4">
        <f t="shared" si="9"/>
        <v>6.3</v>
      </c>
      <c r="P18" s="4">
        <f t="shared" si="10"/>
        <v>13.81</v>
      </c>
    </row>
    <row r="19">
      <c r="A19" s="4">
        <v>2004.0</v>
      </c>
      <c r="B19" s="9">
        <v>170.0</v>
      </c>
      <c r="C19" s="4">
        <v>8.37</v>
      </c>
      <c r="D19" s="4">
        <v>20.09</v>
      </c>
      <c r="E19" s="4">
        <f t="shared" si="1"/>
        <v>1</v>
      </c>
      <c r="F19" s="4">
        <f t="shared" si="2"/>
        <v>1</v>
      </c>
      <c r="G19" s="4">
        <f t="shared" si="3"/>
        <v>30.1115</v>
      </c>
      <c r="H19" s="4">
        <f t="shared" si="4"/>
        <v>30.57565</v>
      </c>
      <c r="I19" s="4">
        <f t="shared" si="5"/>
        <v>0.46415</v>
      </c>
      <c r="J19" s="4">
        <v>0.2</v>
      </c>
      <c r="K19" s="4">
        <v>13.88</v>
      </c>
      <c r="L19" s="4">
        <f t="shared" si="6"/>
        <v>8</v>
      </c>
      <c r="M19" s="4">
        <f t="shared" si="7"/>
        <v>1</v>
      </c>
      <c r="N19" s="4">
        <f t="shared" si="8"/>
        <v>5.19787</v>
      </c>
      <c r="O19" s="4">
        <f t="shared" si="9"/>
        <v>0.2</v>
      </c>
      <c r="P19" s="4">
        <f t="shared" si="10"/>
        <v>13.88</v>
      </c>
    </row>
    <row r="20">
      <c r="A20" s="4">
        <v>2004.0</v>
      </c>
      <c r="B20" s="9">
        <v>171.0</v>
      </c>
      <c r="C20" s="4">
        <v>7.31</v>
      </c>
      <c r="D20" s="4">
        <v>24.6</v>
      </c>
      <c r="E20" s="4">
        <f t="shared" si="1"/>
        <v>1</v>
      </c>
      <c r="F20" s="4">
        <f t="shared" si="2"/>
        <v>0</v>
      </c>
      <c r="G20" s="4">
        <f t="shared" si="3"/>
        <v>35.819</v>
      </c>
      <c r="H20" s="4">
        <f t="shared" si="4"/>
        <v>34.00595</v>
      </c>
      <c r="I20" s="4" t="str">
        <f t="shared" si="5"/>
        <v> </v>
      </c>
      <c r="J20" s="4">
        <v>10.5</v>
      </c>
      <c r="K20" s="4">
        <v>17.79</v>
      </c>
      <c r="L20" s="4">
        <f t="shared" si="6"/>
        <v>8</v>
      </c>
      <c r="M20" s="4">
        <f t="shared" si="7"/>
        <v>0</v>
      </c>
      <c r="N20" s="4">
        <f t="shared" si="8"/>
        <v>-6.7889</v>
      </c>
      <c r="O20" s="4">
        <f t="shared" si="9"/>
        <v>10.5</v>
      </c>
      <c r="P20" s="4">
        <f t="shared" si="10"/>
        <v>17.79</v>
      </c>
    </row>
    <row r="21" ht="15.75" customHeight="1">
      <c r="A21" s="4">
        <v>2004.0</v>
      </c>
      <c r="B21" s="9">
        <v>172.0</v>
      </c>
      <c r="C21" s="4">
        <v>11.84</v>
      </c>
      <c r="D21" s="4">
        <v>27.32</v>
      </c>
      <c r="E21" s="4">
        <f t="shared" si="1"/>
        <v>0</v>
      </c>
      <c r="F21" s="4">
        <f t="shared" si="2"/>
        <v>0</v>
      </c>
      <c r="G21" s="4">
        <f t="shared" si="3"/>
        <v>32.9227</v>
      </c>
      <c r="H21" s="4">
        <f t="shared" si="4"/>
        <v>27.57565</v>
      </c>
      <c r="I21" s="4" t="str">
        <f t="shared" si="5"/>
        <v> </v>
      </c>
      <c r="J21" s="4">
        <v>0.0</v>
      </c>
      <c r="K21" s="4">
        <v>20.39</v>
      </c>
      <c r="L21" s="4">
        <f t="shared" si="6"/>
        <v>3</v>
      </c>
      <c r="M21" s="4">
        <f t="shared" si="7"/>
        <v>0</v>
      </c>
      <c r="N21" s="4">
        <f t="shared" si="8"/>
        <v>-5.95248</v>
      </c>
      <c r="O21" s="4">
        <f t="shared" si="9"/>
        <v>0</v>
      </c>
      <c r="P21" s="4">
        <f t="shared" si="10"/>
        <v>20.39</v>
      </c>
    </row>
    <row r="22" ht="15.75" customHeight="1">
      <c r="A22" s="4">
        <v>2004.0</v>
      </c>
      <c r="B22" s="9">
        <v>173.0</v>
      </c>
      <c r="C22" s="4">
        <v>10.71</v>
      </c>
      <c r="D22" s="4">
        <v>25.14</v>
      </c>
      <c r="E22" s="4">
        <f t="shared" si="1"/>
        <v>0</v>
      </c>
      <c r="F22" s="4">
        <f t="shared" si="2"/>
        <v>0</v>
      </c>
      <c r="G22" s="4">
        <f t="shared" si="3"/>
        <v>31.5208</v>
      </c>
      <c r="H22" s="4">
        <f t="shared" si="4"/>
        <v>27.3662</v>
      </c>
      <c r="I22" s="4" t="str">
        <f t="shared" si="5"/>
        <v> </v>
      </c>
      <c r="J22" s="4">
        <v>0.0</v>
      </c>
      <c r="K22" s="4">
        <v>21.27</v>
      </c>
      <c r="L22" s="4">
        <f t="shared" si="6"/>
        <v>3</v>
      </c>
      <c r="M22" s="4">
        <f t="shared" si="7"/>
        <v>0</v>
      </c>
      <c r="N22" s="4">
        <f t="shared" si="8"/>
        <v>-2.86147</v>
      </c>
      <c r="O22" s="4">
        <f t="shared" si="9"/>
        <v>0</v>
      </c>
      <c r="P22" s="4">
        <f t="shared" si="10"/>
        <v>21.27</v>
      </c>
    </row>
    <row r="23" ht="15.75" customHeight="1">
      <c r="A23" s="4">
        <v>2004.0</v>
      </c>
      <c r="B23" s="9">
        <v>174.0</v>
      </c>
      <c r="C23" s="4">
        <v>16.37</v>
      </c>
      <c r="D23" s="4">
        <v>18.47</v>
      </c>
      <c r="E23" s="4">
        <f t="shared" si="1"/>
        <v>0</v>
      </c>
      <c r="F23" s="4">
        <f t="shared" si="2"/>
        <v>0</v>
      </c>
      <c r="G23" s="4">
        <f t="shared" si="3"/>
        <v>32.7585</v>
      </c>
      <c r="H23" s="4">
        <f t="shared" si="4"/>
        <v>29.09575</v>
      </c>
      <c r="I23" s="4" t="str">
        <f t="shared" si="5"/>
        <v> </v>
      </c>
      <c r="J23" s="4">
        <v>0.0</v>
      </c>
      <c r="K23" s="4">
        <v>15.86</v>
      </c>
      <c r="L23" s="4">
        <f t="shared" si="6"/>
        <v>3</v>
      </c>
      <c r="M23" s="4">
        <f t="shared" si="7"/>
        <v>1</v>
      </c>
      <c r="N23" s="4">
        <f t="shared" si="8"/>
        <v>3.5349</v>
      </c>
      <c r="O23" s="4">
        <f t="shared" si="9"/>
        <v>0</v>
      </c>
      <c r="P23" s="4">
        <f t="shared" si="10"/>
        <v>15.86</v>
      </c>
    </row>
    <row r="24" ht="15.75" customHeight="1">
      <c r="A24" s="4">
        <v>2004.0</v>
      </c>
      <c r="B24" s="9">
        <v>175.0</v>
      </c>
      <c r="C24" s="4">
        <v>14.21</v>
      </c>
      <c r="D24" s="4">
        <v>25.89</v>
      </c>
      <c r="E24" s="4">
        <f t="shared" si="1"/>
        <v>1</v>
      </c>
      <c r="F24" s="4">
        <f t="shared" si="2"/>
        <v>0</v>
      </c>
      <c r="G24" s="4">
        <f t="shared" si="3"/>
        <v>34.2685</v>
      </c>
      <c r="H24" s="4">
        <f t="shared" si="4"/>
        <v>32.34575</v>
      </c>
      <c r="I24" s="4" t="str">
        <f t="shared" si="5"/>
        <v> </v>
      </c>
      <c r="J24" s="4">
        <v>2.9</v>
      </c>
      <c r="K24" s="4">
        <v>22.2</v>
      </c>
      <c r="L24" s="4">
        <f t="shared" si="6"/>
        <v>8</v>
      </c>
      <c r="M24" s="4">
        <f t="shared" si="7"/>
        <v>0</v>
      </c>
      <c r="N24" s="4">
        <f t="shared" si="8"/>
        <v>-5.57389</v>
      </c>
      <c r="O24" s="4">
        <f t="shared" si="9"/>
        <v>2.9</v>
      </c>
      <c r="P24" s="4">
        <f t="shared" si="10"/>
        <v>22.2</v>
      </c>
    </row>
    <row r="25" ht="15.75" customHeight="1">
      <c r="A25" s="4">
        <v>2004.0</v>
      </c>
      <c r="B25" s="9">
        <v>176.0</v>
      </c>
      <c r="C25" s="4">
        <v>15.7</v>
      </c>
      <c r="D25" s="4">
        <v>23.04</v>
      </c>
      <c r="E25" s="4">
        <f t="shared" si="1"/>
        <v>0</v>
      </c>
      <c r="F25" s="4">
        <f t="shared" si="2"/>
        <v>0</v>
      </c>
      <c r="G25" s="4">
        <f t="shared" si="3"/>
        <v>31.8684</v>
      </c>
      <c r="H25" s="4">
        <f t="shared" si="4"/>
        <v>28.35765</v>
      </c>
      <c r="I25" s="4" t="str">
        <f t="shared" si="5"/>
        <v> </v>
      </c>
      <c r="J25" s="4">
        <v>0.0</v>
      </c>
      <c r="K25" s="4">
        <v>17.66</v>
      </c>
      <c r="L25" s="4">
        <f t="shared" si="6"/>
        <v>3</v>
      </c>
      <c r="M25" s="4">
        <f t="shared" si="7"/>
        <v>0</v>
      </c>
      <c r="N25" s="4">
        <f t="shared" si="8"/>
        <v>-8.04902</v>
      </c>
      <c r="O25" s="4">
        <f t="shared" si="9"/>
        <v>0</v>
      </c>
      <c r="P25" s="4">
        <f t="shared" si="10"/>
        <v>17.66</v>
      </c>
    </row>
    <row r="26" ht="15.75" customHeight="1">
      <c r="A26" s="4">
        <v>2004.0</v>
      </c>
      <c r="B26" s="9">
        <v>177.0</v>
      </c>
      <c r="C26" s="4">
        <v>12.61</v>
      </c>
      <c r="D26" s="4">
        <v>24.17</v>
      </c>
      <c r="E26" s="4">
        <f t="shared" si="1"/>
        <v>0</v>
      </c>
      <c r="F26" s="4">
        <f t="shared" si="2"/>
        <v>0</v>
      </c>
      <c r="G26" s="4">
        <f t="shared" si="3"/>
        <v>32.9027</v>
      </c>
      <c r="H26" s="4">
        <f t="shared" si="4"/>
        <v>29.8781</v>
      </c>
      <c r="I26" s="4" t="str">
        <f t="shared" si="5"/>
        <v> </v>
      </c>
      <c r="J26" s="4">
        <v>0.0</v>
      </c>
      <c r="K26" s="4">
        <v>18.36</v>
      </c>
      <c r="L26" s="4">
        <f t="shared" si="6"/>
        <v>3</v>
      </c>
      <c r="M26" s="4">
        <f t="shared" si="7"/>
        <v>0</v>
      </c>
      <c r="N26" s="4">
        <f t="shared" si="8"/>
        <v>-4.57087</v>
      </c>
      <c r="O26" s="4">
        <f t="shared" si="9"/>
        <v>0</v>
      </c>
      <c r="P26" s="4">
        <f t="shared" si="10"/>
        <v>18.36</v>
      </c>
    </row>
    <row r="27" ht="15.75" customHeight="1">
      <c r="A27" s="4">
        <v>2004.0</v>
      </c>
      <c r="B27" s="9">
        <v>178.0</v>
      </c>
      <c r="C27" s="4">
        <v>13.51</v>
      </c>
      <c r="D27" s="4">
        <v>27.72</v>
      </c>
      <c r="E27" s="4">
        <f t="shared" si="1"/>
        <v>0</v>
      </c>
      <c r="F27" s="4">
        <f t="shared" si="2"/>
        <v>0</v>
      </c>
      <c r="G27" s="4">
        <f t="shared" si="3"/>
        <v>34.4655</v>
      </c>
      <c r="H27" s="4">
        <f t="shared" si="4"/>
        <v>30.5772</v>
      </c>
      <c r="I27" s="4" t="str">
        <f t="shared" si="5"/>
        <v> </v>
      </c>
      <c r="J27" s="4">
        <v>0.0</v>
      </c>
      <c r="K27" s="4">
        <v>20.38</v>
      </c>
      <c r="L27" s="4">
        <f t="shared" si="6"/>
        <v>3</v>
      </c>
      <c r="M27" s="4">
        <f t="shared" si="7"/>
        <v>1</v>
      </c>
      <c r="N27" s="4">
        <f t="shared" si="8"/>
        <v>2.96916</v>
      </c>
      <c r="O27" s="4">
        <f t="shared" si="9"/>
        <v>0</v>
      </c>
      <c r="P27" s="4">
        <f t="shared" si="10"/>
        <v>20.38</v>
      </c>
    </row>
    <row r="28" ht="15.75" customHeight="1">
      <c r="A28" s="4">
        <v>2004.0</v>
      </c>
      <c r="B28" s="9">
        <v>179.0</v>
      </c>
      <c r="C28" s="4">
        <v>12.11</v>
      </c>
      <c r="D28" s="4">
        <v>20.26</v>
      </c>
      <c r="E28" s="4">
        <f t="shared" si="1"/>
        <v>1</v>
      </c>
      <c r="F28" s="4">
        <f t="shared" si="2"/>
        <v>0</v>
      </c>
      <c r="G28" s="4">
        <f t="shared" si="3"/>
        <v>32.9062</v>
      </c>
      <c r="H28" s="4">
        <f t="shared" si="4"/>
        <v>32.0303</v>
      </c>
      <c r="I28" s="4" t="str">
        <f t="shared" si="5"/>
        <v> </v>
      </c>
      <c r="J28" s="4">
        <v>0.1</v>
      </c>
      <c r="K28" s="4">
        <v>18.15</v>
      </c>
      <c r="L28" s="4">
        <f t="shared" si="6"/>
        <v>8</v>
      </c>
      <c r="M28" s="4">
        <f t="shared" si="7"/>
        <v>1</v>
      </c>
      <c r="N28" s="4">
        <f t="shared" si="8"/>
        <v>0.7929</v>
      </c>
      <c r="O28" s="4">
        <f t="shared" si="9"/>
        <v>0.1</v>
      </c>
      <c r="P28" s="4">
        <f t="shared" si="10"/>
        <v>18.15</v>
      </c>
    </row>
    <row r="29" ht="15.75" customHeight="1">
      <c r="A29" s="4">
        <v>2004.0</v>
      </c>
      <c r="B29" s="9">
        <v>180.0</v>
      </c>
      <c r="C29" s="4">
        <v>15.44</v>
      </c>
      <c r="D29" s="4">
        <v>21.59</v>
      </c>
      <c r="E29" s="4">
        <f t="shared" si="1"/>
        <v>0</v>
      </c>
      <c r="F29" s="4">
        <f t="shared" si="2"/>
        <v>0</v>
      </c>
      <c r="G29" s="4">
        <f t="shared" si="3"/>
        <v>29.5199</v>
      </c>
      <c r="H29" s="4">
        <f t="shared" si="4"/>
        <v>25.6587</v>
      </c>
      <c r="I29" s="4" t="str">
        <f t="shared" si="5"/>
        <v> </v>
      </c>
      <c r="J29" s="4">
        <v>0.0</v>
      </c>
      <c r="K29" s="4">
        <v>15.84</v>
      </c>
      <c r="L29" s="4">
        <f t="shared" si="6"/>
        <v>3</v>
      </c>
      <c r="M29" s="4">
        <f t="shared" si="7"/>
        <v>1</v>
      </c>
      <c r="N29" s="4">
        <f t="shared" si="8"/>
        <v>0.09707</v>
      </c>
      <c r="O29" s="4">
        <f t="shared" si="9"/>
        <v>0</v>
      </c>
      <c r="P29" s="4">
        <f t="shared" si="10"/>
        <v>15.84</v>
      </c>
    </row>
    <row r="30" ht="15.75" customHeight="1">
      <c r="A30" s="4">
        <v>2004.0</v>
      </c>
      <c r="B30" s="9">
        <v>181.0</v>
      </c>
      <c r="C30" s="4">
        <v>12.9</v>
      </c>
      <c r="D30" s="4">
        <v>23.35</v>
      </c>
      <c r="E30" s="4">
        <f t="shared" si="1"/>
        <v>1</v>
      </c>
      <c r="F30" s="4">
        <f t="shared" si="2"/>
        <v>0</v>
      </c>
      <c r="G30" s="4">
        <f t="shared" si="3"/>
        <v>28.0937</v>
      </c>
      <c r="H30" s="4">
        <f t="shared" si="4"/>
        <v>27.7027</v>
      </c>
      <c r="I30" s="4" t="str">
        <f t="shared" si="5"/>
        <v> </v>
      </c>
      <c r="J30" s="4">
        <v>2.6</v>
      </c>
      <c r="K30" s="4">
        <v>16.58</v>
      </c>
      <c r="L30" s="4">
        <f t="shared" si="6"/>
        <v>8</v>
      </c>
      <c r="M30" s="4">
        <f t="shared" si="7"/>
        <v>0</v>
      </c>
      <c r="N30" s="4">
        <f t="shared" si="8"/>
        <v>-3.24577</v>
      </c>
      <c r="O30" s="4">
        <f t="shared" si="9"/>
        <v>2.6</v>
      </c>
      <c r="P30" s="4">
        <f t="shared" si="10"/>
        <v>16.58</v>
      </c>
    </row>
    <row r="31" ht="15.75" customHeight="1">
      <c r="A31" s="4">
        <v>2004.0</v>
      </c>
      <c r="B31" s="9">
        <v>182.0</v>
      </c>
      <c r="C31" s="4">
        <v>10.24</v>
      </c>
      <c r="D31" s="4">
        <v>23.38</v>
      </c>
      <c r="E31" s="4">
        <f t="shared" si="1"/>
        <v>0</v>
      </c>
      <c r="F31" s="4">
        <f t="shared" si="2"/>
        <v>0</v>
      </c>
      <c r="G31" s="4">
        <f t="shared" si="3"/>
        <v>22.9531</v>
      </c>
      <c r="H31" s="4">
        <f t="shared" si="4"/>
        <v>21.3045</v>
      </c>
      <c r="I31" s="4" t="str">
        <f t="shared" si="5"/>
        <v> </v>
      </c>
      <c r="J31" s="4">
        <v>0.0</v>
      </c>
      <c r="K31" s="4">
        <v>20.43</v>
      </c>
      <c r="L31" s="4">
        <f t="shared" si="6"/>
        <v>3</v>
      </c>
      <c r="M31" s="4">
        <f t="shared" si="7"/>
        <v>0</v>
      </c>
      <c r="N31" s="4">
        <f t="shared" si="8"/>
        <v>-8.82972</v>
      </c>
      <c r="O31" s="4">
        <f t="shared" si="9"/>
        <v>0</v>
      </c>
      <c r="P31" s="4">
        <f t="shared" si="10"/>
        <v>20.43</v>
      </c>
    </row>
    <row r="32" ht="15.75" customHeight="1">
      <c r="A32" s="4">
        <v>2004.0</v>
      </c>
      <c r="B32" s="9">
        <v>183.0</v>
      </c>
      <c r="C32" s="4">
        <v>14.44</v>
      </c>
      <c r="D32" s="4">
        <v>26.13</v>
      </c>
      <c r="E32" s="4">
        <f t="shared" si="1"/>
        <v>0</v>
      </c>
      <c r="F32" s="4">
        <f t="shared" si="2"/>
        <v>0</v>
      </c>
      <c r="G32" s="4">
        <f t="shared" si="3"/>
        <v>27.9754</v>
      </c>
      <c r="H32" s="4">
        <f t="shared" si="4"/>
        <v>26.05575</v>
      </c>
      <c r="I32" s="4" t="str">
        <f t="shared" si="5"/>
        <v> </v>
      </c>
      <c r="J32" s="4">
        <v>0.0</v>
      </c>
      <c r="K32" s="4">
        <v>18.77</v>
      </c>
      <c r="L32" s="4">
        <f t="shared" si="6"/>
        <v>3</v>
      </c>
      <c r="M32" s="4">
        <f t="shared" si="7"/>
        <v>0</v>
      </c>
      <c r="N32" s="4">
        <f t="shared" si="8"/>
        <v>-2.67481</v>
      </c>
      <c r="O32" s="4">
        <f t="shared" si="9"/>
        <v>0</v>
      </c>
      <c r="P32" s="4">
        <f t="shared" si="10"/>
        <v>18.77</v>
      </c>
    </row>
    <row r="33" ht="15.75" customHeight="1">
      <c r="A33" s="4">
        <v>2004.0</v>
      </c>
      <c r="B33" s="9">
        <v>184.0</v>
      </c>
      <c r="C33" s="4">
        <v>11.98</v>
      </c>
      <c r="D33" s="4">
        <v>19.63</v>
      </c>
      <c r="E33" s="4">
        <f t="shared" si="1"/>
        <v>0</v>
      </c>
      <c r="F33" s="4">
        <f t="shared" si="2"/>
        <v>1</v>
      </c>
      <c r="G33" s="4">
        <f t="shared" si="3"/>
        <v>25.5701</v>
      </c>
      <c r="H33" s="4">
        <f t="shared" si="4"/>
        <v>25.6933</v>
      </c>
      <c r="I33" s="4">
        <f t="shared" si="5"/>
        <v>0.1232</v>
      </c>
      <c r="J33" s="4">
        <v>0.0</v>
      </c>
      <c r="K33" s="4">
        <v>16.29</v>
      </c>
      <c r="L33" s="4">
        <f t="shared" si="6"/>
        <v>3</v>
      </c>
      <c r="M33" s="4">
        <f t="shared" si="7"/>
        <v>1</v>
      </c>
      <c r="N33" s="4">
        <f t="shared" si="8"/>
        <v>9.84662</v>
      </c>
      <c r="O33" s="4">
        <f t="shared" si="9"/>
        <v>0</v>
      </c>
      <c r="P33" s="4">
        <f t="shared" si="10"/>
        <v>16.29</v>
      </c>
    </row>
    <row r="34" ht="15.75" customHeight="1">
      <c r="A34" s="4">
        <v>2004.0</v>
      </c>
      <c r="B34" s="9">
        <v>185.0</v>
      </c>
      <c r="C34" s="4">
        <v>12.24</v>
      </c>
      <c r="D34" s="4">
        <v>16.7</v>
      </c>
      <c r="E34" s="4">
        <f t="shared" si="1"/>
        <v>1</v>
      </c>
      <c r="F34" s="4">
        <f t="shared" si="2"/>
        <v>1</v>
      </c>
      <c r="G34" s="4">
        <f t="shared" si="3"/>
        <v>28.6731</v>
      </c>
      <c r="H34" s="4">
        <f t="shared" si="4"/>
        <v>31.8858</v>
      </c>
      <c r="I34" s="4">
        <f t="shared" si="5"/>
        <v>3.2127</v>
      </c>
      <c r="J34" s="4">
        <v>0.4</v>
      </c>
      <c r="K34" s="4">
        <v>15.21</v>
      </c>
      <c r="L34" s="4">
        <f t="shared" si="6"/>
        <v>8</v>
      </c>
      <c r="M34" s="4">
        <f t="shared" si="7"/>
        <v>1</v>
      </c>
      <c r="N34" s="4">
        <f t="shared" si="8"/>
        <v>12.02435</v>
      </c>
      <c r="O34" s="4">
        <f t="shared" si="9"/>
        <v>0.4</v>
      </c>
      <c r="P34" s="4">
        <f t="shared" si="10"/>
        <v>15.21</v>
      </c>
    </row>
    <row r="35" ht="15.75" customHeight="1">
      <c r="A35" s="4">
        <v>2004.0</v>
      </c>
      <c r="B35" s="9">
        <v>186.0</v>
      </c>
      <c r="C35" s="4">
        <v>14.11</v>
      </c>
      <c r="D35" s="4">
        <v>15.24</v>
      </c>
      <c r="E35" s="4">
        <f t="shared" si="1"/>
        <v>1</v>
      </c>
      <c r="F35" s="4">
        <f t="shared" si="2"/>
        <v>1</v>
      </c>
      <c r="G35" s="4">
        <f t="shared" si="3"/>
        <v>32.2444</v>
      </c>
      <c r="H35" s="4">
        <f t="shared" si="4"/>
        <v>34.1933</v>
      </c>
      <c r="I35" s="4">
        <f t="shared" si="5"/>
        <v>1.9489</v>
      </c>
      <c r="J35" s="4">
        <v>43.5</v>
      </c>
      <c r="K35" s="4">
        <v>13.12</v>
      </c>
      <c r="L35" s="4">
        <f t="shared" si="6"/>
        <v>8</v>
      </c>
      <c r="M35" s="4">
        <f t="shared" si="7"/>
        <v>1</v>
      </c>
      <c r="N35" s="4">
        <f t="shared" si="8"/>
        <v>9.67198</v>
      </c>
      <c r="O35" s="4">
        <f t="shared" si="9"/>
        <v>43.5</v>
      </c>
      <c r="P35" s="4">
        <f t="shared" si="10"/>
        <v>13.12</v>
      </c>
    </row>
    <row r="36" ht="15.75" customHeight="1">
      <c r="A36" s="4">
        <v>2004.0</v>
      </c>
      <c r="B36" s="9">
        <v>187.0</v>
      </c>
      <c r="C36" s="4">
        <v>11.94</v>
      </c>
      <c r="D36" s="4">
        <v>20.32</v>
      </c>
      <c r="E36" s="4">
        <f t="shared" si="1"/>
        <v>1</v>
      </c>
      <c r="F36" s="4">
        <f t="shared" si="2"/>
        <v>0</v>
      </c>
      <c r="G36" s="4">
        <f t="shared" si="3"/>
        <v>37.772</v>
      </c>
      <c r="H36" s="4">
        <f t="shared" si="4"/>
        <v>37.48765</v>
      </c>
      <c r="I36" s="4" t="str">
        <f t="shared" si="5"/>
        <v> </v>
      </c>
      <c r="J36" s="4">
        <v>27.9</v>
      </c>
      <c r="K36" s="4">
        <v>14.15</v>
      </c>
      <c r="L36" s="4">
        <f t="shared" si="6"/>
        <v>8</v>
      </c>
      <c r="M36" s="4">
        <f t="shared" si="7"/>
        <v>1</v>
      </c>
      <c r="N36" s="4">
        <f t="shared" si="8"/>
        <v>8.04235</v>
      </c>
      <c r="O36" s="4">
        <f t="shared" si="9"/>
        <v>27.9</v>
      </c>
      <c r="P36" s="4">
        <f t="shared" si="10"/>
        <v>14.15</v>
      </c>
    </row>
    <row r="37" ht="15.75" customHeight="1">
      <c r="A37" s="4">
        <v>2004.0</v>
      </c>
      <c r="B37" s="9">
        <v>188.0</v>
      </c>
      <c r="C37" s="4">
        <v>9.18</v>
      </c>
      <c r="D37" s="4">
        <v>23.2</v>
      </c>
      <c r="E37" s="4">
        <f t="shared" si="1"/>
        <v>1</v>
      </c>
      <c r="F37" s="4">
        <f t="shared" si="2"/>
        <v>0</v>
      </c>
      <c r="G37" s="4">
        <f t="shared" si="3"/>
        <v>36.6526</v>
      </c>
      <c r="H37" s="4">
        <f t="shared" si="4"/>
        <v>35.04135</v>
      </c>
      <c r="I37" s="4" t="str">
        <f t="shared" si="5"/>
        <v> </v>
      </c>
      <c r="J37" s="4">
        <v>2.1</v>
      </c>
      <c r="K37" s="4">
        <v>15.97</v>
      </c>
      <c r="L37" s="4">
        <f t="shared" si="6"/>
        <v>8</v>
      </c>
      <c r="M37" s="4">
        <f t="shared" si="7"/>
        <v>1</v>
      </c>
      <c r="N37" s="4">
        <f t="shared" si="8"/>
        <v>4.70159</v>
      </c>
      <c r="O37" s="4">
        <f t="shared" si="9"/>
        <v>2.1</v>
      </c>
      <c r="P37" s="4">
        <f t="shared" si="10"/>
        <v>15.97</v>
      </c>
    </row>
    <row r="38" ht="15.75" customHeight="1">
      <c r="A38" s="4">
        <v>2004.0</v>
      </c>
      <c r="B38" s="9">
        <v>189.0</v>
      </c>
      <c r="C38" s="4">
        <v>8.48</v>
      </c>
      <c r="D38" s="4">
        <v>23.25</v>
      </c>
      <c r="E38" s="4">
        <f t="shared" si="1"/>
        <v>1</v>
      </c>
      <c r="F38" s="4">
        <f t="shared" si="2"/>
        <v>0</v>
      </c>
      <c r="G38" s="4">
        <f t="shared" si="3"/>
        <v>35.4743</v>
      </c>
      <c r="H38" s="4">
        <f t="shared" si="4"/>
        <v>32.72885</v>
      </c>
      <c r="I38" s="4" t="str">
        <f t="shared" si="5"/>
        <v> </v>
      </c>
      <c r="J38" s="4">
        <v>2.4</v>
      </c>
      <c r="K38" s="4">
        <v>17.2</v>
      </c>
      <c r="L38" s="4">
        <f t="shared" si="6"/>
        <v>8</v>
      </c>
      <c r="M38" s="4">
        <f t="shared" si="7"/>
        <v>0</v>
      </c>
      <c r="N38" s="4">
        <f t="shared" si="8"/>
        <v>-5.63667</v>
      </c>
      <c r="O38" s="4">
        <f t="shared" si="9"/>
        <v>2.4</v>
      </c>
      <c r="P38" s="4">
        <f t="shared" si="10"/>
        <v>17.2</v>
      </c>
    </row>
    <row r="39" ht="15.75" customHeight="1">
      <c r="A39" s="4">
        <v>2004.0</v>
      </c>
      <c r="B39" s="9">
        <v>190.0</v>
      </c>
      <c r="C39" s="4">
        <v>11.45</v>
      </c>
      <c r="D39" s="4">
        <v>24.3</v>
      </c>
      <c r="E39" s="4">
        <f t="shared" si="1"/>
        <v>0</v>
      </c>
      <c r="F39" s="4">
        <f t="shared" si="2"/>
        <v>0</v>
      </c>
      <c r="G39" s="4">
        <f t="shared" si="3"/>
        <v>34.1876</v>
      </c>
      <c r="H39" s="4">
        <f t="shared" si="4"/>
        <v>29.03465</v>
      </c>
      <c r="I39" s="4" t="str">
        <f t="shared" si="5"/>
        <v> </v>
      </c>
      <c r="J39" s="4">
        <v>0.0</v>
      </c>
      <c r="K39" s="4">
        <v>18.46</v>
      </c>
      <c r="L39" s="4">
        <f t="shared" si="6"/>
        <v>3</v>
      </c>
      <c r="M39" s="4">
        <f t="shared" si="7"/>
        <v>0</v>
      </c>
      <c r="N39" s="4">
        <f t="shared" si="8"/>
        <v>-9.31991</v>
      </c>
      <c r="O39" s="4">
        <f t="shared" si="9"/>
        <v>0</v>
      </c>
      <c r="P39" s="4">
        <f t="shared" si="10"/>
        <v>18.46</v>
      </c>
    </row>
    <row r="40" ht="15.75" customHeight="1">
      <c r="A40" s="4">
        <v>2004.0</v>
      </c>
      <c r="B40" s="9">
        <v>191.0</v>
      </c>
      <c r="C40" s="4">
        <v>11.45</v>
      </c>
      <c r="D40" s="4">
        <v>27.26</v>
      </c>
      <c r="E40" s="4">
        <f t="shared" si="1"/>
        <v>0</v>
      </c>
      <c r="F40" s="4">
        <f t="shared" si="2"/>
        <v>0</v>
      </c>
      <c r="G40" s="4">
        <f t="shared" si="3"/>
        <v>37.2421</v>
      </c>
      <c r="H40" s="4">
        <f t="shared" si="4"/>
        <v>32.85575</v>
      </c>
      <c r="I40" s="4" t="str">
        <f t="shared" si="5"/>
        <v> </v>
      </c>
      <c r="J40" s="4">
        <v>0.0</v>
      </c>
      <c r="K40" s="4">
        <v>20.14</v>
      </c>
      <c r="L40" s="4">
        <f t="shared" si="6"/>
        <v>3</v>
      </c>
      <c r="M40" s="4">
        <f t="shared" si="7"/>
        <v>0</v>
      </c>
      <c r="N40" s="4">
        <f t="shared" si="8"/>
        <v>-8.75599</v>
      </c>
      <c r="O40" s="4">
        <f t="shared" si="9"/>
        <v>0</v>
      </c>
      <c r="P40" s="4">
        <f t="shared" si="10"/>
        <v>20.14</v>
      </c>
    </row>
    <row r="41" ht="15.75" customHeight="1">
      <c r="A41" s="4">
        <v>2004.0</v>
      </c>
      <c r="B41" s="9">
        <v>192.0</v>
      </c>
      <c r="C41" s="4">
        <v>12.15</v>
      </c>
      <c r="D41" s="4">
        <v>25.5</v>
      </c>
      <c r="E41" s="4">
        <f t="shared" si="1"/>
        <v>0</v>
      </c>
      <c r="F41" s="4">
        <f t="shared" si="2"/>
        <v>0</v>
      </c>
      <c r="G41" s="4">
        <f t="shared" si="3"/>
        <v>36.9283</v>
      </c>
      <c r="H41" s="4">
        <f t="shared" si="4"/>
        <v>32.84775</v>
      </c>
      <c r="I41" s="4" t="str">
        <f t="shared" si="5"/>
        <v> </v>
      </c>
      <c r="J41" s="4">
        <v>0.0</v>
      </c>
      <c r="K41" s="4">
        <v>20.28</v>
      </c>
      <c r="L41" s="4">
        <f t="shared" si="6"/>
        <v>3</v>
      </c>
      <c r="M41" s="4">
        <f t="shared" si="7"/>
        <v>0</v>
      </c>
      <c r="N41" s="4">
        <f t="shared" si="8"/>
        <v>-6.82854</v>
      </c>
      <c r="O41" s="4">
        <f t="shared" si="9"/>
        <v>0</v>
      </c>
      <c r="P41" s="4">
        <f t="shared" si="10"/>
        <v>20.28</v>
      </c>
    </row>
    <row r="42" ht="15.75" customHeight="1">
      <c r="A42" s="4">
        <v>2004.0</v>
      </c>
      <c r="B42" s="9">
        <v>193.0</v>
      </c>
      <c r="C42" s="4">
        <v>13.71</v>
      </c>
      <c r="D42" s="4">
        <v>25.44</v>
      </c>
      <c r="E42" s="4">
        <f t="shared" si="1"/>
        <v>0</v>
      </c>
      <c r="F42" s="4">
        <f t="shared" si="2"/>
        <v>0</v>
      </c>
      <c r="G42" s="4">
        <f t="shared" si="3"/>
        <v>35.7298</v>
      </c>
      <c r="H42" s="4">
        <f t="shared" si="4"/>
        <v>35.06375</v>
      </c>
      <c r="I42" s="4" t="str">
        <f t="shared" si="5"/>
        <v> </v>
      </c>
      <c r="J42" s="4">
        <v>0.0</v>
      </c>
      <c r="K42" s="4">
        <v>20.09</v>
      </c>
      <c r="L42" s="4">
        <f t="shared" si="6"/>
        <v>3</v>
      </c>
      <c r="M42" s="4">
        <f t="shared" si="7"/>
        <v>0</v>
      </c>
      <c r="N42" s="4">
        <f t="shared" si="8"/>
        <v>-3.08318</v>
      </c>
      <c r="O42" s="4">
        <f t="shared" si="9"/>
        <v>0</v>
      </c>
      <c r="P42" s="4">
        <f t="shared" si="10"/>
        <v>20.09</v>
      </c>
    </row>
    <row r="43" ht="15.75" customHeight="1">
      <c r="A43" s="4">
        <v>2004.0</v>
      </c>
      <c r="B43" s="9">
        <v>194.0</v>
      </c>
      <c r="C43" s="4">
        <v>16.43</v>
      </c>
      <c r="D43" s="4">
        <v>24.67</v>
      </c>
      <c r="E43" s="4">
        <f t="shared" si="1"/>
        <v>0</v>
      </c>
      <c r="F43" s="4">
        <f t="shared" si="2"/>
        <v>0</v>
      </c>
      <c r="G43" s="4">
        <f t="shared" si="3"/>
        <v>38.6732</v>
      </c>
      <c r="H43" s="4">
        <f t="shared" si="4"/>
        <v>38.6188</v>
      </c>
      <c r="I43" s="4" t="str">
        <f t="shared" si="5"/>
        <v> </v>
      </c>
      <c r="J43" s="4">
        <v>0.0</v>
      </c>
      <c r="K43" s="4">
        <v>19.61</v>
      </c>
      <c r="L43" s="4">
        <f t="shared" si="6"/>
        <v>3</v>
      </c>
      <c r="M43" s="4">
        <f t="shared" si="7"/>
        <v>1</v>
      </c>
      <c r="N43" s="4">
        <f t="shared" si="8"/>
        <v>3.38799</v>
      </c>
      <c r="O43" s="4">
        <f t="shared" si="9"/>
        <v>0</v>
      </c>
      <c r="P43" s="4">
        <f t="shared" si="10"/>
        <v>19.61</v>
      </c>
    </row>
    <row r="44" ht="15.75" customHeight="1">
      <c r="A44" s="4">
        <v>2004.0</v>
      </c>
      <c r="B44" s="9">
        <v>195.0</v>
      </c>
      <c r="C44" s="4">
        <v>15.97</v>
      </c>
      <c r="D44" s="4">
        <v>26.56</v>
      </c>
      <c r="E44" s="4">
        <f t="shared" si="1"/>
        <v>1</v>
      </c>
      <c r="F44" s="4">
        <f t="shared" si="2"/>
        <v>1</v>
      </c>
      <c r="G44" s="4">
        <f t="shared" si="3"/>
        <v>40.0276</v>
      </c>
      <c r="H44" s="4">
        <f t="shared" si="4"/>
        <v>41.3512</v>
      </c>
      <c r="I44" s="4">
        <f t="shared" si="5"/>
        <v>1.3236</v>
      </c>
      <c r="J44" s="4">
        <v>7.7</v>
      </c>
      <c r="K44" s="4">
        <v>19.01</v>
      </c>
      <c r="L44" s="4">
        <f t="shared" si="6"/>
        <v>8</v>
      </c>
      <c r="M44" s="4">
        <f t="shared" si="7"/>
        <v>1</v>
      </c>
      <c r="N44" s="4">
        <f t="shared" si="8"/>
        <v>10.72531</v>
      </c>
      <c r="O44" s="4">
        <f t="shared" si="9"/>
        <v>7.7</v>
      </c>
      <c r="P44" s="4">
        <f t="shared" si="10"/>
        <v>19.01</v>
      </c>
    </row>
    <row r="45" ht="15.75" customHeight="1">
      <c r="A45" s="4">
        <v>2004.0</v>
      </c>
      <c r="B45" s="9">
        <v>196.0</v>
      </c>
      <c r="C45" s="4">
        <v>11.55</v>
      </c>
      <c r="D45" s="4">
        <v>25.82</v>
      </c>
      <c r="E45" s="4">
        <f t="shared" si="1"/>
        <v>1</v>
      </c>
      <c r="F45" s="4">
        <f t="shared" si="2"/>
        <v>1</v>
      </c>
      <c r="G45" s="4">
        <f t="shared" si="3"/>
        <v>38.6842</v>
      </c>
      <c r="H45" s="4">
        <f t="shared" si="4"/>
        <v>40.3252</v>
      </c>
      <c r="I45" s="4">
        <f t="shared" si="5"/>
        <v>1.641</v>
      </c>
      <c r="J45" s="4">
        <v>15.3</v>
      </c>
      <c r="K45" s="4">
        <v>20.05</v>
      </c>
      <c r="L45" s="4">
        <f t="shared" si="6"/>
        <v>8</v>
      </c>
      <c r="M45" s="4">
        <f t="shared" si="7"/>
        <v>1</v>
      </c>
      <c r="N45" s="4">
        <f t="shared" si="8"/>
        <v>10.82031</v>
      </c>
      <c r="O45" s="4">
        <f t="shared" si="9"/>
        <v>15.3</v>
      </c>
      <c r="P45" s="4">
        <f t="shared" si="10"/>
        <v>20.05</v>
      </c>
    </row>
    <row r="46" ht="15.75" customHeight="1">
      <c r="A46" s="4">
        <v>2004.0</v>
      </c>
      <c r="B46" s="9">
        <v>197.0</v>
      </c>
      <c r="C46" s="4">
        <v>15.9</v>
      </c>
      <c r="D46" s="4">
        <v>21.06</v>
      </c>
      <c r="E46" s="4">
        <f t="shared" si="1"/>
        <v>1</v>
      </c>
      <c r="F46" s="4">
        <f t="shared" si="2"/>
        <v>0</v>
      </c>
      <c r="G46" s="4">
        <f t="shared" si="3"/>
        <v>37.7975</v>
      </c>
      <c r="H46" s="4">
        <f t="shared" si="4"/>
        <v>37.6446</v>
      </c>
      <c r="I46" s="4" t="str">
        <f t="shared" si="5"/>
        <v> </v>
      </c>
      <c r="J46" s="4">
        <v>11.3</v>
      </c>
      <c r="K46" s="4">
        <v>18.21</v>
      </c>
      <c r="L46" s="4">
        <f t="shared" si="6"/>
        <v>8</v>
      </c>
      <c r="M46" s="4">
        <f t="shared" si="7"/>
        <v>1</v>
      </c>
      <c r="N46" s="4">
        <f t="shared" si="8"/>
        <v>11.30042</v>
      </c>
      <c r="O46" s="4">
        <f t="shared" si="9"/>
        <v>11.3</v>
      </c>
      <c r="P46" s="4">
        <f t="shared" si="10"/>
        <v>18.21</v>
      </c>
    </row>
    <row r="47" ht="15.75" customHeight="1">
      <c r="A47" s="4">
        <v>2004.0</v>
      </c>
      <c r="B47" s="9">
        <v>198.0</v>
      </c>
      <c r="C47" s="4">
        <v>15.7</v>
      </c>
      <c r="D47" s="4">
        <v>21.79</v>
      </c>
      <c r="E47" s="4">
        <f t="shared" si="1"/>
        <v>1</v>
      </c>
      <c r="F47" s="4">
        <f t="shared" si="2"/>
        <v>0</v>
      </c>
      <c r="G47" s="4">
        <f t="shared" si="3"/>
        <v>37.3259</v>
      </c>
      <c r="H47" s="4">
        <f t="shared" si="4"/>
        <v>36.9531</v>
      </c>
      <c r="I47" s="4" t="str">
        <f t="shared" si="5"/>
        <v> </v>
      </c>
      <c r="J47" s="4">
        <v>0.3</v>
      </c>
      <c r="K47" s="4">
        <v>17.01</v>
      </c>
      <c r="L47" s="4">
        <f t="shared" si="6"/>
        <v>8</v>
      </c>
      <c r="M47" s="4">
        <f t="shared" si="7"/>
        <v>1</v>
      </c>
      <c r="N47" s="4">
        <f t="shared" si="8"/>
        <v>10.10248</v>
      </c>
      <c r="O47" s="4">
        <f t="shared" si="9"/>
        <v>0.3</v>
      </c>
      <c r="P47" s="4">
        <f t="shared" si="10"/>
        <v>17.01</v>
      </c>
    </row>
    <row r="48" ht="15.75" customHeight="1">
      <c r="A48" s="4">
        <v>2004.0</v>
      </c>
      <c r="B48" s="9">
        <v>199.0</v>
      </c>
      <c r="C48" s="4">
        <v>14.88</v>
      </c>
      <c r="D48" s="4">
        <v>21.33</v>
      </c>
      <c r="E48" s="4">
        <f t="shared" si="1"/>
        <v>1</v>
      </c>
      <c r="F48" s="4">
        <f t="shared" si="2"/>
        <v>0</v>
      </c>
      <c r="G48" s="4">
        <f t="shared" si="3"/>
        <v>36.4664</v>
      </c>
      <c r="H48" s="4">
        <f t="shared" si="4"/>
        <v>34.94025</v>
      </c>
      <c r="I48" s="4" t="str">
        <f t="shared" si="5"/>
        <v> </v>
      </c>
      <c r="J48" s="4">
        <v>0.4</v>
      </c>
      <c r="K48" s="4">
        <v>16.52</v>
      </c>
      <c r="L48" s="4">
        <f t="shared" si="6"/>
        <v>8</v>
      </c>
      <c r="M48" s="4">
        <f t="shared" si="7"/>
        <v>1</v>
      </c>
      <c r="N48" s="4">
        <f t="shared" si="8"/>
        <v>3.91682</v>
      </c>
      <c r="O48" s="4">
        <f t="shared" si="9"/>
        <v>0.4</v>
      </c>
      <c r="P48" s="4">
        <f t="shared" si="10"/>
        <v>16.52</v>
      </c>
    </row>
    <row r="49" ht="15.75" customHeight="1">
      <c r="A49" s="4">
        <v>2004.0</v>
      </c>
      <c r="B49" s="9">
        <v>200.0</v>
      </c>
      <c r="C49" s="4">
        <v>13.54</v>
      </c>
      <c r="D49" s="4">
        <v>24.91</v>
      </c>
      <c r="E49" s="4">
        <f t="shared" si="1"/>
        <v>1</v>
      </c>
      <c r="F49" s="4">
        <f t="shared" si="2"/>
        <v>0</v>
      </c>
      <c r="G49" s="4">
        <f t="shared" si="3"/>
        <v>39.4807</v>
      </c>
      <c r="H49" s="4">
        <f t="shared" si="4"/>
        <v>36.4689</v>
      </c>
      <c r="I49" s="4" t="str">
        <f t="shared" si="5"/>
        <v> </v>
      </c>
      <c r="J49" s="4">
        <v>0.8</v>
      </c>
      <c r="K49" s="4">
        <v>18.46</v>
      </c>
      <c r="L49" s="4">
        <f t="shared" si="6"/>
        <v>8</v>
      </c>
      <c r="M49" s="4">
        <f t="shared" si="7"/>
        <v>0</v>
      </c>
      <c r="N49" s="4">
        <f t="shared" si="8"/>
        <v>-6.44574</v>
      </c>
      <c r="O49" s="4">
        <f t="shared" si="9"/>
        <v>0.8</v>
      </c>
      <c r="P49" s="4">
        <f t="shared" si="10"/>
        <v>18.46</v>
      </c>
    </row>
    <row r="50" ht="15.75" customHeight="1">
      <c r="A50" s="4">
        <v>2004.0</v>
      </c>
      <c r="B50" s="9">
        <v>201.0</v>
      </c>
      <c r="C50" s="4">
        <v>11.72</v>
      </c>
      <c r="D50" s="4">
        <v>25.97</v>
      </c>
      <c r="E50" s="4">
        <f t="shared" si="1"/>
        <v>0</v>
      </c>
      <c r="F50" s="4">
        <f t="shared" si="2"/>
        <v>0</v>
      </c>
      <c r="G50" s="4">
        <f t="shared" si="3"/>
        <v>37.7966</v>
      </c>
      <c r="H50" s="4">
        <f t="shared" si="4"/>
        <v>33.46835</v>
      </c>
      <c r="I50" s="4" t="str">
        <f t="shared" si="5"/>
        <v> </v>
      </c>
      <c r="J50" s="4">
        <v>0.0</v>
      </c>
      <c r="K50" s="4">
        <v>18.82</v>
      </c>
      <c r="L50" s="4">
        <f t="shared" si="6"/>
        <v>3</v>
      </c>
      <c r="M50" s="4">
        <f t="shared" si="7"/>
        <v>0</v>
      </c>
      <c r="N50" s="4">
        <f t="shared" si="8"/>
        <v>-10.12595</v>
      </c>
      <c r="O50" s="4">
        <f t="shared" si="9"/>
        <v>0</v>
      </c>
      <c r="P50" s="4">
        <f t="shared" si="10"/>
        <v>18.82</v>
      </c>
    </row>
    <row r="51" ht="15.75" customHeight="1">
      <c r="A51" s="4">
        <v>2004.0</v>
      </c>
      <c r="B51" s="9">
        <v>202.0</v>
      </c>
      <c r="C51" s="4">
        <v>10.81</v>
      </c>
      <c r="D51" s="4">
        <v>24.77</v>
      </c>
      <c r="E51" s="4">
        <f t="shared" si="1"/>
        <v>0</v>
      </c>
      <c r="F51" s="4">
        <f t="shared" si="2"/>
        <v>0</v>
      </c>
      <c r="G51" s="4">
        <f t="shared" si="3"/>
        <v>37.6808</v>
      </c>
      <c r="H51" s="4">
        <f t="shared" si="4"/>
        <v>34.3969</v>
      </c>
      <c r="I51" s="4" t="str">
        <f t="shared" si="5"/>
        <v> </v>
      </c>
      <c r="J51" s="4">
        <v>0.0</v>
      </c>
      <c r="K51" s="4">
        <v>17.92</v>
      </c>
      <c r="L51" s="4">
        <f t="shared" si="6"/>
        <v>3</v>
      </c>
      <c r="M51" s="4">
        <f t="shared" si="7"/>
        <v>0</v>
      </c>
      <c r="N51" s="4">
        <f t="shared" si="8"/>
        <v>-6.55923</v>
      </c>
      <c r="O51" s="4">
        <f t="shared" si="9"/>
        <v>0</v>
      </c>
      <c r="P51" s="4">
        <f t="shared" si="10"/>
        <v>17.92</v>
      </c>
    </row>
    <row r="52" ht="15.75" customHeight="1">
      <c r="A52" s="4">
        <v>2004.0</v>
      </c>
      <c r="B52" s="9">
        <v>203.0</v>
      </c>
      <c r="C52" s="4">
        <v>10.32</v>
      </c>
      <c r="D52" s="4">
        <v>24.51</v>
      </c>
      <c r="E52" s="4">
        <f t="shared" si="1"/>
        <v>0</v>
      </c>
      <c r="F52" s="4">
        <f t="shared" si="2"/>
        <v>0</v>
      </c>
      <c r="G52" s="4">
        <f t="shared" si="3"/>
        <v>39.914</v>
      </c>
      <c r="H52" s="4">
        <f t="shared" si="4"/>
        <v>37.95525</v>
      </c>
      <c r="I52" s="4" t="str">
        <f t="shared" si="5"/>
        <v> </v>
      </c>
      <c r="J52" s="4">
        <v>0.0</v>
      </c>
      <c r="K52" s="4">
        <v>19.2</v>
      </c>
      <c r="L52" s="4">
        <f t="shared" si="6"/>
        <v>3</v>
      </c>
      <c r="M52" s="4">
        <f t="shared" si="7"/>
        <v>0</v>
      </c>
      <c r="N52" s="4">
        <f t="shared" si="8"/>
        <v>-2.77836</v>
      </c>
      <c r="O52" s="4">
        <f t="shared" si="9"/>
        <v>0</v>
      </c>
      <c r="P52" s="4">
        <f t="shared" si="10"/>
        <v>19.2</v>
      </c>
    </row>
    <row r="53" ht="15.75" customHeight="1">
      <c r="A53" s="4">
        <v>2004.0</v>
      </c>
      <c r="B53" s="9">
        <v>204.0</v>
      </c>
      <c r="C53" s="4">
        <v>16.03</v>
      </c>
      <c r="D53" s="4">
        <v>27.94</v>
      </c>
      <c r="E53" s="4">
        <f t="shared" si="1"/>
        <v>0</v>
      </c>
      <c r="F53" s="4">
        <f t="shared" si="2"/>
        <v>0</v>
      </c>
      <c r="G53" s="4">
        <f t="shared" si="3"/>
        <v>46.2164</v>
      </c>
      <c r="H53" s="4">
        <f t="shared" si="4"/>
        <v>45.0183</v>
      </c>
      <c r="I53" s="4" t="str">
        <f t="shared" si="5"/>
        <v> </v>
      </c>
      <c r="J53" s="4">
        <v>0.0</v>
      </c>
      <c r="K53" s="4">
        <v>21.16</v>
      </c>
      <c r="L53" s="4">
        <f t="shared" si="6"/>
        <v>3</v>
      </c>
      <c r="M53" s="4">
        <f t="shared" si="7"/>
        <v>1</v>
      </c>
      <c r="N53" s="4">
        <f t="shared" si="8"/>
        <v>5.2599</v>
      </c>
      <c r="O53" s="4">
        <f t="shared" si="9"/>
        <v>0</v>
      </c>
      <c r="P53" s="4">
        <f t="shared" si="10"/>
        <v>21.16</v>
      </c>
    </row>
    <row r="54" ht="15.75" customHeight="1">
      <c r="A54" s="4">
        <v>2004.0</v>
      </c>
      <c r="B54" s="9">
        <v>205.0</v>
      </c>
      <c r="C54" s="4">
        <v>17.2</v>
      </c>
      <c r="D54" s="4">
        <v>27.39</v>
      </c>
      <c r="E54" s="4">
        <f t="shared" si="1"/>
        <v>1</v>
      </c>
      <c r="F54" s="4">
        <f t="shared" si="2"/>
        <v>1</v>
      </c>
      <c r="G54" s="4">
        <f t="shared" si="3"/>
        <v>51.4292</v>
      </c>
      <c r="H54" s="4">
        <f t="shared" si="4"/>
        <v>52.27525</v>
      </c>
      <c r="I54" s="4">
        <f t="shared" si="5"/>
        <v>0.84605</v>
      </c>
      <c r="J54" s="4">
        <v>5.9</v>
      </c>
      <c r="K54" s="4">
        <v>21.14</v>
      </c>
      <c r="L54" s="4">
        <f t="shared" si="6"/>
        <v>8</v>
      </c>
      <c r="M54" s="4">
        <f t="shared" si="7"/>
        <v>1</v>
      </c>
      <c r="N54" s="4">
        <f t="shared" si="8"/>
        <v>8.48555</v>
      </c>
      <c r="O54" s="4">
        <f t="shared" si="9"/>
        <v>5.9</v>
      </c>
      <c r="P54" s="4">
        <f t="shared" si="10"/>
        <v>21.14</v>
      </c>
    </row>
    <row r="55" ht="15.75" customHeight="1">
      <c r="A55" s="4">
        <v>2004.0</v>
      </c>
      <c r="B55" s="9">
        <v>206.0</v>
      </c>
      <c r="C55" s="4">
        <v>16.27</v>
      </c>
      <c r="D55" s="4">
        <v>25.95</v>
      </c>
      <c r="E55" s="4">
        <f t="shared" si="1"/>
        <v>1</v>
      </c>
      <c r="F55" s="4">
        <f t="shared" si="2"/>
        <v>0</v>
      </c>
      <c r="G55" s="4">
        <f t="shared" si="3"/>
        <v>50.5244</v>
      </c>
      <c r="H55" s="4">
        <f t="shared" si="4"/>
        <v>49.6</v>
      </c>
      <c r="I55" s="4" t="str">
        <f t="shared" si="5"/>
        <v> </v>
      </c>
      <c r="J55" s="4">
        <v>0.1</v>
      </c>
      <c r="K55" s="4">
        <v>20.33</v>
      </c>
      <c r="L55" s="4">
        <f t="shared" si="6"/>
        <v>8</v>
      </c>
      <c r="M55" s="4">
        <f t="shared" si="7"/>
        <v>1</v>
      </c>
      <c r="N55" s="4">
        <f t="shared" si="8"/>
        <v>8.33611</v>
      </c>
      <c r="O55" s="4">
        <f t="shared" si="9"/>
        <v>0.1</v>
      </c>
      <c r="P55" s="4">
        <f t="shared" si="10"/>
        <v>20.33</v>
      </c>
    </row>
    <row r="56" ht="15.75" customHeight="1">
      <c r="A56" s="4">
        <v>2004.0</v>
      </c>
      <c r="B56" s="9">
        <v>207.0</v>
      </c>
      <c r="C56" s="4">
        <v>14.98</v>
      </c>
      <c r="D56" s="4">
        <v>26.57</v>
      </c>
      <c r="E56" s="4">
        <f t="shared" si="1"/>
        <v>1</v>
      </c>
      <c r="F56" s="4">
        <f t="shared" si="2"/>
        <v>1</v>
      </c>
      <c r="G56" s="4">
        <f t="shared" si="3"/>
        <v>50.4411</v>
      </c>
      <c r="H56" s="4">
        <f t="shared" si="4"/>
        <v>51.2775</v>
      </c>
      <c r="I56" s="4">
        <f t="shared" si="5"/>
        <v>0.8364</v>
      </c>
      <c r="J56" s="4">
        <v>0.4</v>
      </c>
      <c r="K56" s="4">
        <v>19.77</v>
      </c>
      <c r="L56" s="4">
        <f t="shared" si="6"/>
        <v>8</v>
      </c>
      <c r="M56" s="4">
        <f t="shared" si="7"/>
        <v>1</v>
      </c>
      <c r="N56" s="4">
        <f t="shared" si="8"/>
        <v>8.42445</v>
      </c>
      <c r="O56" s="4">
        <f t="shared" si="9"/>
        <v>0.4</v>
      </c>
      <c r="P56" s="4">
        <f t="shared" si="10"/>
        <v>19.77</v>
      </c>
    </row>
    <row r="57" ht="15.75" customHeight="1">
      <c r="A57" s="4">
        <v>2004.0</v>
      </c>
      <c r="B57" s="9">
        <v>208.0</v>
      </c>
      <c r="C57" s="4">
        <v>14.27</v>
      </c>
      <c r="D57" s="4">
        <v>27.52</v>
      </c>
      <c r="E57" s="4">
        <f t="shared" si="1"/>
        <v>1</v>
      </c>
      <c r="F57" s="4">
        <f t="shared" si="2"/>
        <v>0</v>
      </c>
      <c r="G57" s="4">
        <f t="shared" si="3"/>
        <v>50.1217</v>
      </c>
      <c r="H57" s="4">
        <f t="shared" si="4"/>
        <v>47.55245</v>
      </c>
      <c r="I57" s="4" t="str">
        <f t="shared" si="5"/>
        <v> </v>
      </c>
      <c r="J57" s="4">
        <v>3.6</v>
      </c>
      <c r="K57" s="4">
        <v>20.75</v>
      </c>
      <c r="L57" s="4">
        <f t="shared" si="6"/>
        <v>8</v>
      </c>
      <c r="M57" s="4">
        <f t="shared" si="7"/>
        <v>1</v>
      </c>
      <c r="N57" s="4">
        <f t="shared" si="8"/>
        <v>2.98678</v>
      </c>
      <c r="O57" s="4">
        <f t="shared" si="9"/>
        <v>3.6</v>
      </c>
      <c r="P57" s="4">
        <f t="shared" si="10"/>
        <v>20.75</v>
      </c>
    </row>
    <row r="58" ht="15.75" customHeight="1">
      <c r="A58" s="4">
        <v>2004.0</v>
      </c>
      <c r="B58" s="9">
        <v>209.0</v>
      </c>
      <c r="C58" s="4">
        <v>15.3</v>
      </c>
      <c r="D58" s="4">
        <v>30.54</v>
      </c>
      <c r="E58" s="4">
        <f t="shared" si="1"/>
        <v>1</v>
      </c>
      <c r="F58" s="4">
        <f t="shared" si="2"/>
        <v>0</v>
      </c>
      <c r="G58" s="4">
        <f t="shared" si="3"/>
        <v>49.3372</v>
      </c>
      <c r="H58" s="4">
        <f t="shared" si="4"/>
        <v>47.7893</v>
      </c>
      <c r="I58" s="4" t="str">
        <f t="shared" si="5"/>
        <v> </v>
      </c>
      <c r="J58" s="4">
        <v>0.3</v>
      </c>
      <c r="K58" s="4">
        <v>22.84</v>
      </c>
      <c r="L58" s="4">
        <f t="shared" si="6"/>
        <v>8</v>
      </c>
      <c r="M58" s="4">
        <f t="shared" si="7"/>
        <v>0</v>
      </c>
      <c r="N58" s="4">
        <f t="shared" si="8"/>
        <v>-0.26107</v>
      </c>
      <c r="O58" s="4">
        <f t="shared" si="9"/>
        <v>0.3</v>
      </c>
      <c r="P58" s="4">
        <f t="shared" si="10"/>
        <v>22.84</v>
      </c>
    </row>
    <row r="59" ht="15.75" customHeight="1">
      <c r="A59" s="4">
        <v>2004.0</v>
      </c>
      <c r="B59" s="9">
        <v>210.0</v>
      </c>
      <c r="C59" s="4">
        <v>15.24</v>
      </c>
      <c r="D59" s="4">
        <v>29.54</v>
      </c>
      <c r="E59" s="4">
        <f t="shared" si="1"/>
        <v>0</v>
      </c>
      <c r="F59" s="4">
        <f t="shared" si="2"/>
        <v>0</v>
      </c>
      <c r="G59" s="4">
        <f t="shared" si="3"/>
        <v>46.2148</v>
      </c>
      <c r="H59" s="4">
        <f t="shared" si="4"/>
        <v>44.0122</v>
      </c>
      <c r="I59" s="4" t="str">
        <f t="shared" si="5"/>
        <v> </v>
      </c>
      <c r="J59" s="4">
        <v>0.0</v>
      </c>
      <c r="K59" s="4">
        <v>21.63</v>
      </c>
      <c r="L59" s="4">
        <f t="shared" si="6"/>
        <v>3</v>
      </c>
      <c r="M59" s="4">
        <f t="shared" si="7"/>
        <v>0</v>
      </c>
      <c r="N59" s="4">
        <f t="shared" si="8"/>
        <v>-0.45369</v>
      </c>
      <c r="O59" s="4">
        <f t="shared" si="9"/>
        <v>0</v>
      </c>
      <c r="P59" s="4">
        <f t="shared" si="10"/>
        <v>21.63</v>
      </c>
    </row>
    <row r="60" ht="15.75" customHeight="1">
      <c r="A60" s="4">
        <v>2004.0</v>
      </c>
      <c r="B60" s="9">
        <v>211.0</v>
      </c>
      <c r="C60" s="4">
        <v>18.23</v>
      </c>
      <c r="D60" s="4">
        <v>29.31</v>
      </c>
      <c r="E60" s="4">
        <f t="shared" si="1"/>
        <v>1</v>
      </c>
      <c r="F60" s="4">
        <f t="shared" si="2"/>
        <v>0</v>
      </c>
      <c r="G60" s="4">
        <f t="shared" si="3"/>
        <v>48.7309</v>
      </c>
      <c r="H60" s="4">
        <f t="shared" si="4"/>
        <v>45.6035</v>
      </c>
      <c r="I60" s="4" t="str">
        <f t="shared" si="5"/>
        <v> </v>
      </c>
      <c r="J60" s="4">
        <v>16.2</v>
      </c>
      <c r="K60" s="4">
        <v>21.17</v>
      </c>
      <c r="L60" s="4">
        <f t="shared" si="6"/>
        <v>8</v>
      </c>
      <c r="M60" s="4">
        <f t="shared" si="7"/>
        <v>0</v>
      </c>
      <c r="N60" s="4">
        <f t="shared" si="8"/>
        <v>-0.75226</v>
      </c>
      <c r="O60" s="4">
        <f t="shared" si="9"/>
        <v>16.2</v>
      </c>
      <c r="P60" s="4">
        <f t="shared" si="10"/>
        <v>21.17</v>
      </c>
    </row>
    <row r="61" ht="15.75" customHeight="1">
      <c r="A61" s="4">
        <v>2004.0</v>
      </c>
      <c r="B61" s="9">
        <v>212.0</v>
      </c>
      <c r="C61" s="4">
        <v>16.24</v>
      </c>
      <c r="D61" s="4">
        <v>28.01</v>
      </c>
      <c r="E61" s="4">
        <f t="shared" si="1"/>
        <v>0</v>
      </c>
      <c r="F61" s="4">
        <f t="shared" si="2"/>
        <v>0</v>
      </c>
      <c r="G61" s="4">
        <f t="shared" si="3"/>
        <v>43.1274</v>
      </c>
      <c r="H61" s="4">
        <f t="shared" si="4"/>
        <v>39.2139</v>
      </c>
      <c r="I61" s="4" t="str">
        <f t="shared" si="5"/>
        <v> </v>
      </c>
      <c r="J61" s="4">
        <v>0.0</v>
      </c>
      <c r="K61" s="4">
        <v>22.08</v>
      </c>
      <c r="L61" s="4">
        <f t="shared" si="6"/>
        <v>3</v>
      </c>
      <c r="M61" s="4">
        <f t="shared" si="7"/>
        <v>1</v>
      </c>
      <c r="N61" s="4">
        <f t="shared" si="8"/>
        <v>6.84177</v>
      </c>
      <c r="O61" s="4">
        <f t="shared" si="9"/>
        <v>0</v>
      </c>
      <c r="P61" s="4">
        <f t="shared" si="10"/>
        <v>22.08</v>
      </c>
    </row>
    <row r="62" ht="15.75" customHeight="1">
      <c r="A62" s="4">
        <v>2004.0</v>
      </c>
      <c r="B62" s="9">
        <v>213.0</v>
      </c>
      <c r="C62" s="4">
        <v>16.4</v>
      </c>
      <c r="D62" s="4">
        <v>27.13</v>
      </c>
      <c r="E62" s="4">
        <f t="shared" si="1"/>
        <v>1</v>
      </c>
      <c r="F62" s="4">
        <f t="shared" si="2"/>
        <v>0</v>
      </c>
      <c r="G62" s="4">
        <f t="shared" si="3"/>
        <v>42.7908</v>
      </c>
      <c r="H62" s="4">
        <f t="shared" si="4"/>
        <v>40.2687</v>
      </c>
      <c r="I62" s="4" t="str">
        <f t="shared" si="5"/>
        <v> </v>
      </c>
      <c r="J62" s="4">
        <v>1.0</v>
      </c>
      <c r="K62" s="4">
        <v>21.75</v>
      </c>
      <c r="L62" s="4">
        <f t="shared" si="6"/>
        <v>8</v>
      </c>
      <c r="M62" s="4">
        <f t="shared" si="7"/>
        <v>1</v>
      </c>
      <c r="N62" s="4">
        <f t="shared" si="8"/>
        <v>4.23254</v>
      </c>
      <c r="O62" s="4">
        <f t="shared" si="9"/>
        <v>1</v>
      </c>
      <c r="P62" s="4">
        <f t="shared" si="10"/>
        <v>21.75</v>
      </c>
    </row>
    <row r="63" ht="15.75" customHeight="1">
      <c r="A63" s="4">
        <v>2004.0</v>
      </c>
      <c r="B63" s="9">
        <v>214.0</v>
      </c>
      <c r="C63" s="4">
        <v>18.6</v>
      </c>
      <c r="D63" s="4">
        <v>26.4</v>
      </c>
      <c r="E63" s="4">
        <f t="shared" si="1"/>
        <v>1</v>
      </c>
      <c r="F63" s="4">
        <f t="shared" si="2"/>
        <v>0</v>
      </c>
      <c r="G63" s="4">
        <f t="shared" si="3"/>
        <v>42.5919</v>
      </c>
      <c r="H63" s="4">
        <f t="shared" si="4"/>
        <v>38.0639</v>
      </c>
      <c r="I63" s="4" t="str">
        <f t="shared" si="5"/>
        <v> </v>
      </c>
      <c r="J63" s="4">
        <v>2.2</v>
      </c>
      <c r="K63" s="4">
        <v>21.5</v>
      </c>
      <c r="L63" s="4">
        <f t="shared" si="6"/>
        <v>8</v>
      </c>
      <c r="M63" s="4">
        <f t="shared" si="7"/>
        <v>0</v>
      </c>
      <c r="N63" s="4">
        <f t="shared" si="8"/>
        <v>-6.28923</v>
      </c>
      <c r="O63" s="4">
        <f t="shared" si="9"/>
        <v>2.2</v>
      </c>
      <c r="P63" s="4">
        <f t="shared" si="10"/>
        <v>21.5</v>
      </c>
    </row>
    <row r="64" ht="15.75" customHeight="1">
      <c r="A64" s="4">
        <v>2004.0</v>
      </c>
      <c r="B64" s="9">
        <v>215.0</v>
      </c>
      <c r="C64" s="4">
        <v>16.2</v>
      </c>
      <c r="D64" s="4">
        <v>26.82</v>
      </c>
      <c r="E64" s="4">
        <f t="shared" si="1"/>
        <v>0</v>
      </c>
      <c r="F64" s="4">
        <f t="shared" si="2"/>
        <v>0</v>
      </c>
      <c r="G64" s="4">
        <f t="shared" si="3"/>
        <v>39.1811</v>
      </c>
      <c r="H64" s="4">
        <f t="shared" si="4"/>
        <v>33.00065</v>
      </c>
      <c r="I64" s="4" t="str">
        <f t="shared" si="5"/>
        <v> </v>
      </c>
      <c r="J64" s="4">
        <v>0.0</v>
      </c>
      <c r="K64" s="4">
        <v>20.33</v>
      </c>
      <c r="L64" s="4">
        <f t="shared" si="6"/>
        <v>3</v>
      </c>
      <c r="M64" s="4">
        <f t="shared" si="7"/>
        <v>0</v>
      </c>
      <c r="N64" s="4">
        <f t="shared" si="8"/>
        <v>-9.47514</v>
      </c>
      <c r="O64" s="4">
        <f t="shared" si="9"/>
        <v>0</v>
      </c>
      <c r="P64" s="4">
        <f t="shared" si="10"/>
        <v>20.33</v>
      </c>
    </row>
    <row r="65" ht="15.75" customHeight="1">
      <c r="A65" s="4">
        <v>2004.0</v>
      </c>
      <c r="B65" s="9">
        <v>216.0</v>
      </c>
      <c r="C65" s="4">
        <v>13.34</v>
      </c>
      <c r="D65" s="4">
        <v>26.47</v>
      </c>
      <c r="E65" s="4">
        <f t="shared" si="1"/>
        <v>0</v>
      </c>
      <c r="F65" s="4">
        <f t="shared" si="2"/>
        <v>0</v>
      </c>
      <c r="G65" s="4">
        <f t="shared" si="3"/>
        <v>39.5861</v>
      </c>
      <c r="H65" s="4">
        <f t="shared" si="4"/>
        <v>35.4594</v>
      </c>
      <c r="I65" s="4" t="str">
        <f t="shared" si="5"/>
        <v> </v>
      </c>
      <c r="J65" s="4">
        <v>0.0</v>
      </c>
      <c r="K65" s="4">
        <v>19.45</v>
      </c>
      <c r="L65" s="4">
        <f t="shared" si="6"/>
        <v>3</v>
      </c>
      <c r="M65" s="4">
        <f t="shared" si="7"/>
        <v>0</v>
      </c>
      <c r="N65" s="4">
        <f t="shared" si="8"/>
        <v>-10.4669</v>
      </c>
      <c r="O65" s="4">
        <f t="shared" si="9"/>
        <v>0</v>
      </c>
      <c r="P65" s="4">
        <f t="shared" si="10"/>
        <v>19.45</v>
      </c>
    </row>
    <row r="66" ht="15.75" customHeight="1">
      <c r="A66" s="4">
        <v>2004.0</v>
      </c>
      <c r="B66" s="9">
        <v>217.0</v>
      </c>
      <c r="C66" s="4">
        <v>13.08</v>
      </c>
      <c r="D66" s="4">
        <v>25.85</v>
      </c>
      <c r="E66" s="4">
        <f t="shared" si="1"/>
        <v>0</v>
      </c>
      <c r="F66" s="4">
        <f t="shared" si="2"/>
        <v>0</v>
      </c>
      <c r="G66" s="4">
        <f t="shared" si="3"/>
        <v>41.8096</v>
      </c>
      <c r="H66" s="4">
        <f t="shared" si="4"/>
        <v>36.542</v>
      </c>
      <c r="I66" s="4" t="str">
        <f t="shared" si="5"/>
        <v> </v>
      </c>
      <c r="J66" s="4">
        <v>0.0</v>
      </c>
      <c r="K66" s="4">
        <v>19.22</v>
      </c>
      <c r="L66" s="4">
        <f t="shared" si="6"/>
        <v>3</v>
      </c>
      <c r="M66" s="4">
        <f t="shared" si="7"/>
        <v>0</v>
      </c>
      <c r="N66" s="4">
        <f t="shared" si="8"/>
        <v>-10.11012</v>
      </c>
      <c r="O66" s="4">
        <f t="shared" si="9"/>
        <v>0</v>
      </c>
      <c r="P66" s="4">
        <f t="shared" si="10"/>
        <v>19.22</v>
      </c>
    </row>
    <row r="67" ht="15.75" customHeight="1">
      <c r="A67" s="4">
        <v>2004.0</v>
      </c>
      <c r="B67" s="9">
        <v>218.0</v>
      </c>
      <c r="C67" s="4">
        <v>11.45</v>
      </c>
      <c r="D67" s="4">
        <v>27.49</v>
      </c>
      <c r="E67" s="4">
        <f t="shared" si="1"/>
        <v>0</v>
      </c>
      <c r="F67" s="4">
        <f t="shared" si="2"/>
        <v>0</v>
      </c>
      <c r="G67" s="4">
        <f t="shared" si="3"/>
        <v>40.0263</v>
      </c>
      <c r="H67" s="4">
        <f t="shared" si="4"/>
        <v>35.4928</v>
      </c>
      <c r="I67" s="4" t="str">
        <f t="shared" si="5"/>
        <v> </v>
      </c>
      <c r="J67" s="4">
        <v>0.0</v>
      </c>
      <c r="K67" s="4">
        <v>19.09</v>
      </c>
      <c r="L67" s="4">
        <f t="shared" si="6"/>
        <v>3</v>
      </c>
      <c r="M67" s="4">
        <f t="shared" si="7"/>
        <v>0</v>
      </c>
      <c r="N67" s="4">
        <f t="shared" si="8"/>
        <v>-5.79953</v>
      </c>
      <c r="O67" s="4">
        <f t="shared" si="9"/>
        <v>0</v>
      </c>
      <c r="P67" s="4">
        <f t="shared" si="10"/>
        <v>19.09</v>
      </c>
    </row>
    <row r="68" ht="15.75" customHeight="1">
      <c r="A68" s="4">
        <v>2004.0</v>
      </c>
      <c r="B68" s="9">
        <v>219.0</v>
      </c>
      <c r="C68" s="4">
        <v>11.78</v>
      </c>
      <c r="D68" s="4">
        <v>27.06</v>
      </c>
      <c r="E68" s="4">
        <f t="shared" si="1"/>
        <v>0</v>
      </c>
      <c r="F68" s="4">
        <f t="shared" si="2"/>
        <v>0</v>
      </c>
      <c r="G68" s="4">
        <f t="shared" si="3"/>
        <v>35.9256</v>
      </c>
      <c r="H68" s="4">
        <f t="shared" si="4"/>
        <v>32.4816</v>
      </c>
      <c r="I68" s="4" t="str">
        <f t="shared" si="5"/>
        <v> </v>
      </c>
      <c r="J68" s="4">
        <v>0.0</v>
      </c>
      <c r="K68" s="4">
        <v>19.04</v>
      </c>
      <c r="L68" s="4">
        <f t="shared" si="6"/>
        <v>3</v>
      </c>
      <c r="M68" s="4">
        <f t="shared" si="7"/>
        <v>0</v>
      </c>
      <c r="N68" s="4">
        <f t="shared" si="8"/>
        <v>-0.81558</v>
      </c>
      <c r="O68" s="4">
        <f t="shared" si="9"/>
        <v>0</v>
      </c>
      <c r="P68" s="4">
        <f t="shared" si="10"/>
        <v>19.04</v>
      </c>
    </row>
    <row r="69" ht="15.75" customHeight="1">
      <c r="A69" s="4">
        <v>2004.0</v>
      </c>
      <c r="B69" s="9">
        <v>220.0</v>
      </c>
      <c r="C69" s="4">
        <v>12.02</v>
      </c>
      <c r="D69" s="4">
        <v>27.59</v>
      </c>
      <c r="E69" s="4">
        <f t="shared" si="1"/>
        <v>1</v>
      </c>
      <c r="F69" s="4">
        <f t="shared" si="2"/>
        <v>0</v>
      </c>
      <c r="G69" s="4">
        <f t="shared" si="3"/>
        <v>36.2931</v>
      </c>
      <c r="H69" s="4">
        <f t="shared" si="4"/>
        <v>34.23435</v>
      </c>
      <c r="I69" s="4" t="str">
        <f t="shared" si="5"/>
        <v> </v>
      </c>
      <c r="J69" s="4">
        <v>9.8</v>
      </c>
      <c r="K69" s="4">
        <v>19.85</v>
      </c>
      <c r="L69" s="4">
        <f t="shared" si="6"/>
        <v>8</v>
      </c>
      <c r="M69" s="4">
        <f t="shared" si="7"/>
        <v>0</v>
      </c>
      <c r="N69" s="4">
        <f t="shared" si="8"/>
        <v>-6.73236</v>
      </c>
      <c r="O69" s="4">
        <f t="shared" si="9"/>
        <v>9.8</v>
      </c>
      <c r="P69" s="4">
        <f t="shared" si="10"/>
        <v>19.85</v>
      </c>
    </row>
    <row r="70" ht="15.75" customHeight="1">
      <c r="A70" s="4">
        <v>2004.0</v>
      </c>
      <c r="B70" s="9">
        <v>221.0</v>
      </c>
      <c r="C70" s="4">
        <v>12.74</v>
      </c>
      <c r="D70" s="4">
        <v>28.65</v>
      </c>
      <c r="E70" s="4">
        <f t="shared" si="1"/>
        <v>0</v>
      </c>
      <c r="F70" s="4">
        <f t="shared" si="2"/>
        <v>0</v>
      </c>
      <c r="G70" s="4">
        <f t="shared" si="3"/>
        <v>31.7439</v>
      </c>
      <c r="H70" s="4">
        <f t="shared" si="4"/>
        <v>28.7037</v>
      </c>
      <c r="I70" s="4" t="str">
        <f t="shared" si="5"/>
        <v> </v>
      </c>
      <c r="J70" s="4">
        <v>0.0</v>
      </c>
      <c r="K70" s="4">
        <v>20.28</v>
      </c>
      <c r="L70" s="4">
        <f t="shared" si="6"/>
        <v>3</v>
      </c>
      <c r="M70" s="4">
        <f t="shared" si="7"/>
        <v>0</v>
      </c>
      <c r="N70" s="4">
        <f t="shared" si="8"/>
        <v>-8.71483</v>
      </c>
      <c r="O70" s="4">
        <f t="shared" si="9"/>
        <v>0</v>
      </c>
      <c r="P70" s="4">
        <f t="shared" si="10"/>
        <v>20.28</v>
      </c>
    </row>
    <row r="71" ht="15.75" customHeight="1">
      <c r="A71" s="4">
        <v>2004.0</v>
      </c>
      <c r="B71" s="9">
        <v>222.0</v>
      </c>
      <c r="C71" s="4">
        <v>12.34</v>
      </c>
      <c r="D71" s="4">
        <v>24.57</v>
      </c>
      <c r="E71" s="4">
        <f t="shared" si="1"/>
        <v>0</v>
      </c>
      <c r="F71" s="4">
        <f t="shared" si="2"/>
        <v>0</v>
      </c>
      <c r="G71" s="4">
        <f t="shared" si="3"/>
        <v>24.4045</v>
      </c>
      <c r="H71" s="4">
        <f t="shared" si="4"/>
        <v>21.81965</v>
      </c>
      <c r="I71" s="4" t="str">
        <f t="shared" si="5"/>
        <v> </v>
      </c>
      <c r="J71" s="4">
        <v>0.0</v>
      </c>
      <c r="K71" s="4">
        <v>17.72</v>
      </c>
      <c r="L71" s="4">
        <f t="shared" si="6"/>
        <v>3</v>
      </c>
      <c r="M71" s="4">
        <f t="shared" si="7"/>
        <v>0</v>
      </c>
      <c r="N71" s="4">
        <f t="shared" si="8"/>
        <v>-4.23717</v>
      </c>
      <c r="O71" s="4">
        <f t="shared" si="9"/>
        <v>0</v>
      </c>
      <c r="P71" s="4">
        <f t="shared" si="10"/>
        <v>17.72</v>
      </c>
    </row>
    <row r="72" ht="15.75" customHeight="1">
      <c r="A72" s="4">
        <v>2004.0</v>
      </c>
      <c r="B72" s="9">
        <v>223.0</v>
      </c>
      <c r="C72" s="4">
        <v>13.01</v>
      </c>
      <c r="D72" s="4">
        <v>20.14</v>
      </c>
      <c r="E72" s="4">
        <f t="shared" si="1"/>
        <v>0</v>
      </c>
      <c r="F72" s="4">
        <f t="shared" si="2"/>
        <v>1</v>
      </c>
      <c r="G72" s="4">
        <f t="shared" si="3"/>
        <v>21.6846</v>
      </c>
      <c r="H72" s="4">
        <f t="shared" si="4"/>
        <v>22.76505</v>
      </c>
      <c r="I72" s="4">
        <f t="shared" si="5"/>
        <v>1.08045</v>
      </c>
      <c r="J72" s="4">
        <v>0.0</v>
      </c>
      <c r="K72" s="4">
        <v>15.14</v>
      </c>
      <c r="L72" s="4">
        <f t="shared" si="6"/>
        <v>3</v>
      </c>
      <c r="M72" s="4">
        <f t="shared" si="7"/>
        <v>1</v>
      </c>
      <c r="N72" s="4">
        <f t="shared" si="8"/>
        <v>6.8658</v>
      </c>
      <c r="O72" s="4">
        <f t="shared" si="9"/>
        <v>0</v>
      </c>
      <c r="P72" s="4">
        <f t="shared" si="10"/>
        <v>15.14</v>
      </c>
    </row>
    <row r="73" ht="15.75" customHeight="1">
      <c r="A73" s="4">
        <v>2004.0</v>
      </c>
      <c r="B73" s="9">
        <v>224.0</v>
      </c>
      <c r="C73" s="4">
        <v>10.54</v>
      </c>
      <c r="D73" s="4">
        <v>21.32</v>
      </c>
      <c r="E73" s="4">
        <f t="shared" si="1"/>
        <v>1</v>
      </c>
      <c r="F73" s="4">
        <f t="shared" si="2"/>
        <v>1</v>
      </c>
      <c r="G73" s="4">
        <f t="shared" si="3"/>
        <v>25.8639</v>
      </c>
      <c r="H73" s="4">
        <f t="shared" si="4"/>
        <v>27.10515</v>
      </c>
      <c r="I73" s="4">
        <f t="shared" si="5"/>
        <v>1.24125</v>
      </c>
      <c r="J73" s="4">
        <v>0.3</v>
      </c>
      <c r="K73" s="4">
        <v>15.26</v>
      </c>
      <c r="L73" s="4">
        <f t="shared" si="6"/>
        <v>8</v>
      </c>
      <c r="M73" s="4">
        <f t="shared" si="7"/>
        <v>1</v>
      </c>
      <c r="N73" s="4">
        <f t="shared" si="8"/>
        <v>4.87476</v>
      </c>
      <c r="O73" s="4">
        <f t="shared" si="9"/>
        <v>0.3</v>
      </c>
      <c r="P73" s="4">
        <f t="shared" si="10"/>
        <v>15.26</v>
      </c>
    </row>
    <row r="74" ht="15.75" customHeight="1">
      <c r="A74" s="4">
        <v>2004.0</v>
      </c>
      <c r="B74" s="9">
        <v>225.0</v>
      </c>
      <c r="C74" s="4">
        <v>11.35</v>
      </c>
      <c r="D74" s="4">
        <v>19.86</v>
      </c>
      <c r="E74" s="4">
        <f t="shared" si="1"/>
        <v>1</v>
      </c>
      <c r="F74" s="4">
        <f t="shared" si="2"/>
        <v>1</v>
      </c>
      <c r="G74" s="4">
        <f t="shared" si="3"/>
        <v>27.4572</v>
      </c>
      <c r="H74" s="4">
        <f t="shared" si="4"/>
        <v>28.21125</v>
      </c>
      <c r="I74" s="4">
        <f t="shared" si="5"/>
        <v>0.75405</v>
      </c>
      <c r="J74" s="4">
        <v>3.4</v>
      </c>
      <c r="K74" s="4">
        <v>13.94</v>
      </c>
      <c r="L74" s="4">
        <f t="shared" si="6"/>
        <v>8</v>
      </c>
      <c r="M74" s="4">
        <f t="shared" si="7"/>
        <v>1</v>
      </c>
      <c r="N74" s="4">
        <f t="shared" si="8"/>
        <v>2.41478</v>
      </c>
      <c r="O74" s="4">
        <f t="shared" si="9"/>
        <v>3.4</v>
      </c>
      <c r="P74" s="4">
        <f t="shared" si="10"/>
        <v>13.94</v>
      </c>
    </row>
    <row r="75" ht="15.75" customHeight="1">
      <c r="A75" s="4">
        <v>2004.0</v>
      </c>
      <c r="B75" s="9">
        <v>226.0</v>
      </c>
      <c r="C75" s="4">
        <v>8.89</v>
      </c>
      <c r="D75" s="4">
        <v>14.11</v>
      </c>
      <c r="E75" s="4">
        <f t="shared" si="1"/>
        <v>0</v>
      </c>
      <c r="F75" s="4">
        <f t="shared" si="2"/>
        <v>1</v>
      </c>
      <c r="G75" s="4">
        <f t="shared" si="3"/>
        <v>26.807</v>
      </c>
      <c r="H75" s="4">
        <f t="shared" si="4"/>
        <v>28.88055</v>
      </c>
      <c r="I75" s="4">
        <f t="shared" si="5"/>
        <v>2.07355</v>
      </c>
      <c r="J75" s="4">
        <v>0.0</v>
      </c>
      <c r="K75" s="4">
        <v>12.37</v>
      </c>
      <c r="L75" s="4">
        <f t="shared" si="6"/>
        <v>3</v>
      </c>
      <c r="M75" s="4">
        <f t="shared" si="7"/>
        <v>1</v>
      </c>
      <c r="N75" s="4">
        <f t="shared" si="8"/>
        <v>7.95424</v>
      </c>
      <c r="O75" s="4">
        <f t="shared" si="9"/>
        <v>0</v>
      </c>
      <c r="P75" s="4">
        <f t="shared" si="10"/>
        <v>12.37</v>
      </c>
    </row>
    <row r="76" ht="15.75" customHeight="1">
      <c r="A76" s="4">
        <v>2004.0</v>
      </c>
      <c r="B76" s="9">
        <v>227.0</v>
      </c>
      <c r="C76" s="4">
        <v>9.91</v>
      </c>
      <c r="D76" s="4">
        <v>16.06</v>
      </c>
      <c r="E76" s="4">
        <f t="shared" si="1"/>
        <v>1</v>
      </c>
      <c r="F76" s="4">
        <f t="shared" si="2"/>
        <v>1</v>
      </c>
      <c r="G76" s="4">
        <f t="shared" si="3"/>
        <v>36.5651</v>
      </c>
      <c r="H76" s="4">
        <f t="shared" si="4"/>
        <v>38.1256</v>
      </c>
      <c r="I76" s="4">
        <f t="shared" si="5"/>
        <v>1.5605</v>
      </c>
      <c r="J76" s="4">
        <v>30.7</v>
      </c>
      <c r="K76" s="4">
        <v>11.89</v>
      </c>
      <c r="L76" s="4">
        <f t="shared" si="6"/>
        <v>8</v>
      </c>
      <c r="M76" s="4">
        <f t="shared" si="7"/>
        <v>1</v>
      </c>
      <c r="N76" s="4">
        <f t="shared" si="8"/>
        <v>8.49307</v>
      </c>
      <c r="O76" s="4">
        <f t="shared" si="9"/>
        <v>30.7</v>
      </c>
      <c r="P76" s="4">
        <f t="shared" si="10"/>
        <v>11.89</v>
      </c>
    </row>
    <row r="77" ht="15.75" customHeight="1">
      <c r="A77" s="4">
        <v>2004.0</v>
      </c>
      <c r="B77" s="9">
        <v>228.0</v>
      </c>
      <c r="C77" s="4">
        <v>9.41</v>
      </c>
      <c r="D77" s="4">
        <v>20.63</v>
      </c>
      <c r="E77" s="4">
        <f t="shared" si="1"/>
        <v>1</v>
      </c>
      <c r="F77" s="4">
        <f t="shared" si="2"/>
        <v>0</v>
      </c>
      <c r="G77" s="4">
        <f t="shared" si="3"/>
        <v>41.3379</v>
      </c>
      <c r="H77" s="4">
        <f t="shared" si="4"/>
        <v>40.9955</v>
      </c>
      <c r="I77" s="4" t="str">
        <f t="shared" si="5"/>
        <v> </v>
      </c>
      <c r="J77" s="4">
        <v>5.2</v>
      </c>
      <c r="K77" s="4">
        <v>13.34</v>
      </c>
      <c r="L77" s="4">
        <f t="shared" si="6"/>
        <v>8</v>
      </c>
      <c r="M77" s="4">
        <f t="shared" si="7"/>
        <v>1</v>
      </c>
      <c r="N77" s="4">
        <f t="shared" si="8"/>
        <v>9.53382</v>
      </c>
      <c r="O77" s="4">
        <f t="shared" si="9"/>
        <v>5.2</v>
      </c>
      <c r="P77" s="4">
        <f t="shared" si="10"/>
        <v>13.34</v>
      </c>
    </row>
    <row r="78" ht="15.75" customHeight="1">
      <c r="A78" s="4">
        <v>2004.0</v>
      </c>
      <c r="B78" s="9">
        <v>229.0</v>
      </c>
      <c r="C78" s="4">
        <v>7.25</v>
      </c>
      <c r="D78" s="4">
        <v>24.43</v>
      </c>
      <c r="E78" s="4">
        <f t="shared" si="1"/>
        <v>1</v>
      </c>
      <c r="F78" s="4">
        <f t="shared" si="2"/>
        <v>0</v>
      </c>
      <c r="G78" s="4">
        <f t="shared" si="3"/>
        <v>43.2736</v>
      </c>
      <c r="H78" s="4">
        <f t="shared" si="4"/>
        <v>40.56415</v>
      </c>
      <c r="I78" s="4" t="str">
        <f t="shared" si="5"/>
        <v> </v>
      </c>
      <c r="J78" s="4">
        <v>1.9</v>
      </c>
      <c r="K78" s="4">
        <v>17.81</v>
      </c>
      <c r="L78" s="4">
        <f t="shared" si="6"/>
        <v>8</v>
      </c>
      <c r="M78" s="4">
        <f t="shared" si="7"/>
        <v>1</v>
      </c>
      <c r="N78" s="4">
        <f t="shared" si="8"/>
        <v>5.07641</v>
      </c>
      <c r="O78" s="4">
        <f t="shared" si="9"/>
        <v>1.9</v>
      </c>
      <c r="P78" s="4">
        <f t="shared" si="10"/>
        <v>17.81</v>
      </c>
    </row>
    <row r="79" ht="15.75" customHeight="1">
      <c r="A79" s="4">
        <v>2004.0</v>
      </c>
      <c r="B79" s="9">
        <v>230.0</v>
      </c>
      <c r="C79" s="4">
        <v>11.48</v>
      </c>
      <c r="D79" s="4">
        <v>26.7</v>
      </c>
      <c r="E79" s="4">
        <f t="shared" si="1"/>
        <v>1</v>
      </c>
      <c r="F79" s="4">
        <f t="shared" si="2"/>
        <v>0</v>
      </c>
      <c r="G79" s="4">
        <f t="shared" si="3"/>
        <v>45.1255</v>
      </c>
      <c r="H79" s="4">
        <f t="shared" si="4"/>
        <v>40.9484</v>
      </c>
      <c r="I79" s="4" t="str">
        <f t="shared" si="5"/>
        <v> </v>
      </c>
      <c r="J79" s="4">
        <v>0.1</v>
      </c>
      <c r="K79" s="4">
        <v>20.32</v>
      </c>
      <c r="L79" s="4">
        <f t="shared" si="6"/>
        <v>8</v>
      </c>
      <c r="M79" s="4">
        <f t="shared" si="7"/>
        <v>0</v>
      </c>
      <c r="N79" s="4">
        <f t="shared" si="8"/>
        <v>-5.07215</v>
      </c>
      <c r="O79" s="4">
        <f t="shared" si="9"/>
        <v>0.1</v>
      </c>
      <c r="P79" s="4">
        <f t="shared" si="10"/>
        <v>20.32</v>
      </c>
    </row>
    <row r="80" ht="15.75" customHeight="1">
      <c r="A80" s="4">
        <v>2004.0</v>
      </c>
      <c r="B80" s="9">
        <v>231.0</v>
      </c>
      <c r="C80" s="4">
        <v>15.04</v>
      </c>
      <c r="D80" s="4">
        <v>27.95</v>
      </c>
      <c r="E80" s="4">
        <f t="shared" si="1"/>
        <v>0</v>
      </c>
      <c r="F80" s="4">
        <f t="shared" si="2"/>
        <v>0</v>
      </c>
      <c r="G80" s="4">
        <f t="shared" si="3"/>
        <v>45.1431</v>
      </c>
      <c r="H80" s="4">
        <f t="shared" si="4"/>
        <v>41.17355</v>
      </c>
      <c r="I80" s="4" t="str">
        <f t="shared" si="5"/>
        <v> </v>
      </c>
      <c r="J80" s="4">
        <v>0.0</v>
      </c>
      <c r="K80" s="4">
        <v>21.12</v>
      </c>
      <c r="L80" s="4">
        <f t="shared" si="6"/>
        <v>3</v>
      </c>
      <c r="M80" s="4">
        <f t="shared" si="7"/>
        <v>0</v>
      </c>
      <c r="N80" s="4">
        <f t="shared" si="8"/>
        <v>-11.3415</v>
      </c>
      <c r="O80" s="4">
        <f t="shared" si="9"/>
        <v>0</v>
      </c>
      <c r="P80" s="4">
        <f t="shared" si="10"/>
        <v>21.12</v>
      </c>
    </row>
    <row r="81" ht="15.75" customHeight="1">
      <c r="A81" s="4">
        <v>2004.0</v>
      </c>
      <c r="B81" s="9">
        <v>232.0</v>
      </c>
      <c r="C81" s="4">
        <v>15.93</v>
      </c>
      <c r="D81" s="4">
        <v>28.98</v>
      </c>
      <c r="E81" s="4">
        <f t="shared" si="1"/>
        <v>0</v>
      </c>
      <c r="F81" s="4">
        <f t="shared" si="2"/>
        <v>0</v>
      </c>
      <c r="G81" s="4">
        <f t="shared" si="3"/>
        <v>42.3999</v>
      </c>
      <c r="H81" s="4">
        <f t="shared" si="4"/>
        <v>38.6148</v>
      </c>
      <c r="I81" s="4" t="str">
        <f t="shared" si="5"/>
        <v> </v>
      </c>
      <c r="J81" s="4">
        <v>0.0</v>
      </c>
      <c r="K81" s="4">
        <v>20.71</v>
      </c>
      <c r="L81" s="4">
        <f t="shared" si="6"/>
        <v>3</v>
      </c>
      <c r="M81" s="4">
        <f t="shared" si="7"/>
        <v>0</v>
      </c>
      <c r="N81" s="4">
        <f t="shared" si="8"/>
        <v>-11.18809</v>
      </c>
      <c r="O81" s="4">
        <f t="shared" si="9"/>
        <v>0</v>
      </c>
      <c r="P81" s="4">
        <f t="shared" si="10"/>
        <v>20.71</v>
      </c>
    </row>
    <row r="82" ht="15.75" customHeight="1">
      <c r="A82" s="4">
        <v>2004.0</v>
      </c>
      <c r="B82" s="9">
        <v>233.0</v>
      </c>
      <c r="C82" s="4">
        <v>12.78</v>
      </c>
      <c r="D82" s="4">
        <v>30.11</v>
      </c>
      <c r="E82" s="4">
        <f t="shared" si="1"/>
        <v>0</v>
      </c>
      <c r="F82" s="4">
        <f t="shared" si="2"/>
        <v>0</v>
      </c>
      <c r="G82" s="4">
        <f t="shared" si="3"/>
        <v>40.3384</v>
      </c>
      <c r="H82" s="4">
        <f t="shared" si="4"/>
        <v>35.738</v>
      </c>
      <c r="I82" s="4" t="str">
        <f t="shared" si="5"/>
        <v> </v>
      </c>
      <c r="J82" s="4">
        <v>0.0</v>
      </c>
      <c r="K82" s="4">
        <v>21.74</v>
      </c>
      <c r="L82" s="4">
        <f t="shared" si="6"/>
        <v>3</v>
      </c>
      <c r="M82" s="4">
        <f t="shared" si="7"/>
        <v>0</v>
      </c>
      <c r="N82" s="4">
        <f t="shared" si="8"/>
        <v>-3.68841</v>
      </c>
      <c r="O82" s="4">
        <f t="shared" si="9"/>
        <v>0</v>
      </c>
      <c r="P82" s="4">
        <f t="shared" si="10"/>
        <v>21.74</v>
      </c>
    </row>
    <row r="83" ht="15.75" customHeight="1">
      <c r="A83" s="4">
        <v>2004.0</v>
      </c>
      <c r="B83" s="9">
        <v>234.0</v>
      </c>
      <c r="C83" s="4">
        <v>12.91</v>
      </c>
      <c r="D83" s="4">
        <v>30.38</v>
      </c>
      <c r="E83" s="4">
        <f t="shared" si="1"/>
        <v>0</v>
      </c>
      <c r="F83" s="4">
        <f t="shared" si="2"/>
        <v>0</v>
      </c>
      <c r="G83" s="4">
        <f t="shared" si="3"/>
        <v>36.9485</v>
      </c>
      <c r="H83" s="4">
        <f t="shared" si="4"/>
        <v>33.5549</v>
      </c>
      <c r="I83" s="4" t="str">
        <f t="shared" si="5"/>
        <v> </v>
      </c>
      <c r="J83" s="4">
        <v>0.0</v>
      </c>
      <c r="K83" s="4">
        <v>23.19</v>
      </c>
      <c r="L83" s="4">
        <f t="shared" si="6"/>
        <v>3</v>
      </c>
      <c r="M83" s="4">
        <f t="shared" si="7"/>
        <v>1</v>
      </c>
      <c r="N83" s="4">
        <f t="shared" si="8"/>
        <v>5.21838</v>
      </c>
      <c r="O83" s="4">
        <f t="shared" si="9"/>
        <v>0</v>
      </c>
      <c r="P83" s="4">
        <f t="shared" si="10"/>
        <v>23.19</v>
      </c>
    </row>
    <row r="84" ht="15.75" customHeight="1">
      <c r="A84" s="4">
        <v>2004.0</v>
      </c>
      <c r="B84" s="9">
        <v>235.0</v>
      </c>
      <c r="C84" s="4">
        <v>17.84</v>
      </c>
      <c r="D84" s="4">
        <v>28.9</v>
      </c>
      <c r="E84" s="4">
        <f t="shared" si="1"/>
        <v>1</v>
      </c>
      <c r="F84" s="4">
        <f t="shared" si="2"/>
        <v>0</v>
      </c>
      <c r="G84" s="4">
        <f t="shared" si="3"/>
        <v>36.9376</v>
      </c>
      <c r="H84" s="4">
        <f t="shared" si="4"/>
        <v>34.82215</v>
      </c>
      <c r="I84" s="4" t="str">
        <f t="shared" si="5"/>
        <v> </v>
      </c>
      <c r="J84" s="4">
        <v>0.9</v>
      </c>
      <c r="K84" s="4">
        <v>21.06</v>
      </c>
      <c r="L84" s="4">
        <f t="shared" si="6"/>
        <v>8</v>
      </c>
      <c r="M84" s="4">
        <f t="shared" si="7"/>
        <v>1</v>
      </c>
      <c r="N84" s="4">
        <f t="shared" si="8"/>
        <v>1.80514</v>
      </c>
      <c r="O84" s="4">
        <f t="shared" si="9"/>
        <v>0.9</v>
      </c>
      <c r="P84" s="4">
        <f t="shared" si="10"/>
        <v>21.06</v>
      </c>
    </row>
    <row r="85" ht="15.75" customHeight="1">
      <c r="A85" s="4">
        <v>2004.0</v>
      </c>
      <c r="B85" s="9">
        <v>236.0</v>
      </c>
      <c r="C85" s="4">
        <v>16.66</v>
      </c>
      <c r="D85" s="4">
        <v>20.48</v>
      </c>
      <c r="E85" s="4">
        <f t="shared" si="1"/>
        <v>1</v>
      </c>
      <c r="F85" s="4">
        <f t="shared" si="2"/>
        <v>0</v>
      </c>
      <c r="G85" s="4">
        <f t="shared" si="3"/>
        <v>31.5685</v>
      </c>
      <c r="H85" s="4">
        <f t="shared" si="4"/>
        <v>28.6733</v>
      </c>
      <c r="I85" s="4" t="str">
        <f t="shared" si="5"/>
        <v> </v>
      </c>
      <c r="J85" s="4">
        <v>0.3</v>
      </c>
      <c r="K85" s="4">
        <v>15.93</v>
      </c>
      <c r="L85" s="4">
        <f t="shared" si="6"/>
        <v>8</v>
      </c>
      <c r="M85" s="4">
        <f t="shared" si="7"/>
        <v>0</v>
      </c>
      <c r="N85" s="4">
        <f t="shared" si="8"/>
        <v>-6.07572</v>
      </c>
      <c r="O85" s="4">
        <f t="shared" si="9"/>
        <v>0.3</v>
      </c>
      <c r="P85" s="4">
        <f t="shared" si="10"/>
        <v>15.93</v>
      </c>
    </row>
    <row r="86" ht="15.75" customHeight="1">
      <c r="A86" s="4">
        <v>2004.0</v>
      </c>
      <c r="B86" s="9">
        <v>237.0</v>
      </c>
      <c r="C86" s="4">
        <v>9.48</v>
      </c>
      <c r="D86" s="4">
        <v>20.88</v>
      </c>
      <c r="E86" s="4">
        <f t="shared" si="1"/>
        <v>0</v>
      </c>
      <c r="F86" s="4">
        <f t="shared" si="2"/>
        <v>0</v>
      </c>
      <c r="G86" s="4">
        <f t="shared" si="3"/>
        <v>28.5879</v>
      </c>
      <c r="H86" s="4">
        <f t="shared" si="4"/>
        <v>24.03715</v>
      </c>
      <c r="I86" s="4" t="str">
        <f t="shared" si="5"/>
        <v> </v>
      </c>
      <c r="J86" s="4">
        <v>0.0</v>
      </c>
      <c r="K86" s="4">
        <v>13.45</v>
      </c>
      <c r="L86" s="4">
        <f t="shared" si="6"/>
        <v>3</v>
      </c>
      <c r="M86" s="4">
        <f t="shared" si="7"/>
        <v>0</v>
      </c>
      <c r="N86" s="4">
        <f t="shared" si="8"/>
        <v>-8.99091</v>
      </c>
      <c r="O86" s="4">
        <f t="shared" si="9"/>
        <v>0</v>
      </c>
      <c r="P86" s="4">
        <f t="shared" si="10"/>
        <v>13.45</v>
      </c>
    </row>
    <row r="87" ht="15.75" customHeight="1">
      <c r="A87" s="4">
        <v>2004.0</v>
      </c>
      <c r="B87" s="9">
        <v>238.0</v>
      </c>
      <c r="C87" s="4">
        <v>7.15</v>
      </c>
      <c r="D87" s="4">
        <v>21.88</v>
      </c>
      <c r="E87" s="4">
        <f t="shared" si="1"/>
        <v>0</v>
      </c>
      <c r="F87" s="4">
        <f t="shared" si="2"/>
        <v>0</v>
      </c>
      <c r="G87" s="4">
        <f t="shared" si="3"/>
        <v>28.1896</v>
      </c>
      <c r="H87" s="4">
        <f t="shared" si="4"/>
        <v>23.8194</v>
      </c>
      <c r="I87" s="4" t="str">
        <f t="shared" si="5"/>
        <v> </v>
      </c>
      <c r="J87" s="4">
        <v>0.0</v>
      </c>
      <c r="K87" s="4">
        <v>14.57</v>
      </c>
      <c r="L87" s="4">
        <f t="shared" si="6"/>
        <v>3</v>
      </c>
      <c r="M87" s="4">
        <f t="shared" si="7"/>
        <v>0</v>
      </c>
      <c r="N87" s="4">
        <f t="shared" si="8"/>
        <v>-9.04188</v>
      </c>
      <c r="O87" s="4">
        <f t="shared" si="9"/>
        <v>0</v>
      </c>
      <c r="P87" s="4">
        <f t="shared" si="10"/>
        <v>14.57</v>
      </c>
    </row>
    <row r="88" ht="15.75" customHeight="1">
      <c r="A88" s="4">
        <v>2004.0</v>
      </c>
      <c r="B88" s="9">
        <v>239.0</v>
      </c>
      <c r="C88" s="4">
        <v>8.18</v>
      </c>
      <c r="D88" s="4">
        <v>22.74</v>
      </c>
      <c r="E88" s="4">
        <f t="shared" si="1"/>
        <v>0</v>
      </c>
      <c r="J88" s="4">
        <v>0.0</v>
      </c>
      <c r="K88" s="4">
        <v>16.07</v>
      </c>
      <c r="L88" s="4">
        <f t="shared" si="6"/>
        <v>3</v>
      </c>
      <c r="O88" s="4">
        <f t="shared" si="9"/>
        <v>0</v>
      </c>
      <c r="P88" s="4">
        <f t="shared" si="10"/>
        <v>16.07</v>
      </c>
    </row>
    <row r="89" ht="15.75" customHeight="1">
      <c r="A89" s="4">
        <v>2004.0</v>
      </c>
      <c r="B89" s="9">
        <v>240.0</v>
      </c>
      <c r="C89" s="4">
        <v>9.39</v>
      </c>
      <c r="D89" s="4">
        <v>24.8</v>
      </c>
      <c r="E89" s="4">
        <f t="shared" si="1"/>
        <v>0</v>
      </c>
      <c r="J89" s="4">
        <v>0.0</v>
      </c>
      <c r="K89" s="4">
        <v>18.22</v>
      </c>
      <c r="L89" s="4">
        <f t="shared" si="6"/>
        <v>3</v>
      </c>
      <c r="O89" s="4">
        <f t="shared" si="9"/>
        <v>0</v>
      </c>
      <c r="P89" s="4">
        <f t="shared" si="10"/>
        <v>18.22</v>
      </c>
    </row>
    <row r="90" ht="15.75" customHeight="1">
      <c r="A90" s="4">
        <v>2004.0</v>
      </c>
      <c r="B90" s="9">
        <v>241.0</v>
      </c>
      <c r="C90" s="4">
        <v>11.72</v>
      </c>
      <c r="D90" s="4">
        <v>25.26</v>
      </c>
      <c r="E90" s="4">
        <f t="shared" si="1"/>
        <v>0</v>
      </c>
      <c r="J90" s="4">
        <v>0.0</v>
      </c>
      <c r="K90" s="4">
        <v>19.18</v>
      </c>
      <c r="L90" s="4">
        <f t="shared" si="6"/>
        <v>3</v>
      </c>
      <c r="O90" s="4">
        <f t="shared" si="9"/>
        <v>0</v>
      </c>
      <c r="P90" s="4">
        <f t="shared" si="10"/>
        <v>19.18</v>
      </c>
    </row>
    <row r="91" ht="15.75" customHeight="1">
      <c r="A91" s="4">
        <v>2004.0</v>
      </c>
      <c r="B91" s="9">
        <v>242.0</v>
      </c>
      <c r="C91" s="4">
        <v>13.74</v>
      </c>
      <c r="D91" s="4">
        <v>23.01</v>
      </c>
      <c r="E91" s="4">
        <f t="shared" si="1"/>
        <v>0</v>
      </c>
      <c r="J91" s="4">
        <v>0.0</v>
      </c>
      <c r="K91" s="4">
        <v>17.77</v>
      </c>
      <c r="L91" s="4">
        <f t="shared" si="6"/>
        <v>3</v>
      </c>
      <c r="O91" s="4">
        <f t="shared" si="9"/>
        <v>0</v>
      </c>
      <c r="P91" s="4">
        <f t="shared" si="10"/>
        <v>17.77</v>
      </c>
    </row>
    <row r="92" ht="15.75" customHeight="1">
      <c r="A92" s="4">
        <v>2004.0</v>
      </c>
      <c r="B92" s="9">
        <v>243.0</v>
      </c>
      <c r="C92" s="4">
        <v>13.74</v>
      </c>
      <c r="D92" s="4">
        <v>27.66</v>
      </c>
      <c r="E92" s="4">
        <f t="shared" si="1"/>
        <v>0</v>
      </c>
      <c r="J92" s="4">
        <v>0.0</v>
      </c>
      <c r="K92" s="4">
        <v>19.66</v>
      </c>
      <c r="L92" s="4">
        <f t="shared" si="6"/>
        <v>3</v>
      </c>
      <c r="O92" s="4">
        <f t="shared" si="9"/>
        <v>0</v>
      </c>
      <c r="P92" s="4">
        <f t="shared" si="10"/>
        <v>19.66</v>
      </c>
    </row>
    <row r="93" ht="15.75" customHeight="1">
      <c r="A93" s="4">
        <v>2004.0</v>
      </c>
      <c r="B93" s="9">
        <v>244.0</v>
      </c>
      <c r="C93" s="4">
        <v>14.54</v>
      </c>
      <c r="D93" s="4">
        <v>27.86</v>
      </c>
      <c r="E93" s="4">
        <f t="shared" si="1"/>
        <v>0</v>
      </c>
      <c r="J93" s="4">
        <v>0.0</v>
      </c>
      <c r="K93" s="4">
        <v>12.64</v>
      </c>
      <c r="L93" s="4">
        <f t="shared" si="6"/>
        <v>3</v>
      </c>
      <c r="O93" s="4">
        <f t="shared" si="9"/>
        <v>0</v>
      </c>
      <c r="P93" s="4">
        <f t="shared" si="10"/>
        <v>12.64</v>
      </c>
    </row>
    <row r="94" ht="15.75" customHeight="1"/>
    <row r="95" ht="15.75" customHeight="1"/>
    <row r="96" ht="15.75" customHeight="1">
      <c r="O96" s="4">
        <f>SUM(O2:O93)</f>
        <v>230.3</v>
      </c>
      <c r="P96" s="4">
        <f>SUMIF(P2:P93,"&gt;0")/10</f>
        <v>160.939</v>
      </c>
    </row>
    <row r="97" ht="15.75" customHeight="1"/>
    <row r="98" ht="15.75" customHeight="1">
      <c r="I98" s="4">
        <f>SUM(I2:I87)</f>
        <v>30.002205</v>
      </c>
      <c r="O98" s="4" t="s">
        <v>15</v>
      </c>
      <c r="P98" s="4">
        <f>O96/P96</f>
        <v>1.430976954</v>
      </c>
    </row>
    <row r="99" ht="15.75" customHeight="1">
      <c r="I99" s="4">
        <f>SUM(I2:I31)</f>
        <v>13.360555</v>
      </c>
      <c r="O99" s="4" t="s">
        <v>16</v>
      </c>
      <c r="P99" s="4">
        <f>SUM(O2:O31)/(SUM(P2:P31)/10)</f>
        <v>0.7631478253</v>
      </c>
    </row>
    <row r="100" ht="15.75" customHeight="1">
      <c r="I100" s="4">
        <f>SUM(I32:I62)</f>
        <v>9.93185</v>
      </c>
      <c r="O100" s="4" t="s">
        <v>17</v>
      </c>
      <c r="P100" s="4">
        <f>SUM(O33:O62)/(SUM(P33:P62)/10)</f>
        <v>2.456276173</v>
      </c>
    </row>
    <row r="101" ht="15.75" customHeight="1">
      <c r="I101" s="4">
        <f>SUM(I63:I93)</f>
        <v>6.7098</v>
      </c>
      <c r="O101" s="4" t="s">
        <v>18</v>
      </c>
      <c r="P101" s="4">
        <f>SUM(O63:O93)/(SUM(P63:P93)/10)</f>
        <v>0.9930054724</v>
      </c>
    </row>
    <row r="102" ht="15.75" customHeight="1">
      <c r="I102" s="4">
        <f>SUMIF(I2:I87,"&gt;0")</f>
        <v>30.002205</v>
      </c>
    </row>
    <row r="103" ht="15.75" customHeight="1">
      <c r="I103" s="4">
        <f>SUMIF(I2:I31,"&gt;0")</f>
        <v>13.360555</v>
      </c>
    </row>
    <row r="104" ht="15.75" customHeight="1">
      <c r="I104" s="4">
        <f>SUMIF(I32:I62,"&gt;0")</f>
        <v>9.93185</v>
      </c>
      <c r="P104" s="4">
        <f>SUM(O16:O35)/(SUM(P16:P35)/10)</f>
        <v>2.263495614</v>
      </c>
    </row>
    <row r="105" ht="15.75" customHeight="1">
      <c r="I105" s="4">
        <f>SUMIF(I63:I87,"&gt;0")</f>
        <v>6.7098</v>
      </c>
      <c r="P105" s="4">
        <f>SUM(O36:O55)/(SUM(P36:P55)/10)</f>
        <v>1.985390523</v>
      </c>
    </row>
    <row r="106" ht="15.75" customHeight="1">
      <c r="P106" s="4">
        <f>SUM(O56:O77)/(SUM(P56:P77)/10)</f>
        <v>1.789868025</v>
      </c>
    </row>
    <row r="107" ht="15.75" customHeight="1">
      <c r="P107" s="4">
        <f>SUM(O16:O77)/(SUM(P16:P77)/10)</f>
        <v>1.998431205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2005.0</v>
      </c>
      <c r="B2" s="4">
        <v>152.0</v>
      </c>
      <c r="C2" s="4">
        <v>9.82</v>
      </c>
      <c r="D2" s="4">
        <v>18.71</v>
      </c>
      <c r="E2" s="4">
        <f t="shared" ref="E2:E93" si="1">IF(J2&gt;0,1,0)</f>
        <v>1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21.30152</v>
      </c>
      <c r="H2" s="4">
        <f t="shared" ref="H2:H87" si="4">0.63 * D2 + 0.37 * D3 + 0.49 * D4 + 0.22 * D5 + 0.65 * D6 + 0.24 *C2 - 0.06 * C3- 0.15 * C4 - 0.135 * C5 + 0.15 * C6 + 4.88 * E2 + 3.55 * E3 + 3.34 *E4 + 2.5 * E5 + 2.29 *E6-31.34</f>
        <v>18.89715</v>
      </c>
      <c r="I2" s="4" t="str">
        <f t="shared" ref="I2:I87" si="5">IF((H2-G2)&gt;0,H2-G2," ")</f>
        <v> </v>
      </c>
      <c r="J2" s="4">
        <v>1.9</v>
      </c>
      <c r="K2" s="4">
        <v>14.64</v>
      </c>
      <c r="L2" s="4">
        <f t="shared" ref="L2:L93" si="6">IF(E2&gt;0,8,3)</f>
        <v>8</v>
      </c>
      <c r="M2" s="4">
        <f t="shared" ref="M2:M87" si="7">IF(N2&gt;=0,1,0)</f>
        <v>0</v>
      </c>
      <c r="N2" s="4">
        <f t="shared" ref="N2:N87" si="8">-0.216*D2-0.191*D3-0.119*D4+0.004*C2-0.171*C3+0.628*C4-0.479*L2+0.513*L3+0.046*L4+5.947*E2+6.699*E3+4.328*E4-1.788</f>
        <v>-4.147092</v>
      </c>
      <c r="O2" s="4">
        <f t="shared" ref="O2:O93" si="9">IF(K2&gt;10,J2,0)</f>
        <v>1.9</v>
      </c>
      <c r="P2" s="4">
        <f t="shared" ref="P2:P93" si="10">IF(K2&gt;10,K2,0)</f>
        <v>14.64</v>
      </c>
    </row>
    <row r="3">
      <c r="A3" s="4">
        <v>2005.0</v>
      </c>
      <c r="B3" s="4">
        <v>153.0</v>
      </c>
      <c r="C3" s="4">
        <v>5.766</v>
      </c>
      <c r="D3" s="4">
        <v>13.91</v>
      </c>
      <c r="E3" s="4">
        <f t="shared" si="1"/>
        <v>0</v>
      </c>
      <c r="F3" s="4">
        <f t="shared" si="2"/>
        <v>0</v>
      </c>
      <c r="G3" s="4">
        <f t="shared" si="3"/>
        <v>18.37343</v>
      </c>
      <c r="H3" s="4">
        <f t="shared" si="4"/>
        <v>15.41763</v>
      </c>
      <c r="I3" s="4" t="str">
        <f t="shared" si="5"/>
        <v> </v>
      </c>
      <c r="J3" s="4">
        <v>0.0</v>
      </c>
      <c r="K3" s="4">
        <v>10.27</v>
      </c>
      <c r="L3" s="4">
        <f t="shared" si="6"/>
        <v>3</v>
      </c>
      <c r="M3" s="4">
        <f t="shared" si="7"/>
        <v>0</v>
      </c>
      <c r="N3" s="4">
        <f t="shared" si="8"/>
        <v>-6.735087</v>
      </c>
      <c r="O3" s="4">
        <f t="shared" si="9"/>
        <v>0</v>
      </c>
      <c r="P3" s="4">
        <f t="shared" si="10"/>
        <v>10.27</v>
      </c>
    </row>
    <row r="4">
      <c r="A4" s="4">
        <v>2005.0</v>
      </c>
      <c r="B4" s="4">
        <v>154.0</v>
      </c>
      <c r="C4" s="4">
        <v>5.293</v>
      </c>
      <c r="D4" s="4">
        <v>15.38</v>
      </c>
      <c r="E4" s="4">
        <f t="shared" si="1"/>
        <v>0</v>
      </c>
      <c r="F4" s="4">
        <f t="shared" si="2"/>
        <v>0</v>
      </c>
      <c r="G4" s="4">
        <f t="shared" si="3"/>
        <v>21.79504</v>
      </c>
      <c r="H4" s="4">
        <f t="shared" si="4"/>
        <v>19.74448</v>
      </c>
      <c r="I4" s="4" t="str">
        <f t="shared" si="5"/>
        <v> </v>
      </c>
      <c r="J4" s="4">
        <v>0.0</v>
      </c>
      <c r="K4" s="4">
        <v>10.87</v>
      </c>
      <c r="L4" s="4">
        <f t="shared" si="6"/>
        <v>3</v>
      </c>
      <c r="M4" s="4">
        <f t="shared" si="7"/>
        <v>0</v>
      </c>
      <c r="N4" s="4">
        <f t="shared" si="8"/>
        <v>-8.692828</v>
      </c>
      <c r="O4" s="4">
        <f t="shared" si="9"/>
        <v>0</v>
      </c>
      <c r="P4" s="4">
        <f t="shared" si="10"/>
        <v>10.87</v>
      </c>
    </row>
    <row r="5">
      <c r="A5" s="4">
        <v>2005.0</v>
      </c>
      <c r="B5" s="4">
        <v>155.0</v>
      </c>
      <c r="C5" s="4">
        <v>6.264</v>
      </c>
      <c r="D5" s="4">
        <v>19.3</v>
      </c>
      <c r="E5" s="4">
        <f t="shared" si="1"/>
        <v>0</v>
      </c>
      <c r="F5" s="4">
        <f t="shared" si="2"/>
        <v>0</v>
      </c>
      <c r="G5" s="4">
        <f t="shared" si="3"/>
        <v>27.79884</v>
      </c>
      <c r="H5" s="4">
        <f t="shared" si="4"/>
        <v>26.75948</v>
      </c>
      <c r="I5" s="4" t="str">
        <f t="shared" si="5"/>
        <v> </v>
      </c>
      <c r="J5" s="4">
        <v>0.0</v>
      </c>
      <c r="K5" s="4">
        <v>12.83</v>
      </c>
      <c r="L5" s="4">
        <f t="shared" si="6"/>
        <v>3</v>
      </c>
      <c r="M5" s="4">
        <f t="shared" si="7"/>
        <v>0</v>
      </c>
      <c r="N5" s="4">
        <f t="shared" si="8"/>
        <v>-7.395672</v>
      </c>
      <c r="O5" s="4">
        <f t="shared" si="9"/>
        <v>0</v>
      </c>
      <c r="P5" s="4">
        <f t="shared" si="10"/>
        <v>12.83</v>
      </c>
    </row>
    <row r="6">
      <c r="A6" s="4">
        <v>2005.0</v>
      </c>
      <c r="B6" s="4">
        <v>156.0</v>
      </c>
      <c r="C6" s="4">
        <v>5.938</v>
      </c>
      <c r="D6" s="4">
        <v>23.66</v>
      </c>
      <c r="E6" s="4">
        <f t="shared" si="1"/>
        <v>0</v>
      </c>
      <c r="F6" s="4">
        <f t="shared" si="2"/>
        <v>0</v>
      </c>
      <c r="G6" s="4">
        <f t="shared" si="3"/>
        <v>30.3773</v>
      </c>
      <c r="H6" s="4">
        <f t="shared" si="4"/>
        <v>29.27787</v>
      </c>
      <c r="I6" s="4" t="str">
        <f t="shared" si="5"/>
        <v> </v>
      </c>
      <c r="J6" s="4">
        <v>0.0</v>
      </c>
      <c r="K6" s="4">
        <v>15.54</v>
      </c>
      <c r="L6" s="4">
        <f t="shared" si="6"/>
        <v>3</v>
      </c>
      <c r="M6" s="4">
        <f t="shared" si="7"/>
        <v>0</v>
      </c>
      <c r="N6" s="4">
        <f t="shared" si="8"/>
        <v>-5.117788</v>
      </c>
      <c r="O6" s="4">
        <f t="shared" si="9"/>
        <v>0</v>
      </c>
      <c r="P6" s="4">
        <f t="shared" si="10"/>
        <v>15.54</v>
      </c>
    </row>
    <row r="7">
      <c r="A7" s="4">
        <v>2005.0</v>
      </c>
      <c r="B7" s="4">
        <v>157.0</v>
      </c>
      <c r="C7" s="4">
        <v>10.96</v>
      </c>
      <c r="D7" s="4">
        <v>25.65</v>
      </c>
      <c r="E7" s="4">
        <f t="shared" si="1"/>
        <v>0</v>
      </c>
      <c r="F7" s="4">
        <f t="shared" si="2"/>
        <v>0</v>
      </c>
      <c r="G7" s="4">
        <f t="shared" si="3"/>
        <v>31.6878</v>
      </c>
      <c r="H7" s="4">
        <f t="shared" si="4"/>
        <v>30.592</v>
      </c>
      <c r="I7" s="4" t="str">
        <f t="shared" si="5"/>
        <v> </v>
      </c>
      <c r="J7" s="4">
        <v>0.0</v>
      </c>
      <c r="K7" s="4">
        <v>18.21</v>
      </c>
      <c r="L7" s="4">
        <f t="shared" si="6"/>
        <v>3</v>
      </c>
      <c r="M7" s="4">
        <f t="shared" si="7"/>
        <v>1</v>
      </c>
      <c r="N7" s="4">
        <f t="shared" si="8"/>
        <v>6.69324</v>
      </c>
      <c r="O7" s="4">
        <f t="shared" si="9"/>
        <v>0</v>
      </c>
      <c r="P7" s="4">
        <f t="shared" si="10"/>
        <v>18.21</v>
      </c>
    </row>
    <row r="8">
      <c r="A8" s="4">
        <v>2005.0</v>
      </c>
      <c r="B8" s="4">
        <v>158.0</v>
      </c>
      <c r="C8" s="4">
        <v>10.22</v>
      </c>
      <c r="D8" s="4">
        <v>22.57</v>
      </c>
      <c r="E8" s="4">
        <f t="shared" si="1"/>
        <v>1</v>
      </c>
      <c r="F8" s="4">
        <f t="shared" si="2"/>
        <v>0</v>
      </c>
      <c r="G8" s="4">
        <f t="shared" si="3"/>
        <v>33.0082</v>
      </c>
      <c r="H8" s="4">
        <f t="shared" si="4"/>
        <v>32.41645</v>
      </c>
      <c r="I8" s="4" t="str">
        <f t="shared" si="5"/>
        <v> </v>
      </c>
      <c r="J8" s="4">
        <v>2.2</v>
      </c>
      <c r="K8" s="4">
        <v>16.46</v>
      </c>
      <c r="L8" s="4">
        <f t="shared" si="6"/>
        <v>8</v>
      </c>
      <c r="M8" s="4">
        <f t="shared" si="7"/>
        <v>1</v>
      </c>
      <c r="N8" s="4">
        <f t="shared" si="8"/>
        <v>9.7735</v>
      </c>
      <c r="O8" s="4">
        <f t="shared" si="9"/>
        <v>2.2</v>
      </c>
      <c r="P8" s="4">
        <f t="shared" si="10"/>
        <v>16.46</v>
      </c>
    </row>
    <row r="9">
      <c r="A9" s="4">
        <v>2005.0</v>
      </c>
      <c r="B9" s="4">
        <v>159.0</v>
      </c>
      <c r="C9" s="4">
        <v>13.79</v>
      </c>
      <c r="D9" s="4">
        <v>22.57</v>
      </c>
      <c r="E9" s="4">
        <f t="shared" si="1"/>
        <v>1</v>
      </c>
      <c r="F9" s="4">
        <f t="shared" si="2"/>
        <v>0</v>
      </c>
      <c r="G9" s="4">
        <f t="shared" si="3"/>
        <v>34.0309</v>
      </c>
      <c r="H9" s="4">
        <f t="shared" si="4"/>
        <v>32.56155</v>
      </c>
      <c r="I9" s="4" t="str">
        <f t="shared" si="5"/>
        <v> </v>
      </c>
      <c r="J9" s="4">
        <v>1.4</v>
      </c>
      <c r="K9" s="4">
        <v>17.12</v>
      </c>
      <c r="L9" s="4">
        <f t="shared" si="6"/>
        <v>8</v>
      </c>
      <c r="M9" s="4">
        <f t="shared" si="7"/>
        <v>1</v>
      </c>
      <c r="N9" s="4">
        <f t="shared" si="8"/>
        <v>6.584</v>
      </c>
      <c r="O9" s="4">
        <f t="shared" si="9"/>
        <v>1.4</v>
      </c>
      <c r="P9" s="4">
        <f t="shared" si="10"/>
        <v>17.12</v>
      </c>
    </row>
    <row r="10">
      <c r="A10" s="4">
        <v>2005.0</v>
      </c>
      <c r="B10" s="4">
        <v>160.0</v>
      </c>
      <c r="C10" s="4">
        <v>12.42</v>
      </c>
      <c r="D10" s="4">
        <v>19.74</v>
      </c>
      <c r="E10" s="4">
        <f t="shared" si="1"/>
        <v>1</v>
      </c>
      <c r="F10" s="4">
        <f t="shared" si="2"/>
        <v>0</v>
      </c>
      <c r="G10" s="4">
        <f t="shared" si="3"/>
        <v>32.2187</v>
      </c>
      <c r="H10" s="4">
        <f t="shared" si="4"/>
        <v>30.82715</v>
      </c>
      <c r="I10" s="4" t="str">
        <f t="shared" si="5"/>
        <v> </v>
      </c>
      <c r="J10" s="4">
        <v>0.2</v>
      </c>
      <c r="K10" s="4">
        <v>15.73</v>
      </c>
      <c r="L10" s="4">
        <f t="shared" si="6"/>
        <v>8</v>
      </c>
      <c r="M10" s="4">
        <f t="shared" si="7"/>
        <v>0</v>
      </c>
      <c r="N10" s="4">
        <f t="shared" si="8"/>
        <v>-4.42146</v>
      </c>
      <c r="O10" s="4">
        <f t="shared" si="9"/>
        <v>0.2</v>
      </c>
      <c r="P10" s="4">
        <f t="shared" si="10"/>
        <v>15.73</v>
      </c>
    </row>
    <row r="11">
      <c r="A11" s="4">
        <v>2005.0</v>
      </c>
      <c r="B11" s="4">
        <v>161.0</v>
      </c>
      <c r="C11" s="4">
        <v>13.21</v>
      </c>
      <c r="D11" s="4">
        <v>19.04</v>
      </c>
      <c r="E11" s="4">
        <f t="shared" si="1"/>
        <v>0</v>
      </c>
      <c r="F11" s="4">
        <f t="shared" si="2"/>
        <v>0</v>
      </c>
      <c r="G11" s="4">
        <f t="shared" si="3"/>
        <v>30.293</v>
      </c>
      <c r="H11" s="4">
        <f t="shared" si="4"/>
        <v>27.90255</v>
      </c>
      <c r="I11" s="4" t="str">
        <f t="shared" si="5"/>
        <v> </v>
      </c>
      <c r="J11" s="4">
        <v>0.0</v>
      </c>
      <c r="K11" s="4">
        <v>15.78</v>
      </c>
      <c r="L11" s="4">
        <f t="shared" si="6"/>
        <v>3</v>
      </c>
      <c r="M11" s="4">
        <f t="shared" si="7"/>
        <v>0</v>
      </c>
      <c r="N11" s="4">
        <f t="shared" si="8"/>
        <v>-5.8482</v>
      </c>
      <c r="O11" s="4">
        <f t="shared" si="9"/>
        <v>0</v>
      </c>
      <c r="P11" s="4">
        <f t="shared" si="10"/>
        <v>15.78</v>
      </c>
    </row>
    <row r="12">
      <c r="A12" s="4">
        <v>2005.0</v>
      </c>
      <c r="B12" s="4">
        <v>162.0</v>
      </c>
      <c r="C12" s="4">
        <v>10.53</v>
      </c>
      <c r="D12" s="4">
        <v>24.61</v>
      </c>
      <c r="E12" s="4">
        <f t="shared" si="1"/>
        <v>0</v>
      </c>
      <c r="F12" s="4">
        <f t="shared" si="2"/>
        <v>0</v>
      </c>
      <c r="G12" s="4">
        <f t="shared" si="3"/>
        <v>38.3742</v>
      </c>
      <c r="H12" s="4">
        <f t="shared" si="4"/>
        <v>36.95055</v>
      </c>
      <c r="I12" s="4" t="str">
        <f t="shared" si="5"/>
        <v> </v>
      </c>
      <c r="J12" s="4">
        <v>0.0</v>
      </c>
      <c r="K12" s="4">
        <v>18.03</v>
      </c>
      <c r="L12" s="4">
        <f t="shared" si="6"/>
        <v>3</v>
      </c>
      <c r="M12" s="4">
        <f t="shared" si="7"/>
        <v>0</v>
      </c>
      <c r="N12" s="4">
        <f t="shared" si="8"/>
        <v>-4.06112</v>
      </c>
      <c r="O12" s="4">
        <f t="shared" si="9"/>
        <v>0</v>
      </c>
      <c r="P12" s="4">
        <f t="shared" si="10"/>
        <v>18.03</v>
      </c>
    </row>
    <row r="13">
      <c r="A13" s="4">
        <v>2005.0</v>
      </c>
      <c r="B13" s="4">
        <v>163.0</v>
      </c>
      <c r="C13" s="4">
        <v>15.15</v>
      </c>
      <c r="D13" s="4">
        <v>27.34</v>
      </c>
      <c r="E13" s="4">
        <f t="shared" si="1"/>
        <v>0</v>
      </c>
      <c r="F13" s="4">
        <f t="shared" si="2"/>
        <v>0</v>
      </c>
      <c r="G13" s="4">
        <f t="shared" si="3"/>
        <v>41.7982</v>
      </c>
      <c r="H13" s="4">
        <f t="shared" si="4"/>
        <v>38.87705</v>
      </c>
      <c r="I13" s="4" t="str">
        <f t="shared" si="5"/>
        <v> </v>
      </c>
      <c r="J13" s="4">
        <v>0.0</v>
      </c>
      <c r="K13" s="4">
        <v>20.8</v>
      </c>
      <c r="L13" s="4">
        <f t="shared" si="6"/>
        <v>3</v>
      </c>
      <c r="M13" s="4">
        <f t="shared" si="7"/>
        <v>1</v>
      </c>
      <c r="N13" s="4">
        <f t="shared" si="8"/>
        <v>4.04592</v>
      </c>
      <c r="O13" s="4">
        <f t="shared" si="9"/>
        <v>0</v>
      </c>
      <c r="P13" s="4">
        <f t="shared" si="10"/>
        <v>20.8</v>
      </c>
    </row>
    <row r="14">
      <c r="A14" s="4">
        <v>2005.0</v>
      </c>
      <c r="B14" s="4">
        <v>164.0</v>
      </c>
      <c r="C14" s="4">
        <v>14.45</v>
      </c>
      <c r="D14" s="4">
        <v>25.71</v>
      </c>
      <c r="E14" s="4">
        <f t="shared" si="1"/>
        <v>1</v>
      </c>
      <c r="F14" s="4">
        <f t="shared" si="2"/>
        <v>1</v>
      </c>
      <c r="G14" s="4">
        <f t="shared" si="3"/>
        <v>38.2134</v>
      </c>
      <c r="H14" s="4">
        <f t="shared" si="4"/>
        <v>39.86665</v>
      </c>
      <c r="I14" s="4">
        <f t="shared" si="5"/>
        <v>1.65325</v>
      </c>
      <c r="J14" s="4">
        <v>2.2</v>
      </c>
      <c r="K14" s="4">
        <v>19.14</v>
      </c>
      <c r="L14" s="4">
        <f t="shared" si="6"/>
        <v>8</v>
      </c>
      <c r="M14" s="4">
        <f t="shared" si="7"/>
        <v>1</v>
      </c>
      <c r="N14" s="4">
        <f t="shared" si="8"/>
        <v>8.98342</v>
      </c>
      <c r="O14" s="4">
        <f t="shared" si="9"/>
        <v>2.2</v>
      </c>
      <c r="P14" s="4">
        <f t="shared" si="10"/>
        <v>19.14</v>
      </c>
    </row>
    <row r="15">
      <c r="A15" s="4">
        <v>2005.0</v>
      </c>
      <c r="B15" s="4">
        <v>165.0</v>
      </c>
      <c r="C15" s="4">
        <v>12.09</v>
      </c>
      <c r="D15" s="4">
        <v>21.8</v>
      </c>
      <c r="E15" s="4">
        <f t="shared" si="1"/>
        <v>1</v>
      </c>
      <c r="F15" s="4">
        <f t="shared" si="2"/>
        <v>1</v>
      </c>
      <c r="G15" s="4">
        <f t="shared" si="3"/>
        <v>35.7666</v>
      </c>
      <c r="H15" s="4">
        <f t="shared" si="4"/>
        <v>37.2998</v>
      </c>
      <c r="I15" s="4">
        <f t="shared" si="5"/>
        <v>1.5332</v>
      </c>
      <c r="J15" s="4">
        <v>1.3</v>
      </c>
      <c r="K15" s="4">
        <v>16.77</v>
      </c>
      <c r="L15" s="4">
        <f t="shared" si="6"/>
        <v>8</v>
      </c>
      <c r="M15" s="4">
        <f t="shared" si="7"/>
        <v>1</v>
      </c>
      <c r="N15" s="4">
        <f t="shared" si="8"/>
        <v>3.67509</v>
      </c>
      <c r="O15" s="4">
        <f t="shared" si="9"/>
        <v>1.3</v>
      </c>
      <c r="P15" s="4">
        <f t="shared" si="10"/>
        <v>16.77</v>
      </c>
    </row>
    <row r="16">
      <c r="A16" s="4">
        <v>2005.0</v>
      </c>
      <c r="B16" s="4">
        <v>166.0</v>
      </c>
      <c r="C16" s="4">
        <v>12.85</v>
      </c>
      <c r="D16" s="4">
        <v>26.77</v>
      </c>
      <c r="E16" s="4">
        <f t="shared" si="1"/>
        <v>1</v>
      </c>
      <c r="F16" s="4">
        <f t="shared" si="2"/>
        <v>0</v>
      </c>
      <c r="G16" s="4">
        <f t="shared" si="3"/>
        <v>36.8044</v>
      </c>
      <c r="H16" s="4">
        <f t="shared" si="4"/>
        <v>35.13655</v>
      </c>
      <c r="I16" s="4" t="str">
        <f t="shared" si="5"/>
        <v> </v>
      </c>
      <c r="J16" s="4">
        <v>18.3</v>
      </c>
      <c r="K16" s="4">
        <v>18.14</v>
      </c>
      <c r="L16" s="4">
        <f t="shared" si="6"/>
        <v>8</v>
      </c>
      <c r="M16" s="4">
        <f t="shared" si="7"/>
        <v>0</v>
      </c>
      <c r="N16" s="4">
        <f t="shared" si="8"/>
        <v>-1.005</v>
      </c>
      <c r="O16" s="4">
        <f t="shared" si="9"/>
        <v>18.3</v>
      </c>
      <c r="P16" s="4">
        <f t="shared" si="10"/>
        <v>18.14</v>
      </c>
    </row>
    <row r="17">
      <c r="A17" s="4">
        <v>2005.0</v>
      </c>
      <c r="B17" s="4">
        <v>167.0</v>
      </c>
      <c r="C17" s="4">
        <v>11.79</v>
      </c>
      <c r="D17" s="4">
        <v>25.43</v>
      </c>
      <c r="E17" s="4">
        <f t="shared" si="1"/>
        <v>0</v>
      </c>
      <c r="F17" s="4">
        <f t="shared" si="2"/>
        <v>0</v>
      </c>
      <c r="G17" s="4">
        <f t="shared" si="3"/>
        <v>26.0205</v>
      </c>
      <c r="H17" s="4">
        <f t="shared" si="4"/>
        <v>25.6533</v>
      </c>
      <c r="I17" s="4" t="str">
        <f t="shared" si="5"/>
        <v> </v>
      </c>
      <c r="J17" s="4">
        <v>0.0</v>
      </c>
      <c r="K17" s="4">
        <v>18.99</v>
      </c>
      <c r="L17" s="4">
        <f t="shared" si="6"/>
        <v>3</v>
      </c>
      <c r="M17" s="4">
        <f t="shared" si="7"/>
        <v>1</v>
      </c>
      <c r="N17" s="4">
        <f t="shared" si="8"/>
        <v>6.33979</v>
      </c>
      <c r="O17" s="4">
        <f t="shared" si="9"/>
        <v>0</v>
      </c>
      <c r="P17" s="4">
        <f t="shared" si="10"/>
        <v>18.99</v>
      </c>
    </row>
    <row r="18">
      <c r="A18" s="4">
        <v>2005.0</v>
      </c>
      <c r="B18" s="4">
        <v>168.0</v>
      </c>
      <c r="C18" s="4">
        <v>11.86</v>
      </c>
      <c r="D18" s="4">
        <v>20.26</v>
      </c>
      <c r="E18" s="4">
        <f t="shared" si="1"/>
        <v>1</v>
      </c>
      <c r="F18" s="4">
        <f t="shared" si="2"/>
        <v>1</v>
      </c>
      <c r="G18" s="4">
        <f t="shared" si="3"/>
        <v>21.8799</v>
      </c>
      <c r="H18" s="4">
        <f t="shared" si="4"/>
        <v>24.58055</v>
      </c>
      <c r="I18" s="4">
        <f t="shared" si="5"/>
        <v>2.70065</v>
      </c>
      <c r="J18" s="4">
        <v>3.4</v>
      </c>
      <c r="K18" s="4">
        <v>15.65</v>
      </c>
      <c r="L18" s="4">
        <f t="shared" si="6"/>
        <v>8</v>
      </c>
      <c r="M18" s="4">
        <f t="shared" si="7"/>
        <v>1</v>
      </c>
      <c r="N18" s="4">
        <f t="shared" si="8"/>
        <v>6.04666</v>
      </c>
      <c r="O18" s="4">
        <f t="shared" si="9"/>
        <v>3.4</v>
      </c>
      <c r="P18" s="4">
        <f t="shared" si="10"/>
        <v>15.65</v>
      </c>
    </row>
    <row r="19">
      <c r="A19" s="4">
        <v>2005.0</v>
      </c>
      <c r="B19" s="4">
        <v>169.0</v>
      </c>
      <c r="C19" s="4">
        <v>12.75</v>
      </c>
      <c r="D19" s="4">
        <v>21.83</v>
      </c>
      <c r="E19" s="4">
        <f t="shared" si="1"/>
        <v>1</v>
      </c>
      <c r="F19" s="4">
        <f t="shared" si="2"/>
        <v>1</v>
      </c>
      <c r="G19" s="4">
        <f t="shared" si="3"/>
        <v>26.4859</v>
      </c>
      <c r="H19" s="4">
        <f t="shared" si="4"/>
        <v>27.844</v>
      </c>
      <c r="I19" s="4">
        <f t="shared" si="5"/>
        <v>1.3581</v>
      </c>
      <c r="J19" s="4">
        <v>1.3</v>
      </c>
      <c r="K19" s="4">
        <v>16.66</v>
      </c>
      <c r="L19" s="4">
        <f t="shared" si="6"/>
        <v>8</v>
      </c>
      <c r="M19" s="4">
        <f t="shared" si="7"/>
        <v>0</v>
      </c>
      <c r="N19" s="4">
        <f t="shared" si="8"/>
        <v>-0.61953</v>
      </c>
      <c r="O19" s="4">
        <f t="shared" si="9"/>
        <v>1.3</v>
      </c>
      <c r="P19" s="4">
        <f t="shared" si="10"/>
        <v>16.66</v>
      </c>
    </row>
    <row r="20">
      <c r="A20" s="4">
        <v>2005.0</v>
      </c>
      <c r="B20" s="4">
        <v>170.0</v>
      </c>
      <c r="C20" s="4">
        <v>12.76</v>
      </c>
      <c r="D20" s="4">
        <v>21.48</v>
      </c>
      <c r="E20" s="4">
        <f t="shared" si="1"/>
        <v>0</v>
      </c>
      <c r="F20" s="4">
        <f t="shared" si="2"/>
        <v>0</v>
      </c>
      <c r="G20" s="4">
        <f t="shared" si="3"/>
        <v>25.75874</v>
      </c>
      <c r="H20" s="4">
        <f t="shared" si="4"/>
        <v>23.53685</v>
      </c>
      <c r="I20" s="4" t="str">
        <f t="shared" si="5"/>
        <v> </v>
      </c>
      <c r="J20" s="4">
        <v>0.0</v>
      </c>
      <c r="K20" s="4">
        <v>16.68</v>
      </c>
      <c r="L20" s="4">
        <f t="shared" si="6"/>
        <v>3</v>
      </c>
      <c r="M20" s="4">
        <f t="shared" si="7"/>
        <v>1</v>
      </c>
      <c r="N20" s="4">
        <f t="shared" si="8"/>
        <v>6.89954</v>
      </c>
      <c r="O20" s="4">
        <f t="shared" si="9"/>
        <v>0</v>
      </c>
      <c r="P20" s="4">
        <f t="shared" si="10"/>
        <v>16.68</v>
      </c>
    </row>
    <row r="21" ht="15.75" customHeight="1">
      <c r="A21" s="4">
        <v>2005.0</v>
      </c>
      <c r="B21" s="4">
        <v>171.0</v>
      </c>
      <c r="C21" s="4">
        <v>8.65</v>
      </c>
      <c r="D21" s="4">
        <v>13.99</v>
      </c>
      <c r="E21" s="4">
        <f t="shared" si="1"/>
        <v>1</v>
      </c>
      <c r="F21" s="4">
        <f t="shared" si="2"/>
        <v>1</v>
      </c>
      <c r="G21" s="4">
        <f t="shared" si="3"/>
        <v>23.29664</v>
      </c>
      <c r="H21" s="4">
        <f t="shared" si="4"/>
        <v>25.80041</v>
      </c>
      <c r="I21" s="4">
        <f t="shared" si="5"/>
        <v>2.50377</v>
      </c>
      <c r="J21" s="4">
        <v>12.8</v>
      </c>
      <c r="K21" s="4">
        <v>10.42</v>
      </c>
      <c r="L21" s="4">
        <f t="shared" si="6"/>
        <v>8</v>
      </c>
      <c r="M21" s="4">
        <f t="shared" si="7"/>
        <v>1</v>
      </c>
      <c r="N21" s="4">
        <f t="shared" si="8"/>
        <v>12.53538</v>
      </c>
      <c r="O21" s="4">
        <f t="shared" si="9"/>
        <v>12.8</v>
      </c>
      <c r="P21" s="4">
        <f t="shared" si="10"/>
        <v>10.42</v>
      </c>
    </row>
    <row r="22" ht="15.75" customHeight="1">
      <c r="A22" s="4">
        <v>2005.0</v>
      </c>
      <c r="B22" s="4">
        <v>172.0</v>
      </c>
      <c r="C22" s="4">
        <v>7.72</v>
      </c>
      <c r="D22" s="4">
        <v>12.46</v>
      </c>
      <c r="E22" s="4">
        <f t="shared" si="1"/>
        <v>1</v>
      </c>
      <c r="F22" s="4">
        <f t="shared" si="2"/>
        <v>0</v>
      </c>
      <c r="G22" s="4">
        <f t="shared" si="3"/>
        <v>27.38856</v>
      </c>
      <c r="H22" s="4">
        <f t="shared" si="4"/>
        <v>27.359</v>
      </c>
      <c r="I22" s="4" t="str">
        <f t="shared" si="5"/>
        <v> </v>
      </c>
      <c r="J22" s="4">
        <v>23.1</v>
      </c>
      <c r="K22" s="4">
        <v>9.69</v>
      </c>
      <c r="L22" s="4">
        <f t="shared" si="6"/>
        <v>8</v>
      </c>
      <c r="M22" s="4">
        <f t="shared" si="7"/>
        <v>1</v>
      </c>
      <c r="N22" s="4">
        <f t="shared" si="8"/>
        <v>3.476612</v>
      </c>
      <c r="O22" s="4">
        <f t="shared" si="9"/>
        <v>0</v>
      </c>
      <c r="P22" s="4">
        <f t="shared" si="10"/>
        <v>0</v>
      </c>
    </row>
    <row r="23" ht="15.75" customHeight="1">
      <c r="A23" s="4">
        <v>2005.0</v>
      </c>
      <c r="B23" s="4">
        <v>173.0</v>
      </c>
      <c r="C23" s="4">
        <v>9.35</v>
      </c>
      <c r="D23" s="4">
        <v>20.8</v>
      </c>
      <c r="E23" s="4">
        <f t="shared" si="1"/>
        <v>1</v>
      </c>
      <c r="F23" s="4">
        <f t="shared" si="2"/>
        <v>0</v>
      </c>
      <c r="G23" s="4">
        <f t="shared" si="3"/>
        <v>34.16982</v>
      </c>
      <c r="H23" s="4">
        <f t="shared" si="4"/>
        <v>32.54641</v>
      </c>
      <c r="I23" s="4" t="str">
        <f t="shared" si="5"/>
        <v> </v>
      </c>
      <c r="J23" s="4">
        <v>0.1</v>
      </c>
      <c r="K23" s="4">
        <v>14.84</v>
      </c>
      <c r="L23" s="4">
        <f t="shared" si="6"/>
        <v>8</v>
      </c>
      <c r="M23" s="4">
        <f t="shared" si="7"/>
        <v>0</v>
      </c>
      <c r="N23" s="4">
        <f t="shared" si="8"/>
        <v>-3.414274</v>
      </c>
      <c r="O23" s="4">
        <f t="shared" si="9"/>
        <v>0.1</v>
      </c>
      <c r="P23" s="4">
        <f t="shared" si="10"/>
        <v>14.84</v>
      </c>
    </row>
    <row r="24" ht="15.75" customHeight="1">
      <c r="A24" s="4">
        <v>2005.0</v>
      </c>
      <c r="B24" s="4">
        <v>174.0</v>
      </c>
      <c r="C24" s="4">
        <v>5.134</v>
      </c>
      <c r="D24" s="4">
        <v>23.39</v>
      </c>
      <c r="E24" s="4">
        <f t="shared" si="1"/>
        <v>0</v>
      </c>
      <c r="F24" s="4">
        <f t="shared" si="2"/>
        <v>0</v>
      </c>
      <c r="G24" s="4">
        <f t="shared" si="3"/>
        <v>29.4624</v>
      </c>
      <c r="H24" s="4">
        <f t="shared" si="4"/>
        <v>25.12156</v>
      </c>
      <c r="I24" s="4" t="str">
        <f t="shared" si="5"/>
        <v> </v>
      </c>
      <c r="J24" s="4">
        <v>0.0</v>
      </c>
      <c r="K24" s="4">
        <v>15.75</v>
      </c>
      <c r="L24" s="4">
        <f t="shared" si="6"/>
        <v>3</v>
      </c>
      <c r="M24" s="4">
        <f t="shared" si="7"/>
        <v>0</v>
      </c>
      <c r="N24" s="4">
        <f t="shared" si="8"/>
        <v>-7.970454</v>
      </c>
      <c r="O24" s="4">
        <f t="shared" si="9"/>
        <v>0</v>
      </c>
      <c r="P24" s="4">
        <f t="shared" si="10"/>
        <v>15.75</v>
      </c>
    </row>
    <row r="25" ht="15.75" customHeight="1">
      <c r="A25" s="4">
        <v>2005.0</v>
      </c>
      <c r="B25" s="4">
        <v>175.0</v>
      </c>
      <c r="C25" s="4">
        <v>11.46</v>
      </c>
      <c r="D25" s="4">
        <v>23.65</v>
      </c>
      <c r="E25" s="4">
        <f t="shared" si="1"/>
        <v>0</v>
      </c>
      <c r="F25" s="4">
        <f t="shared" si="2"/>
        <v>0</v>
      </c>
      <c r="G25" s="4">
        <f t="shared" si="3"/>
        <v>32.5647</v>
      </c>
      <c r="H25" s="4">
        <f t="shared" si="4"/>
        <v>31.2244</v>
      </c>
      <c r="I25" s="4" t="str">
        <f t="shared" si="5"/>
        <v> </v>
      </c>
      <c r="J25" s="4">
        <v>0.0</v>
      </c>
      <c r="K25" s="4">
        <v>18.74</v>
      </c>
      <c r="L25" s="4">
        <f t="shared" si="6"/>
        <v>3</v>
      </c>
      <c r="M25" s="4">
        <f t="shared" si="7"/>
        <v>0</v>
      </c>
      <c r="N25" s="4">
        <f t="shared" si="8"/>
        <v>-4.91837</v>
      </c>
      <c r="O25" s="4">
        <f t="shared" si="9"/>
        <v>0</v>
      </c>
      <c r="P25" s="4">
        <f t="shared" si="10"/>
        <v>18.74</v>
      </c>
    </row>
    <row r="26" ht="15.75" customHeight="1">
      <c r="A26" s="4">
        <v>2005.0</v>
      </c>
      <c r="B26" s="4">
        <v>176.0</v>
      </c>
      <c r="C26" s="4">
        <v>13.09</v>
      </c>
      <c r="D26" s="4">
        <v>26.34</v>
      </c>
      <c r="E26" s="4">
        <f t="shared" si="1"/>
        <v>0</v>
      </c>
      <c r="F26" s="4">
        <f t="shared" si="2"/>
        <v>0</v>
      </c>
      <c r="G26" s="4">
        <f t="shared" si="3"/>
        <v>34.8744</v>
      </c>
      <c r="H26" s="4">
        <f t="shared" si="4"/>
        <v>33.93645</v>
      </c>
      <c r="I26" s="4" t="str">
        <f t="shared" si="5"/>
        <v> </v>
      </c>
      <c r="J26" s="4">
        <v>0.0</v>
      </c>
      <c r="K26" s="4">
        <v>20.18</v>
      </c>
      <c r="L26" s="4">
        <f t="shared" si="6"/>
        <v>3</v>
      </c>
      <c r="M26" s="4">
        <f t="shared" si="7"/>
        <v>0</v>
      </c>
      <c r="N26" s="4">
        <f t="shared" si="8"/>
        <v>-2.66028</v>
      </c>
      <c r="O26" s="4">
        <f t="shared" si="9"/>
        <v>0</v>
      </c>
      <c r="P26" s="4">
        <f t="shared" si="10"/>
        <v>20.18</v>
      </c>
    </row>
    <row r="27" ht="15.75" customHeight="1">
      <c r="A27" s="4">
        <v>2005.0</v>
      </c>
      <c r="B27" s="4">
        <v>177.0</v>
      </c>
      <c r="C27" s="4">
        <v>12.06</v>
      </c>
      <c r="D27" s="4">
        <v>26.64</v>
      </c>
      <c r="E27" s="4">
        <f t="shared" si="1"/>
        <v>1</v>
      </c>
      <c r="F27" s="4">
        <f t="shared" si="2"/>
        <v>1</v>
      </c>
      <c r="G27" s="4">
        <f t="shared" si="3"/>
        <v>31.902</v>
      </c>
      <c r="H27" s="4">
        <f t="shared" si="4"/>
        <v>32.6025</v>
      </c>
      <c r="I27" s="4">
        <f t="shared" si="5"/>
        <v>0.7005</v>
      </c>
      <c r="J27" s="4">
        <v>3.1</v>
      </c>
      <c r="K27" s="4">
        <v>18.49</v>
      </c>
      <c r="L27" s="4">
        <f t="shared" si="6"/>
        <v>8</v>
      </c>
      <c r="M27" s="4">
        <f t="shared" si="7"/>
        <v>0</v>
      </c>
      <c r="N27" s="4">
        <f t="shared" si="8"/>
        <v>-1.91926</v>
      </c>
      <c r="O27" s="4">
        <f t="shared" si="9"/>
        <v>3.1</v>
      </c>
      <c r="P27" s="4">
        <f t="shared" si="10"/>
        <v>18.49</v>
      </c>
    </row>
    <row r="28" ht="15.75" customHeight="1">
      <c r="A28" s="4">
        <v>2005.0</v>
      </c>
      <c r="B28" s="4">
        <v>178.0</v>
      </c>
      <c r="C28" s="4">
        <v>7.8</v>
      </c>
      <c r="D28" s="4">
        <v>20.9</v>
      </c>
      <c r="E28" s="4">
        <f t="shared" si="1"/>
        <v>0</v>
      </c>
      <c r="F28" s="4">
        <f t="shared" si="2"/>
        <v>1</v>
      </c>
      <c r="G28" s="4">
        <f t="shared" si="3"/>
        <v>26.0071</v>
      </c>
      <c r="H28" s="4">
        <f t="shared" si="4"/>
        <v>28.05805</v>
      </c>
      <c r="I28" s="4">
        <f t="shared" si="5"/>
        <v>2.05095</v>
      </c>
      <c r="J28" s="4">
        <v>0.0</v>
      </c>
      <c r="K28" s="4">
        <v>14.6</v>
      </c>
      <c r="L28" s="4">
        <f t="shared" si="6"/>
        <v>3</v>
      </c>
      <c r="M28" s="4">
        <f t="shared" si="7"/>
        <v>1</v>
      </c>
      <c r="N28" s="4">
        <f t="shared" si="8"/>
        <v>6.93726</v>
      </c>
      <c r="O28" s="4">
        <f t="shared" si="9"/>
        <v>0</v>
      </c>
      <c r="P28" s="4">
        <f t="shared" si="10"/>
        <v>14.6</v>
      </c>
    </row>
    <row r="29" ht="15.75" customHeight="1">
      <c r="A29" s="4">
        <v>2005.0</v>
      </c>
      <c r="B29" s="4">
        <v>179.0</v>
      </c>
      <c r="C29" s="4">
        <v>8.23</v>
      </c>
      <c r="D29" s="4">
        <v>22.0</v>
      </c>
      <c r="E29" s="4">
        <f t="shared" si="1"/>
        <v>1</v>
      </c>
      <c r="F29" s="4">
        <f t="shared" si="2"/>
        <v>1</v>
      </c>
      <c r="G29" s="4">
        <f t="shared" si="3"/>
        <v>28.5267</v>
      </c>
      <c r="H29" s="4">
        <f t="shared" si="4"/>
        <v>31.0981</v>
      </c>
      <c r="I29" s="4">
        <f t="shared" si="5"/>
        <v>2.5714</v>
      </c>
      <c r="J29" s="4">
        <v>2.1</v>
      </c>
      <c r="K29" s="4">
        <v>14.83</v>
      </c>
      <c r="L29" s="4">
        <f t="shared" si="6"/>
        <v>8</v>
      </c>
      <c r="M29" s="4">
        <f t="shared" si="7"/>
        <v>1</v>
      </c>
      <c r="N29" s="4">
        <f t="shared" si="8"/>
        <v>8.96088</v>
      </c>
      <c r="O29" s="4">
        <f t="shared" si="9"/>
        <v>2.1</v>
      </c>
      <c r="P29" s="4">
        <f t="shared" si="10"/>
        <v>14.83</v>
      </c>
    </row>
    <row r="30" ht="15.75" customHeight="1">
      <c r="A30" s="4">
        <v>2005.0</v>
      </c>
      <c r="B30" s="4">
        <v>180.0</v>
      </c>
      <c r="C30" s="4">
        <v>11.52</v>
      </c>
      <c r="D30" s="4">
        <v>20.83</v>
      </c>
      <c r="E30" s="4">
        <f t="shared" si="1"/>
        <v>1</v>
      </c>
      <c r="F30" s="4">
        <f t="shared" si="2"/>
        <v>1</v>
      </c>
      <c r="G30" s="4">
        <f t="shared" si="3"/>
        <v>30.0056</v>
      </c>
      <c r="H30" s="4">
        <f t="shared" si="4"/>
        <v>30.95645</v>
      </c>
      <c r="I30" s="4">
        <f t="shared" si="5"/>
        <v>0.95085</v>
      </c>
      <c r="J30" s="4">
        <v>4.5</v>
      </c>
      <c r="K30" s="4">
        <v>14.71</v>
      </c>
      <c r="L30" s="4">
        <f t="shared" si="6"/>
        <v>8</v>
      </c>
      <c r="M30" s="4">
        <f t="shared" si="7"/>
        <v>1</v>
      </c>
      <c r="N30" s="4">
        <f t="shared" si="8"/>
        <v>12.51986</v>
      </c>
      <c r="O30" s="4">
        <f t="shared" si="9"/>
        <v>4.5</v>
      </c>
      <c r="P30" s="4">
        <f t="shared" si="10"/>
        <v>14.71</v>
      </c>
    </row>
    <row r="31" ht="15.75" customHeight="1">
      <c r="A31" s="4">
        <v>2005.0</v>
      </c>
      <c r="B31" s="4">
        <v>181.0</v>
      </c>
      <c r="C31" s="4">
        <v>8.99</v>
      </c>
      <c r="D31" s="4">
        <v>15.49</v>
      </c>
      <c r="E31" s="4">
        <f t="shared" si="1"/>
        <v>1</v>
      </c>
      <c r="F31" s="4">
        <f t="shared" si="2"/>
        <v>1</v>
      </c>
      <c r="G31" s="4">
        <f t="shared" si="3"/>
        <v>26.8057</v>
      </c>
      <c r="H31" s="4">
        <f t="shared" si="4"/>
        <v>27.10655</v>
      </c>
      <c r="I31" s="4">
        <f t="shared" si="5"/>
        <v>0.30085</v>
      </c>
      <c r="J31" s="4">
        <v>10.9</v>
      </c>
      <c r="K31" s="4">
        <v>12.4</v>
      </c>
      <c r="L31" s="4">
        <f t="shared" si="6"/>
        <v>8</v>
      </c>
      <c r="M31" s="4">
        <f t="shared" si="7"/>
        <v>1</v>
      </c>
      <c r="N31" s="4">
        <f t="shared" si="8"/>
        <v>12.07238</v>
      </c>
      <c r="O31" s="4">
        <f t="shared" si="9"/>
        <v>10.9</v>
      </c>
      <c r="P31" s="4">
        <f t="shared" si="10"/>
        <v>12.4</v>
      </c>
    </row>
    <row r="32" ht="15.75" customHeight="1">
      <c r="A32" s="4">
        <v>2005.0</v>
      </c>
      <c r="B32" s="4">
        <v>182.0</v>
      </c>
      <c r="C32" s="4">
        <v>12.62</v>
      </c>
      <c r="D32" s="4">
        <v>19.18</v>
      </c>
      <c r="E32" s="4">
        <f t="shared" si="1"/>
        <v>1</v>
      </c>
      <c r="F32" s="4">
        <f t="shared" si="2"/>
        <v>1</v>
      </c>
      <c r="G32" s="4">
        <f t="shared" si="3"/>
        <v>31.7522</v>
      </c>
      <c r="H32" s="4">
        <f t="shared" si="4"/>
        <v>32.3044</v>
      </c>
      <c r="I32" s="4">
        <f t="shared" si="5"/>
        <v>0.5522</v>
      </c>
      <c r="J32" s="4">
        <v>17.0</v>
      </c>
      <c r="K32" s="4">
        <v>14.38</v>
      </c>
      <c r="L32" s="4">
        <f t="shared" si="6"/>
        <v>8</v>
      </c>
      <c r="M32" s="4">
        <f t="shared" si="7"/>
        <v>1</v>
      </c>
      <c r="N32" s="4">
        <f t="shared" si="8"/>
        <v>6.13911</v>
      </c>
      <c r="O32" s="4">
        <f t="shared" si="9"/>
        <v>17</v>
      </c>
      <c r="P32" s="4">
        <f t="shared" si="10"/>
        <v>14.38</v>
      </c>
    </row>
    <row r="33" ht="15.75" customHeight="1">
      <c r="A33" s="4">
        <v>2005.0</v>
      </c>
      <c r="B33" s="4">
        <v>183.0</v>
      </c>
      <c r="C33" s="4">
        <v>12.19</v>
      </c>
      <c r="D33" s="4">
        <v>19.14</v>
      </c>
      <c r="E33" s="4">
        <f t="shared" si="1"/>
        <v>1</v>
      </c>
      <c r="F33" s="4">
        <f t="shared" si="2"/>
        <v>0</v>
      </c>
      <c r="G33" s="4">
        <f t="shared" si="3"/>
        <v>32.4474</v>
      </c>
      <c r="H33" s="4">
        <f t="shared" si="4"/>
        <v>30.6797</v>
      </c>
      <c r="I33" s="4" t="str">
        <f t="shared" si="5"/>
        <v> </v>
      </c>
      <c r="J33" s="4">
        <v>1.9</v>
      </c>
      <c r="K33" s="4">
        <v>14.48</v>
      </c>
      <c r="L33" s="4">
        <f t="shared" si="6"/>
        <v>8</v>
      </c>
      <c r="M33" s="4">
        <f t="shared" si="7"/>
        <v>0</v>
      </c>
      <c r="N33" s="4">
        <f t="shared" si="8"/>
        <v>-5.56794</v>
      </c>
      <c r="O33" s="4">
        <f t="shared" si="9"/>
        <v>1.9</v>
      </c>
      <c r="P33" s="4">
        <f t="shared" si="10"/>
        <v>14.48</v>
      </c>
    </row>
    <row r="34" ht="15.75" customHeight="1">
      <c r="A34" s="4">
        <v>2005.0</v>
      </c>
      <c r="B34" s="4">
        <v>184.0</v>
      </c>
      <c r="C34" s="4">
        <v>11.89</v>
      </c>
      <c r="D34" s="4">
        <v>23.22</v>
      </c>
      <c r="E34" s="4">
        <f t="shared" si="1"/>
        <v>0</v>
      </c>
      <c r="F34" s="4">
        <f t="shared" si="2"/>
        <v>0</v>
      </c>
      <c r="G34" s="4">
        <f t="shared" si="3"/>
        <v>33.1396</v>
      </c>
      <c r="H34" s="4">
        <f t="shared" si="4"/>
        <v>30.09035</v>
      </c>
      <c r="I34" s="4" t="str">
        <f t="shared" si="5"/>
        <v> </v>
      </c>
      <c r="J34" s="4">
        <v>0.0</v>
      </c>
      <c r="K34" s="4">
        <v>16.78</v>
      </c>
      <c r="L34" s="4">
        <f t="shared" si="6"/>
        <v>3</v>
      </c>
      <c r="M34" s="4">
        <f t="shared" si="7"/>
        <v>0</v>
      </c>
      <c r="N34" s="4">
        <f t="shared" si="8"/>
        <v>-6.06104</v>
      </c>
      <c r="O34" s="4">
        <f t="shared" si="9"/>
        <v>0</v>
      </c>
      <c r="P34" s="4">
        <f t="shared" si="10"/>
        <v>16.78</v>
      </c>
    </row>
    <row r="35" ht="15.75" customHeight="1">
      <c r="A35" s="4">
        <v>2005.0</v>
      </c>
      <c r="B35" s="4">
        <v>185.0</v>
      </c>
      <c r="C35" s="4">
        <v>9.4</v>
      </c>
      <c r="D35" s="4">
        <v>24.55</v>
      </c>
      <c r="E35" s="4">
        <f t="shared" si="1"/>
        <v>0</v>
      </c>
      <c r="F35" s="4">
        <f t="shared" si="2"/>
        <v>0</v>
      </c>
      <c r="G35" s="4">
        <f t="shared" si="3"/>
        <v>32.6696</v>
      </c>
      <c r="H35" s="4">
        <f t="shared" si="4"/>
        <v>28.7055</v>
      </c>
      <c r="I35" s="4" t="str">
        <f t="shared" si="5"/>
        <v> </v>
      </c>
      <c r="J35" s="4">
        <v>0.0</v>
      </c>
      <c r="K35" s="4">
        <v>17.25</v>
      </c>
      <c r="L35" s="4">
        <f t="shared" si="6"/>
        <v>3</v>
      </c>
      <c r="M35" s="4">
        <f t="shared" si="7"/>
        <v>0</v>
      </c>
      <c r="N35" s="4">
        <f t="shared" si="8"/>
        <v>-1.28001</v>
      </c>
      <c r="O35" s="4">
        <f t="shared" si="9"/>
        <v>0</v>
      </c>
      <c r="P35" s="4">
        <f t="shared" si="10"/>
        <v>17.25</v>
      </c>
    </row>
    <row r="36" ht="15.75" customHeight="1">
      <c r="A36" s="4">
        <v>2005.0</v>
      </c>
      <c r="B36" s="4">
        <v>186.0</v>
      </c>
      <c r="C36" s="4">
        <v>8.3</v>
      </c>
      <c r="D36" s="4">
        <v>25.37</v>
      </c>
      <c r="E36" s="4">
        <f t="shared" si="1"/>
        <v>1</v>
      </c>
      <c r="F36" s="4">
        <f t="shared" si="2"/>
        <v>0</v>
      </c>
      <c r="G36" s="4">
        <f t="shared" si="3"/>
        <v>31.4876</v>
      </c>
      <c r="H36" s="4">
        <f t="shared" si="4"/>
        <v>28.94915</v>
      </c>
      <c r="I36" s="4" t="str">
        <f t="shared" si="5"/>
        <v> </v>
      </c>
      <c r="J36" s="4">
        <v>0.7</v>
      </c>
      <c r="K36" s="4">
        <v>17.4</v>
      </c>
      <c r="L36" s="4">
        <f t="shared" si="6"/>
        <v>8</v>
      </c>
      <c r="M36" s="4">
        <f t="shared" si="7"/>
        <v>0</v>
      </c>
      <c r="N36" s="4">
        <f t="shared" si="8"/>
        <v>-4.70096</v>
      </c>
      <c r="O36" s="4">
        <f t="shared" si="9"/>
        <v>0.7</v>
      </c>
      <c r="P36" s="4">
        <f t="shared" si="10"/>
        <v>17.4</v>
      </c>
    </row>
    <row r="37" ht="15.75" customHeight="1">
      <c r="A37" s="4">
        <v>2005.0</v>
      </c>
      <c r="B37" s="4">
        <v>187.0</v>
      </c>
      <c r="C37" s="4">
        <v>8.53</v>
      </c>
      <c r="D37" s="4">
        <v>23.72</v>
      </c>
      <c r="E37" s="4">
        <f t="shared" si="1"/>
        <v>0</v>
      </c>
      <c r="F37" s="4">
        <f t="shared" si="2"/>
        <v>0</v>
      </c>
      <c r="G37" s="4">
        <f t="shared" si="3"/>
        <v>26.4301</v>
      </c>
      <c r="H37" s="4">
        <f t="shared" si="4"/>
        <v>21.7205</v>
      </c>
      <c r="I37" s="4" t="str">
        <f t="shared" si="5"/>
        <v> </v>
      </c>
      <c r="J37" s="4">
        <v>0.0</v>
      </c>
      <c r="K37" s="4">
        <v>17.16</v>
      </c>
      <c r="L37" s="4">
        <f t="shared" si="6"/>
        <v>3</v>
      </c>
      <c r="M37" s="4">
        <f t="shared" si="7"/>
        <v>0</v>
      </c>
      <c r="N37" s="4">
        <f t="shared" si="8"/>
        <v>-9.92158</v>
      </c>
      <c r="O37" s="4">
        <f t="shared" si="9"/>
        <v>0</v>
      </c>
      <c r="P37" s="4">
        <f t="shared" si="10"/>
        <v>17.16</v>
      </c>
    </row>
    <row r="38" ht="15.75" customHeight="1">
      <c r="A38" s="4">
        <v>2005.0</v>
      </c>
      <c r="B38" s="4">
        <v>188.0</v>
      </c>
      <c r="C38" s="4">
        <v>11.92</v>
      </c>
      <c r="D38" s="4">
        <v>23.15</v>
      </c>
      <c r="E38" s="4">
        <f t="shared" si="1"/>
        <v>0</v>
      </c>
      <c r="F38" s="4">
        <f t="shared" si="2"/>
        <v>0</v>
      </c>
      <c r="G38" s="4">
        <f t="shared" si="3"/>
        <v>26.6974</v>
      </c>
      <c r="H38" s="4">
        <f t="shared" si="4"/>
        <v>21.3493</v>
      </c>
      <c r="I38" s="4" t="str">
        <f t="shared" si="5"/>
        <v> </v>
      </c>
      <c r="J38" s="4">
        <v>0.0</v>
      </c>
      <c r="K38" s="4">
        <v>17.5</v>
      </c>
      <c r="L38" s="4">
        <f t="shared" si="6"/>
        <v>3</v>
      </c>
      <c r="M38" s="4">
        <f t="shared" si="7"/>
        <v>0</v>
      </c>
      <c r="N38" s="4">
        <f t="shared" si="8"/>
        <v>-7.50331</v>
      </c>
      <c r="O38" s="4">
        <f t="shared" si="9"/>
        <v>0</v>
      </c>
      <c r="P38" s="4">
        <f t="shared" si="10"/>
        <v>17.5</v>
      </c>
    </row>
    <row r="39" ht="15.75" customHeight="1">
      <c r="A39" s="4">
        <v>2005.0</v>
      </c>
      <c r="B39" s="4">
        <v>189.0</v>
      </c>
      <c r="C39" s="4">
        <v>9.33</v>
      </c>
      <c r="D39" s="4">
        <v>22.55</v>
      </c>
      <c r="E39" s="4">
        <f t="shared" si="1"/>
        <v>0</v>
      </c>
      <c r="F39" s="4">
        <f t="shared" si="2"/>
        <v>0</v>
      </c>
      <c r="G39" s="4">
        <f t="shared" si="3"/>
        <v>28.7038</v>
      </c>
      <c r="H39" s="4">
        <f t="shared" si="4"/>
        <v>23.6869</v>
      </c>
      <c r="I39" s="4" t="str">
        <f t="shared" si="5"/>
        <v> </v>
      </c>
      <c r="J39" s="4">
        <v>0.0</v>
      </c>
      <c r="K39" s="4">
        <v>16.23</v>
      </c>
      <c r="L39" s="4">
        <f t="shared" si="6"/>
        <v>3</v>
      </c>
      <c r="M39" s="4">
        <f t="shared" si="7"/>
        <v>0</v>
      </c>
      <c r="N39" s="4">
        <f t="shared" si="8"/>
        <v>-7.35329</v>
      </c>
      <c r="O39" s="4">
        <f t="shared" si="9"/>
        <v>0</v>
      </c>
      <c r="P39" s="4">
        <f t="shared" si="10"/>
        <v>16.23</v>
      </c>
    </row>
    <row r="40" ht="15.75" customHeight="1">
      <c r="A40" s="4">
        <v>2005.0</v>
      </c>
      <c r="B40" s="4">
        <v>190.0</v>
      </c>
      <c r="C40" s="4">
        <v>11.92</v>
      </c>
      <c r="D40" s="4">
        <v>21.73</v>
      </c>
      <c r="E40" s="4">
        <f t="shared" si="1"/>
        <v>0</v>
      </c>
      <c r="F40" s="4">
        <f t="shared" si="2"/>
        <v>0</v>
      </c>
      <c r="G40" s="4">
        <f t="shared" si="3"/>
        <v>30.3335</v>
      </c>
      <c r="H40" s="4">
        <f t="shared" si="4"/>
        <v>25.17475</v>
      </c>
      <c r="I40" s="4" t="str">
        <f t="shared" si="5"/>
        <v> </v>
      </c>
      <c r="J40" s="4">
        <v>0.0</v>
      </c>
      <c r="K40" s="4">
        <v>16.75</v>
      </c>
      <c r="L40" s="4">
        <f t="shared" si="6"/>
        <v>3</v>
      </c>
      <c r="M40" s="4">
        <f t="shared" si="7"/>
        <v>0</v>
      </c>
      <c r="N40" s="4">
        <f t="shared" si="8"/>
        <v>-8.74559</v>
      </c>
      <c r="O40" s="4">
        <f t="shared" si="9"/>
        <v>0</v>
      </c>
      <c r="P40" s="4">
        <f t="shared" si="10"/>
        <v>16.75</v>
      </c>
    </row>
    <row r="41" ht="15.75" customHeight="1">
      <c r="A41" s="4">
        <v>2005.0</v>
      </c>
      <c r="B41" s="4">
        <v>191.0</v>
      </c>
      <c r="C41" s="4">
        <v>12.26</v>
      </c>
      <c r="D41" s="4">
        <v>20.86</v>
      </c>
      <c r="E41" s="4">
        <f t="shared" si="1"/>
        <v>0</v>
      </c>
      <c r="F41" s="4">
        <f t="shared" si="2"/>
        <v>0</v>
      </c>
      <c r="G41" s="4">
        <f t="shared" si="3"/>
        <v>34.1125</v>
      </c>
      <c r="H41" s="4">
        <f t="shared" si="4"/>
        <v>28.81045</v>
      </c>
      <c r="I41" s="4" t="str">
        <f t="shared" si="5"/>
        <v> </v>
      </c>
      <c r="J41" s="4">
        <v>0.0</v>
      </c>
      <c r="K41" s="4">
        <v>15.97</v>
      </c>
      <c r="L41" s="4">
        <f t="shared" si="6"/>
        <v>3</v>
      </c>
      <c r="M41" s="4">
        <f t="shared" si="7"/>
        <v>0</v>
      </c>
      <c r="N41" s="4">
        <f t="shared" si="8"/>
        <v>-8.23169</v>
      </c>
      <c r="O41" s="4">
        <f t="shared" si="9"/>
        <v>0</v>
      </c>
      <c r="P41" s="4">
        <f t="shared" si="10"/>
        <v>15.97</v>
      </c>
    </row>
    <row r="42" ht="15.75" customHeight="1">
      <c r="A42" s="4">
        <v>2005.0</v>
      </c>
      <c r="B42" s="4">
        <v>192.0</v>
      </c>
      <c r="C42" s="4">
        <v>9.76</v>
      </c>
      <c r="D42" s="4">
        <v>21.85</v>
      </c>
      <c r="E42" s="4">
        <f t="shared" si="1"/>
        <v>0</v>
      </c>
      <c r="F42" s="4">
        <f t="shared" si="2"/>
        <v>0</v>
      </c>
      <c r="G42" s="4">
        <f t="shared" si="3"/>
        <v>36.7971</v>
      </c>
      <c r="H42" s="4">
        <f t="shared" si="4"/>
        <v>31.5881</v>
      </c>
      <c r="I42" s="4" t="str">
        <f t="shared" si="5"/>
        <v> </v>
      </c>
      <c r="J42" s="4">
        <v>0.0</v>
      </c>
      <c r="K42" s="4">
        <v>15.82</v>
      </c>
      <c r="L42" s="4">
        <f t="shared" si="6"/>
        <v>3</v>
      </c>
      <c r="M42" s="4">
        <f t="shared" si="7"/>
        <v>0</v>
      </c>
      <c r="N42" s="4">
        <f t="shared" si="8"/>
        <v>-8.44517</v>
      </c>
      <c r="O42" s="4">
        <f t="shared" si="9"/>
        <v>0</v>
      </c>
      <c r="P42" s="4">
        <f t="shared" si="10"/>
        <v>15.82</v>
      </c>
    </row>
    <row r="43" ht="15.75" customHeight="1">
      <c r="A43" s="4">
        <v>2005.0</v>
      </c>
      <c r="B43" s="4">
        <v>193.0</v>
      </c>
      <c r="C43" s="4">
        <v>10.93</v>
      </c>
      <c r="D43" s="4">
        <v>27.3</v>
      </c>
      <c r="E43" s="4">
        <f t="shared" si="1"/>
        <v>0</v>
      </c>
      <c r="F43" s="4">
        <f t="shared" si="2"/>
        <v>0</v>
      </c>
      <c r="G43" s="4">
        <f t="shared" si="3"/>
        <v>42.6453</v>
      </c>
      <c r="H43" s="4">
        <f t="shared" si="4"/>
        <v>36.3315</v>
      </c>
      <c r="I43" s="4" t="str">
        <f t="shared" si="5"/>
        <v> </v>
      </c>
      <c r="J43" s="4">
        <v>0.0</v>
      </c>
      <c r="K43" s="4">
        <v>19.29</v>
      </c>
      <c r="L43" s="4">
        <f t="shared" si="6"/>
        <v>3</v>
      </c>
      <c r="M43" s="4">
        <f t="shared" si="7"/>
        <v>0</v>
      </c>
      <c r="N43" s="4">
        <f t="shared" si="8"/>
        <v>-10.384</v>
      </c>
      <c r="O43" s="4">
        <f t="shared" si="9"/>
        <v>0</v>
      </c>
      <c r="P43" s="4">
        <f t="shared" si="10"/>
        <v>19.29</v>
      </c>
    </row>
    <row r="44" ht="15.75" customHeight="1">
      <c r="A44" s="4">
        <v>2005.0</v>
      </c>
      <c r="B44" s="4">
        <v>194.0</v>
      </c>
      <c r="C44" s="4">
        <v>12.79</v>
      </c>
      <c r="D44" s="4">
        <v>26.6</v>
      </c>
      <c r="E44" s="4">
        <f t="shared" si="1"/>
        <v>0</v>
      </c>
      <c r="F44" s="4">
        <f t="shared" si="2"/>
        <v>0</v>
      </c>
      <c r="G44" s="4">
        <f t="shared" si="3"/>
        <v>43.4705</v>
      </c>
      <c r="H44" s="4">
        <f t="shared" si="4"/>
        <v>38.6923</v>
      </c>
      <c r="I44" s="4" t="str">
        <f t="shared" si="5"/>
        <v> </v>
      </c>
      <c r="J44" s="4">
        <v>0.0</v>
      </c>
      <c r="K44" s="4">
        <v>19.39</v>
      </c>
      <c r="L44" s="4">
        <f t="shared" si="6"/>
        <v>3</v>
      </c>
      <c r="M44" s="4">
        <f t="shared" si="7"/>
        <v>0</v>
      </c>
      <c r="N44" s="4">
        <f t="shared" si="8"/>
        <v>-8.92306</v>
      </c>
      <c r="O44" s="4">
        <f t="shared" si="9"/>
        <v>0</v>
      </c>
      <c r="P44" s="4">
        <f t="shared" si="10"/>
        <v>19.39</v>
      </c>
    </row>
    <row r="45" ht="15.75" customHeight="1">
      <c r="A45" s="4">
        <v>2005.0</v>
      </c>
      <c r="B45" s="4">
        <v>195.0</v>
      </c>
      <c r="C45" s="4">
        <v>12.32</v>
      </c>
      <c r="D45" s="4">
        <v>29.01</v>
      </c>
      <c r="E45" s="4">
        <f t="shared" si="1"/>
        <v>0</v>
      </c>
      <c r="F45" s="4">
        <f t="shared" si="2"/>
        <v>0</v>
      </c>
      <c r="G45" s="4">
        <f t="shared" si="3"/>
        <v>44.0636</v>
      </c>
      <c r="H45" s="4">
        <f t="shared" si="4"/>
        <v>40.83155</v>
      </c>
      <c r="I45" s="4" t="str">
        <f t="shared" si="5"/>
        <v> </v>
      </c>
      <c r="J45" s="4">
        <v>0.0</v>
      </c>
      <c r="K45" s="4">
        <v>21.12</v>
      </c>
      <c r="L45" s="4">
        <f t="shared" si="6"/>
        <v>3</v>
      </c>
      <c r="M45" s="4">
        <f t="shared" si="7"/>
        <v>0</v>
      </c>
      <c r="N45" s="4">
        <f t="shared" si="8"/>
        <v>-10.05157</v>
      </c>
      <c r="O45" s="4">
        <f t="shared" si="9"/>
        <v>0</v>
      </c>
      <c r="P45" s="4">
        <f t="shared" si="10"/>
        <v>21.12</v>
      </c>
    </row>
    <row r="46" ht="15.75" customHeight="1">
      <c r="A46" s="4">
        <v>2005.0</v>
      </c>
      <c r="B46" s="4">
        <v>196.0</v>
      </c>
      <c r="C46" s="4">
        <v>15.12</v>
      </c>
      <c r="D46" s="4">
        <v>29.65</v>
      </c>
      <c r="E46" s="4">
        <f t="shared" si="1"/>
        <v>0</v>
      </c>
      <c r="F46" s="4">
        <f t="shared" si="2"/>
        <v>0</v>
      </c>
      <c r="G46" s="4">
        <f t="shared" si="3"/>
        <v>47.2084</v>
      </c>
      <c r="H46" s="4">
        <f t="shared" si="4"/>
        <v>44.51755</v>
      </c>
      <c r="I46" s="4" t="str">
        <f t="shared" si="5"/>
        <v> </v>
      </c>
      <c r="J46" s="4">
        <v>0.0</v>
      </c>
      <c r="K46" s="4">
        <v>23.06</v>
      </c>
      <c r="L46" s="4">
        <f t="shared" si="6"/>
        <v>3</v>
      </c>
      <c r="M46" s="4">
        <f t="shared" si="7"/>
        <v>0</v>
      </c>
      <c r="N46" s="4">
        <f t="shared" si="8"/>
        <v>-6.59199</v>
      </c>
      <c r="O46" s="4">
        <f t="shared" si="9"/>
        <v>0</v>
      </c>
      <c r="P46" s="4">
        <f t="shared" si="10"/>
        <v>23.06</v>
      </c>
    </row>
    <row r="47" ht="15.75" customHeight="1">
      <c r="A47" s="4">
        <v>2005.0</v>
      </c>
      <c r="B47" s="4">
        <v>197.0</v>
      </c>
      <c r="C47" s="4">
        <v>15.22</v>
      </c>
      <c r="D47" s="4">
        <v>30.22</v>
      </c>
      <c r="E47" s="4">
        <f t="shared" si="1"/>
        <v>0</v>
      </c>
      <c r="F47" s="4">
        <f t="shared" si="2"/>
        <v>0</v>
      </c>
      <c r="G47" s="4">
        <f t="shared" si="3"/>
        <v>47.8902</v>
      </c>
      <c r="H47" s="4">
        <f t="shared" si="4"/>
        <v>44.2271</v>
      </c>
      <c r="I47" s="4" t="str">
        <f t="shared" si="5"/>
        <v> </v>
      </c>
      <c r="J47" s="4">
        <v>0.0</v>
      </c>
      <c r="K47" s="4">
        <v>21.92</v>
      </c>
      <c r="L47" s="4">
        <f t="shared" si="6"/>
        <v>3</v>
      </c>
      <c r="M47" s="4">
        <f t="shared" si="7"/>
        <v>1</v>
      </c>
      <c r="N47" s="4">
        <f t="shared" si="8"/>
        <v>5.05726</v>
      </c>
      <c r="O47" s="4">
        <f t="shared" si="9"/>
        <v>0</v>
      </c>
      <c r="P47" s="4">
        <f t="shared" si="10"/>
        <v>21.92</v>
      </c>
    </row>
    <row r="48" ht="15.75" customHeight="1">
      <c r="A48" s="4">
        <v>2005.0</v>
      </c>
      <c r="B48" s="4">
        <v>198.0</v>
      </c>
      <c r="C48" s="4">
        <v>13.69</v>
      </c>
      <c r="D48" s="4">
        <v>29.25</v>
      </c>
      <c r="E48" s="4">
        <f t="shared" si="1"/>
        <v>1</v>
      </c>
      <c r="F48" s="4">
        <f t="shared" si="2"/>
        <v>1</v>
      </c>
      <c r="G48" s="4">
        <f t="shared" si="3"/>
        <v>46.5207</v>
      </c>
      <c r="H48" s="4">
        <f t="shared" si="4"/>
        <v>47.6627</v>
      </c>
      <c r="I48" s="4">
        <f t="shared" si="5"/>
        <v>1.142</v>
      </c>
      <c r="J48" s="4">
        <v>0.1</v>
      </c>
      <c r="K48" s="4">
        <v>21.26</v>
      </c>
      <c r="L48" s="4">
        <f t="shared" si="6"/>
        <v>8</v>
      </c>
      <c r="M48" s="4">
        <f t="shared" si="7"/>
        <v>1</v>
      </c>
      <c r="N48" s="4">
        <f t="shared" si="8"/>
        <v>8.67761</v>
      </c>
      <c r="O48" s="4">
        <f t="shared" si="9"/>
        <v>0.1</v>
      </c>
      <c r="P48" s="4">
        <f t="shared" si="10"/>
        <v>21.26</v>
      </c>
    </row>
    <row r="49" ht="15.75" customHeight="1">
      <c r="A49" s="4">
        <v>2005.0</v>
      </c>
      <c r="B49" s="4">
        <v>199.0</v>
      </c>
      <c r="C49" s="4">
        <v>16.25</v>
      </c>
      <c r="D49" s="4">
        <v>25.44</v>
      </c>
      <c r="E49" s="4">
        <f t="shared" si="1"/>
        <v>1</v>
      </c>
      <c r="F49" s="4">
        <f t="shared" si="2"/>
        <v>0</v>
      </c>
      <c r="G49" s="4">
        <f t="shared" si="3"/>
        <v>44.7514</v>
      </c>
      <c r="H49" s="4">
        <f t="shared" si="4"/>
        <v>44.27725</v>
      </c>
      <c r="I49" s="4" t="str">
        <f t="shared" si="5"/>
        <v> </v>
      </c>
      <c r="J49" s="4">
        <v>0.7</v>
      </c>
      <c r="K49" s="4">
        <v>20.28</v>
      </c>
      <c r="L49" s="4">
        <f t="shared" si="6"/>
        <v>8</v>
      </c>
      <c r="M49" s="4">
        <f t="shared" si="7"/>
        <v>1</v>
      </c>
      <c r="N49" s="4">
        <f t="shared" si="8"/>
        <v>2.92526</v>
      </c>
      <c r="O49" s="4">
        <f t="shared" si="9"/>
        <v>0.7</v>
      </c>
      <c r="P49" s="4">
        <f t="shared" si="10"/>
        <v>20.28</v>
      </c>
    </row>
    <row r="50" ht="15.75" customHeight="1">
      <c r="A50" s="4">
        <v>2005.0</v>
      </c>
      <c r="B50" s="4">
        <v>200.0</v>
      </c>
      <c r="C50" s="4">
        <v>15.74</v>
      </c>
      <c r="D50" s="4">
        <v>26.32</v>
      </c>
      <c r="E50" s="4">
        <f t="shared" si="1"/>
        <v>1</v>
      </c>
      <c r="F50" s="4">
        <f t="shared" si="2"/>
        <v>0</v>
      </c>
      <c r="G50" s="4">
        <f t="shared" si="3"/>
        <v>44.7779</v>
      </c>
      <c r="H50" s="4">
        <f t="shared" si="4"/>
        <v>42.2065</v>
      </c>
      <c r="I50" s="4" t="str">
        <f t="shared" si="5"/>
        <v> </v>
      </c>
      <c r="J50" s="4">
        <v>1.5</v>
      </c>
      <c r="K50" s="4">
        <v>20.93</v>
      </c>
      <c r="L50" s="4">
        <f t="shared" si="6"/>
        <v>8</v>
      </c>
      <c r="M50" s="4">
        <f t="shared" si="7"/>
        <v>1</v>
      </c>
      <c r="N50" s="4">
        <f t="shared" si="8"/>
        <v>1.619</v>
      </c>
      <c r="O50" s="4">
        <f t="shared" si="9"/>
        <v>1.5</v>
      </c>
      <c r="P50" s="4">
        <f t="shared" si="10"/>
        <v>20.93</v>
      </c>
    </row>
    <row r="51" ht="15.75" customHeight="1">
      <c r="A51" s="4">
        <v>2005.0</v>
      </c>
      <c r="B51" s="4">
        <v>201.0</v>
      </c>
      <c r="C51" s="4">
        <v>12.86</v>
      </c>
      <c r="D51" s="4">
        <v>27.48</v>
      </c>
      <c r="E51" s="4">
        <f t="shared" si="1"/>
        <v>0</v>
      </c>
      <c r="F51" s="4">
        <f t="shared" si="2"/>
        <v>0</v>
      </c>
      <c r="G51" s="4">
        <f t="shared" si="3"/>
        <v>43.0174</v>
      </c>
      <c r="H51" s="4">
        <f t="shared" si="4"/>
        <v>40.00535</v>
      </c>
      <c r="I51" s="4" t="str">
        <f t="shared" si="5"/>
        <v> </v>
      </c>
      <c r="J51" s="4">
        <v>0.0</v>
      </c>
      <c r="K51" s="4">
        <v>20.32</v>
      </c>
      <c r="L51" s="4">
        <f t="shared" si="6"/>
        <v>3</v>
      </c>
      <c r="M51" s="4">
        <f t="shared" si="7"/>
        <v>1</v>
      </c>
      <c r="N51" s="4">
        <f t="shared" si="8"/>
        <v>4.50699</v>
      </c>
      <c r="O51" s="4">
        <f t="shared" si="9"/>
        <v>0</v>
      </c>
      <c r="P51" s="4">
        <f t="shared" si="10"/>
        <v>20.32</v>
      </c>
    </row>
    <row r="52" ht="15.75" customHeight="1">
      <c r="A52" s="4">
        <v>2005.0</v>
      </c>
      <c r="B52" s="4">
        <v>202.0</v>
      </c>
      <c r="C52" s="4">
        <v>17.97</v>
      </c>
      <c r="D52" s="4">
        <v>26.54</v>
      </c>
      <c r="E52" s="4">
        <f t="shared" si="1"/>
        <v>1</v>
      </c>
      <c r="F52" s="4">
        <f t="shared" si="2"/>
        <v>0</v>
      </c>
      <c r="G52" s="4">
        <f t="shared" si="3"/>
        <v>45.5996</v>
      </c>
      <c r="H52" s="4">
        <f t="shared" si="4"/>
        <v>43.19715</v>
      </c>
      <c r="I52" s="4" t="str">
        <f t="shared" si="5"/>
        <v> </v>
      </c>
      <c r="J52" s="4">
        <v>3.2</v>
      </c>
      <c r="K52" s="4">
        <v>21.02</v>
      </c>
      <c r="L52" s="4">
        <f t="shared" si="6"/>
        <v>8</v>
      </c>
      <c r="M52" s="4">
        <f t="shared" si="7"/>
        <v>1</v>
      </c>
      <c r="N52" s="4">
        <f t="shared" si="8"/>
        <v>2.0798</v>
      </c>
      <c r="O52" s="4">
        <f t="shared" si="9"/>
        <v>3.2</v>
      </c>
      <c r="P52" s="4">
        <f t="shared" si="10"/>
        <v>21.02</v>
      </c>
    </row>
    <row r="53" ht="15.75" customHeight="1">
      <c r="A53" s="4">
        <v>2005.0</v>
      </c>
      <c r="B53" s="4">
        <v>203.0</v>
      </c>
      <c r="C53" s="4">
        <v>14.78</v>
      </c>
      <c r="D53" s="4">
        <v>25.4</v>
      </c>
      <c r="E53" s="4">
        <f t="shared" si="1"/>
        <v>1</v>
      </c>
      <c r="F53" s="4">
        <f t="shared" si="2"/>
        <v>0</v>
      </c>
      <c r="G53" s="4">
        <f t="shared" si="3"/>
        <v>40.7114</v>
      </c>
      <c r="H53" s="4">
        <f t="shared" si="4"/>
        <v>38.49435</v>
      </c>
      <c r="I53" s="4" t="str">
        <f t="shared" si="5"/>
        <v> </v>
      </c>
      <c r="J53" s="4">
        <v>4.8</v>
      </c>
      <c r="K53" s="4">
        <v>19.82</v>
      </c>
      <c r="L53" s="4">
        <f t="shared" si="6"/>
        <v>8</v>
      </c>
      <c r="M53" s="4">
        <f t="shared" si="7"/>
        <v>0</v>
      </c>
      <c r="N53" s="4">
        <f t="shared" si="8"/>
        <v>-5.7145</v>
      </c>
      <c r="O53" s="4">
        <f t="shared" si="9"/>
        <v>4.8</v>
      </c>
      <c r="P53" s="4">
        <f t="shared" si="10"/>
        <v>19.82</v>
      </c>
    </row>
    <row r="54" ht="15.75" customHeight="1">
      <c r="A54" s="4">
        <v>2005.0</v>
      </c>
      <c r="B54" s="4">
        <v>204.0</v>
      </c>
      <c r="C54" s="4">
        <v>11.23</v>
      </c>
      <c r="D54" s="4">
        <v>26.9</v>
      </c>
      <c r="E54" s="4">
        <f t="shared" si="1"/>
        <v>0</v>
      </c>
      <c r="F54" s="4">
        <f t="shared" si="2"/>
        <v>0</v>
      </c>
      <c r="G54" s="4">
        <f t="shared" si="3"/>
        <v>39.4952</v>
      </c>
      <c r="H54" s="4">
        <f t="shared" si="4"/>
        <v>36.55345</v>
      </c>
      <c r="I54" s="4" t="str">
        <f t="shared" si="5"/>
        <v> </v>
      </c>
      <c r="J54" s="4">
        <v>0.0</v>
      </c>
      <c r="K54" s="4">
        <v>19.39</v>
      </c>
      <c r="L54" s="4">
        <f t="shared" si="6"/>
        <v>3</v>
      </c>
      <c r="M54" s="4">
        <f t="shared" si="7"/>
        <v>0</v>
      </c>
      <c r="N54" s="4">
        <f t="shared" si="8"/>
        <v>-8.25261</v>
      </c>
      <c r="O54" s="4">
        <f t="shared" si="9"/>
        <v>0</v>
      </c>
      <c r="P54" s="4">
        <f t="shared" si="10"/>
        <v>19.39</v>
      </c>
    </row>
    <row r="55" ht="15.75" customHeight="1">
      <c r="A55" s="4">
        <v>2005.0</v>
      </c>
      <c r="B55" s="4">
        <v>205.0</v>
      </c>
      <c r="C55" s="4">
        <v>13.05</v>
      </c>
      <c r="D55" s="4">
        <v>28.81</v>
      </c>
      <c r="E55" s="4">
        <f t="shared" si="1"/>
        <v>0</v>
      </c>
      <c r="F55" s="4">
        <f t="shared" si="2"/>
        <v>0</v>
      </c>
      <c r="G55" s="4">
        <f t="shared" si="3"/>
        <v>42.0408</v>
      </c>
      <c r="H55" s="4">
        <f t="shared" si="4"/>
        <v>38.83325</v>
      </c>
      <c r="I55" s="4" t="str">
        <f t="shared" si="5"/>
        <v> </v>
      </c>
      <c r="J55" s="4">
        <v>0.0</v>
      </c>
      <c r="K55" s="4">
        <v>21.25</v>
      </c>
      <c r="L55" s="4">
        <f t="shared" si="6"/>
        <v>3</v>
      </c>
      <c r="M55" s="4">
        <f t="shared" si="7"/>
        <v>0</v>
      </c>
      <c r="N55" s="4">
        <f t="shared" si="8"/>
        <v>-4.93294</v>
      </c>
      <c r="O55" s="4">
        <f t="shared" si="9"/>
        <v>0</v>
      </c>
      <c r="P55" s="4">
        <f t="shared" si="10"/>
        <v>21.25</v>
      </c>
    </row>
    <row r="56" ht="15.75" customHeight="1">
      <c r="A56" s="4">
        <v>2005.0</v>
      </c>
      <c r="B56" s="4">
        <v>206.0</v>
      </c>
      <c r="C56" s="4">
        <v>16.09</v>
      </c>
      <c r="D56" s="4">
        <v>27.81</v>
      </c>
      <c r="E56" s="4">
        <f t="shared" si="1"/>
        <v>0</v>
      </c>
      <c r="F56" s="4">
        <f t="shared" si="2"/>
        <v>0</v>
      </c>
      <c r="G56" s="4">
        <f t="shared" si="3"/>
        <v>42.154</v>
      </c>
      <c r="H56" s="4">
        <f t="shared" si="4"/>
        <v>39.4609</v>
      </c>
      <c r="I56" s="4" t="str">
        <f t="shared" si="5"/>
        <v> </v>
      </c>
      <c r="J56" s="4">
        <v>0.0</v>
      </c>
      <c r="K56" s="4">
        <v>21.91</v>
      </c>
      <c r="L56" s="4">
        <f t="shared" si="6"/>
        <v>3</v>
      </c>
      <c r="M56" s="4">
        <f t="shared" si="7"/>
        <v>1</v>
      </c>
      <c r="N56" s="4">
        <f t="shared" si="8"/>
        <v>6.67002</v>
      </c>
      <c r="O56" s="4">
        <f t="shared" si="9"/>
        <v>0</v>
      </c>
      <c r="P56" s="4">
        <f t="shared" si="10"/>
        <v>21.91</v>
      </c>
    </row>
    <row r="57" ht="15.75" customHeight="1">
      <c r="A57" s="4">
        <v>2005.0</v>
      </c>
      <c r="B57" s="4">
        <v>207.0</v>
      </c>
      <c r="C57" s="4">
        <v>14.55</v>
      </c>
      <c r="D57" s="4">
        <v>23.92</v>
      </c>
      <c r="E57" s="4">
        <f t="shared" si="1"/>
        <v>1</v>
      </c>
      <c r="F57" s="4">
        <f t="shared" si="2"/>
        <v>0</v>
      </c>
      <c r="G57" s="4">
        <f t="shared" si="3"/>
        <v>42.214</v>
      </c>
      <c r="H57" s="4">
        <f t="shared" si="4"/>
        <v>41.5267</v>
      </c>
      <c r="I57" s="4" t="str">
        <f t="shared" si="5"/>
        <v> </v>
      </c>
      <c r="J57" s="4">
        <v>2.9</v>
      </c>
      <c r="K57" s="4">
        <v>19.58</v>
      </c>
      <c r="L57" s="4">
        <f t="shared" si="6"/>
        <v>8</v>
      </c>
      <c r="M57" s="4">
        <f t="shared" si="7"/>
        <v>1</v>
      </c>
      <c r="N57" s="4">
        <f t="shared" si="8"/>
        <v>7.95009</v>
      </c>
      <c r="O57" s="4">
        <f t="shared" si="9"/>
        <v>2.9</v>
      </c>
      <c r="P57" s="4">
        <f t="shared" si="10"/>
        <v>19.58</v>
      </c>
    </row>
    <row r="58" ht="15.75" customHeight="1">
      <c r="A58" s="4">
        <v>2005.0</v>
      </c>
      <c r="B58" s="4">
        <v>208.0</v>
      </c>
      <c r="C58" s="4">
        <v>16.61</v>
      </c>
      <c r="D58" s="4">
        <v>25.51</v>
      </c>
      <c r="E58" s="4">
        <f t="shared" si="1"/>
        <v>1</v>
      </c>
      <c r="F58" s="4">
        <f t="shared" si="2"/>
        <v>0</v>
      </c>
      <c r="G58" s="4">
        <f t="shared" si="3"/>
        <v>44.506</v>
      </c>
      <c r="H58" s="4">
        <f t="shared" si="4"/>
        <v>42.23925</v>
      </c>
      <c r="I58" s="4" t="str">
        <f t="shared" si="5"/>
        <v> </v>
      </c>
      <c r="J58" s="4">
        <v>6.6</v>
      </c>
      <c r="K58" s="4">
        <v>19.78</v>
      </c>
      <c r="L58" s="4">
        <f t="shared" si="6"/>
        <v>8</v>
      </c>
      <c r="M58" s="4">
        <f t="shared" si="7"/>
        <v>1</v>
      </c>
      <c r="N58" s="4">
        <f t="shared" si="8"/>
        <v>2.43241</v>
      </c>
      <c r="O58" s="4">
        <f t="shared" si="9"/>
        <v>6.6</v>
      </c>
      <c r="P58" s="4">
        <f t="shared" si="10"/>
        <v>19.78</v>
      </c>
    </row>
    <row r="59" ht="15.75" customHeight="1">
      <c r="A59" s="4">
        <v>2005.0</v>
      </c>
      <c r="B59" s="4">
        <v>209.0</v>
      </c>
      <c r="C59" s="4">
        <v>12.72</v>
      </c>
      <c r="D59" s="4">
        <v>25.57</v>
      </c>
      <c r="E59" s="4">
        <f t="shared" si="1"/>
        <v>1</v>
      </c>
      <c r="F59" s="4">
        <f t="shared" si="2"/>
        <v>0</v>
      </c>
      <c r="G59" s="4">
        <f t="shared" si="3"/>
        <v>43.6266</v>
      </c>
      <c r="H59" s="4">
        <f t="shared" si="4"/>
        <v>39.58675</v>
      </c>
      <c r="I59" s="4" t="str">
        <f t="shared" si="5"/>
        <v> </v>
      </c>
      <c r="J59" s="4">
        <v>0.9</v>
      </c>
      <c r="K59" s="4">
        <v>19.25</v>
      </c>
      <c r="L59" s="4">
        <f t="shared" si="6"/>
        <v>8</v>
      </c>
      <c r="M59" s="4">
        <f t="shared" si="7"/>
        <v>0</v>
      </c>
      <c r="N59" s="4">
        <f t="shared" si="8"/>
        <v>-6.74475</v>
      </c>
      <c r="O59" s="4">
        <f t="shared" si="9"/>
        <v>0.9</v>
      </c>
      <c r="P59" s="4">
        <f t="shared" si="10"/>
        <v>19.25</v>
      </c>
    </row>
    <row r="60" ht="15.75" customHeight="1">
      <c r="A60" s="4">
        <v>2005.0</v>
      </c>
      <c r="B60" s="4">
        <v>210.0</v>
      </c>
      <c r="C60" s="4">
        <v>10.66</v>
      </c>
      <c r="D60" s="4">
        <v>25.44</v>
      </c>
      <c r="E60" s="4">
        <f t="shared" si="1"/>
        <v>0</v>
      </c>
      <c r="F60" s="4">
        <f t="shared" si="2"/>
        <v>0</v>
      </c>
      <c r="G60" s="4">
        <f t="shared" si="3"/>
        <v>39.7832</v>
      </c>
      <c r="H60" s="4">
        <f t="shared" si="4"/>
        <v>34.2919</v>
      </c>
      <c r="I60" s="4" t="str">
        <f t="shared" si="5"/>
        <v> </v>
      </c>
      <c r="J60" s="4">
        <v>0.0</v>
      </c>
      <c r="K60" s="4">
        <v>18.38</v>
      </c>
      <c r="L60" s="4">
        <f t="shared" si="6"/>
        <v>3</v>
      </c>
      <c r="M60" s="4">
        <f t="shared" si="7"/>
        <v>0</v>
      </c>
      <c r="N60" s="4">
        <f t="shared" si="8"/>
        <v>-8.9883</v>
      </c>
      <c r="O60" s="4">
        <f t="shared" si="9"/>
        <v>0</v>
      </c>
      <c r="P60" s="4">
        <f t="shared" si="10"/>
        <v>18.38</v>
      </c>
    </row>
    <row r="61" ht="15.75" customHeight="1">
      <c r="A61" s="4">
        <v>2005.0</v>
      </c>
      <c r="B61" s="4">
        <v>211.0</v>
      </c>
      <c r="C61" s="4">
        <v>10.59</v>
      </c>
      <c r="D61" s="4">
        <v>27.27</v>
      </c>
      <c r="E61" s="4">
        <f t="shared" si="1"/>
        <v>0</v>
      </c>
      <c r="F61" s="4">
        <f t="shared" si="2"/>
        <v>0</v>
      </c>
      <c r="G61" s="4">
        <f t="shared" si="3"/>
        <v>39.7884</v>
      </c>
      <c r="H61" s="4">
        <f t="shared" si="4"/>
        <v>33.1217</v>
      </c>
      <c r="I61" s="4" t="str">
        <f t="shared" si="5"/>
        <v> </v>
      </c>
      <c r="J61" s="4">
        <v>0.0</v>
      </c>
      <c r="K61" s="4">
        <v>19.43</v>
      </c>
      <c r="L61" s="4">
        <f t="shared" si="6"/>
        <v>3</v>
      </c>
      <c r="M61" s="4">
        <f t="shared" si="7"/>
        <v>0</v>
      </c>
      <c r="N61" s="4">
        <f t="shared" si="8"/>
        <v>-9.50163</v>
      </c>
      <c r="O61" s="4">
        <f t="shared" si="9"/>
        <v>0</v>
      </c>
      <c r="P61" s="4">
        <f t="shared" si="10"/>
        <v>19.43</v>
      </c>
    </row>
    <row r="62" ht="15.75" customHeight="1">
      <c r="A62" s="4">
        <v>2005.0</v>
      </c>
      <c r="B62" s="4">
        <v>212.0</v>
      </c>
      <c r="C62" s="4">
        <v>13.53</v>
      </c>
      <c r="D62" s="4">
        <v>29.12</v>
      </c>
      <c r="E62" s="4">
        <f t="shared" si="1"/>
        <v>0</v>
      </c>
      <c r="F62" s="4">
        <f t="shared" si="2"/>
        <v>0</v>
      </c>
      <c r="G62" s="4">
        <f t="shared" si="3"/>
        <v>40.1564</v>
      </c>
      <c r="H62" s="4">
        <f t="shared" si="4"/>
        <v>33.68755</v>
      </c>
      <c r="I62" s="4" t="str">
        <f t="shared" si="5"/>
        <v> </v>
      </c>
      <c r="J62" s="4">
        <v>0.0</v>
      </c>
      <c r="K62" s="4">
        <v>21.32</v>
      </c>
      <c r="L62" s="4">
        <f t="shared" si="6"/>
        <v>3</v>
      </c>
      <c r="M62" s="4">
        <f t="shared" si="7"/>
        <v>0</v>
      </c>
      <c r="N62" s="4">
        <f t="shared" si="8"/>
        <v>-8.17179</v>
      </c>
      <c r="O62" s="4">
        <f t="shared" si="9"/>
        <v>0</v>
      </c>
      <c r="P62" s="4">
        <f t="shared" si="10"/>
        <v>21.32</v>
      </c>
    </row>
    <row r="63" ht="15.75" customHeight="1">
      <c r="A63" s="4">
        <v>2005.0</v>
      </c>
      <c r="B63" s="4">
        <v>213.0</v>
      </c>
      <c r="C63" s="4">
        <v>14.88</v>
      </c>
      <c r="D63" s="4">
        <v>30.04</v>
      </c>
      <c r="E63" s="4">
        <f t="shared" si="1"/>
        <v>0</v>
      </c>
      <c r="F63" s="4">
        <f t="shared" si="2"/>
        <v>0</v>
      </c>
      <c r="G63" s="4">
        <f t="shared" si="3"/>
        <v>41.1157</v>
      </c>
      <c r="H63" s="4">
        <f t="shared" si="4"/>
        <v>34.5746</v>
      </c>
      <c r="I63" s="4" t="str">
        <f t="shared" si="5"/>
        <v> </v>
      </c>
      <c r="J63" s="4">
        <v>0.0</v>
      </c>
      <c r="K63" s="4">
        <v>22.01</v>
      </c>
      <c r="L63" s="4">
        <f t="shared" si="6"/>
        <v>3</v>
      </c>
      <c r="M63" s="4">
        <f t="shared" si="7"/>
        <v>0</v>
      </c>
      <c r="N63" s="4">
        <f t="shared" si="8"/>
        <v>-11.46256</v>
      </c>
      <c r="O63" s="4">
        <f t="shared" si="9"/>
        <v>0</v>
      </c>
      <c r="P63" s="4">
        <f t="shared" si="10"/>
        <v>22.01</v>
      </c>
    </row>
    <row r="64" ht="15.75" customHeight="1">
      <c r="A64" s="4">
        <v>2005.0</v>
      </c>
      <c r="B64" s="4">
        <v>214.0</v>
      </c>
      <c r="C64" s="4">
        <v>17.84</v>
      </c>
      <c r="D64" s="4">
        <v>27.81</v>
      </c>
      <c r="E64" s="4">
        <f t="shared" si="1"/>
        <v>0</v>
      </c>
      <c r="F64" s="4">
        <f t="shared" si="2"/>
        <v>0</v>
      </c>
      <c r="G64" s="4">
        <f t="shared" si="3"/>
        <v>41.0589</v>
      </c>
      <c r="H64" s="4">
        <f t="shared" si="4"/>
        <v>34.8585</v>
      </c>
      <c r="I64" s="4" t="str">
        <f t="shared" si="5"/>
        <v> </v>
      </c>
      <c r="J64" s="4">
        <v>0.0</v>
      </c>
      <c r="K64" s="4">
        <v>22.12</v>
      </c>
      <c r="L64" s="4">
        <f t="shared" si="6"/>
        <v>3</v>
      </c>
      <c r="M64" s="4">
        <f t="shared" si="7"/>
        <v>0</v>
      </c>
      <c r="N64" s="4">
        <f t="shared" si="8"/>
        <v>-11.21447</v>
      </c>
      <c r="O64" s="4">
        <f t="shared" si="9"/>
        <v>0</v>
      </c>
      <c r="P64" s="4">
        <f t="shared" si="10"/>
        <v>22.12</v>
      </c>
    </row>
    <row r="65" ht="15.75" customHeight="1">
      <c r="A65" s="4">
        <v>2005.0</v>
      </c>
      <c r="B65" s="4">
        <v>215.0</v>
      </c>
      <c r="C65" s="4">
        <v>12.63</v>
      </c>
      <c r="D65" s="4">
        <v>25.67</v>
      </c>
      <c r="E65" s="4">
        <f t="shared" si="1"/>
        <v>0</v>
      </c>
      <c r="F65" s="4">
        <f t="shared" si="2"/>
        <v>0</v>
      </c>
      <c r="G65" s="4">
        <f t="shared" si="3"/>
        <v>37.9183</v>
      </c>
      <c r="H65" s="4">
        <f t="shared" si="4"/>
        <v>32.4763</v>
      </c>
      <c r="I65" s="4" t="str">
        <f t="shared" si="5"/>
        <v> </v>
      </c>
      <c r="J65" s="4">
        <v>0.0</v>
      </c>
      <c r="K65" s="4">
        <v>19.31</v>
      </c>
      <c r="L65" s="4">
        <f t="shared" si="6"/>
        <v>3</v>
      </c>
      <c r="M65" s="4">
        <f t="shared" si="7"/>
        <v>0</v>
      </c>
      <c r="N65" s="4">
        <f t="shared" si="8"/>
        <v>-11.03608</v>
      </c>
      <c r="O65" s="4">
        <f t="shared" si="9"/>
        <v>0</v>
      </c>
      <c r="P65" s="4">
        <f t="shared" si="10"/>
        <v>19.31</v>
      </c>
    </row>
    <row r="66" ht="15.75" customHeight="1">
      <c r="A66" s="4">
        <v>2005.0</v>
      </c>
      <c r="B66" s="4">
        <v>216.0</v>
      </c>
      <c r="C66" s="4">
        <v>10.2</v>
      </c>
      <c r="D66" s="4">
        <v>25.83</v>
      </c>
      <c r="E66" s="4">
        <f t="shared" si="1"/>
        <v>0</v>
      </c>
      <c r="F66" s="4">
        <f t="shared" si="2"/>
        <v>0</v>
      </c>
      <c r="G66" s="4">
        <f t="shared" si="3"/>
        <v>38.4732</v>
      </c>
      <c r="H66" s="4">
        <f t="shared" si="4"/>
        <v>32.46645</v>
      </c>
      <c r="I66" s="4" t="str">
        <f t="shared" si="5"/>
        <v> </v>
      </c>
      <c r="J66" s="4">
        <v>0.0</v>
      </c>
      <c r="K66" s="4">
        <v>18.03</v>
      </c>
      <c r="L66" s="4">
        <f t="shared" si="6"/>
        <v>3</v>
      </c>
      <c r="M66" s="4">
        <f t="shared" si="7"/>
        <v>0</v>
      </c>
      <c r="N66" s="4">
        <f t="shared" si="8"/>
        <v>-10.37022</v>
      </c>
      <c r="O66" s="4">
        <f t="shared" si="9"/>
        <v>0</v>
      </c>
      <c r="P66" s="4">
        <f t="shared" si="10"/>
        <v>18.03</v>
      </c>
    </row>
    <row r="67" ht="15.75" customHeight="1">
      <c r="A67" s="4">
        <v>2005.0</v>
      </c>
      <c r="B67" s="4">
        <v>217.0</v>
      </c>
      <c r="C67" s="4">
        <v>9.46</v>
      </c>
      <c r="D67" s="4">
        <v>27.37</v>
      </c>
      <c r="E67" s="4">
        <f t="shared" si="1"/>
        <v>0</v>
      </c>
      <c r="F67" s="4">
        <f t="shared" si="2"/>
        <v>0</v>
      </c>
      <c r="G67" s="4">
        <f t="shared" si="3"/>
        <v>39.9712</v>
      </c>
      <c r="H67" s="4">
        <f t="shared" si="4"/>
        <v>36.4205</v>
      </c>
      <c r="I67" s="4" t="str">
        <f t="shared" si="5"/>
        <v> </v>
      </c>
      <c r="J67" s="4">
        <v>0.0</v>
      </c>
      <c r="K67" s="4">
        <v>19.03</v>
      </c>
      <c r="L67" s="4">
        <f t="shared" si="6"/>
        <v>3</v>
      </c>
      <c r="M67" s="4">
        <f t="shared" si="7"/>
        <v>0</v>
      </c>
      <c r="N67" s="4">
        <f t="shared" si="8"/>
        <v>-9.63314</v>
      </c>
      <c r="O67" s="4">
        <f t="shared" si="9"/>
        <v>0</v>
      </c>
      <c r="P67" s="4">
        <f t="shared" si="10"/>
        <v>19.03</v>
      </c>
    </row>
    <row r="68" ht="15.75" customHeight="1">
      <c r="A68" s="4">
        <v>2005.0</v>
      </c>
      <c r="B68" s="4">
        <v>218.0</v>
      </c>
      <c r="C68" s="4">
        <v>10.96</v>
      </c>
      <c r="D68" s="4">
        <v>27.91</v>
      </c>
      <c r="E68" s="4">
        <f t="shared" si="1"/>
        <v>0</v>
      </c>
      <c r="F68" s="4">
        <f t="shared" si="2"/>
        <v>0</v>
      </c>
      <c r="G68" s="4">
        <f t="shared" si="3"/>
        <v>40.2659</v>
      </c>
      <c r="H68" s="4">
        <f t="shared" si="4"/>
        <v>34.1772</v>
      </c>
      <c r="I68" s="4" t="str">
        <f t="shared" si="5"/>
        <v> </v>
      </c>
      <c r="J68" s="4">
        <v>0.0</v>
      </c>
      <c r="K68" s="4">
        <v>20.27</v>
      </c>
      <c r="L68" s="4">
        <f t="shared" si="6"/>
        <v>3</v>
      </c>
      <c r="M68" s="4">
        <f t="shared" si="7"/>
        <v>0</v>
      </c>
      <c r="N68" s="4">
        <f t="shared" si="8"/>
        <v>-11.14023</v>
      </c>
      <c r="O68" s="4">
        <f t="shared" si="9"/>
        <v>0</v>
      </c>
      <c r="P68" s="4">
        <f t="shared" si="10"/>
        <v>20.27</v>
      </c>
    </row>
    <row r="69" ht="15.75" customHeight="1">
      <c r="A69" s="4">
        <v>2005.0</v>
      </c>
      <c r="B69" s="4">
        <v>219.0</v>
      </c>
      <c r="C69" s="4">
        <v>12.93</v>
      </c>
      <c r="D69" s="4">
        <v>26.27</v>
      </c>
      <c r="E69" s="4">
        <f t="shared" si="1"/>
        <v>0</v>
      </c>
      <c r="F69" s="4">
        <f t="shared" si="2"/>
        <v>0</v>
      </c>
      <c r="G69" s="4">
        <f t="shared" si="3"/>
        <v>35.2257</v>
      </c>
      <c r="H69" s="4">
        <f t="shared" si="4"/>
        <v>33.0611</v>
      </c>
      <c r="I69" s="4" t="str">
        <f t="shared" si="5"/>
        <v> </v>
      </c>
      <c r="J69" s="4">
        <v>0.0</v>
      </c>
      <c r="K69" s="4">
        <v>19.93</v>
      </c>
      <c r="L69" s="4">
        <f t="shared" si="6"/>
        <v>3</v>
      </c>
      <c r="M69" s="4">
        <f t="shared" si="7"/>
        <v>0</v>
      </c>
      <c r="N69" s="4">
        <f t="shared" si="8"/>
        <v>-3.0304</v>
      </c>
      <c r="O69" s="4">
        <f t="shared" si="9"/>
        <v>0</v>
      </c>
      <c r="P69" s="4">
        <f t="shared" si="10"/>
        <v>19.93</v>
      </c>
    </row>
    <row r="70" ht="15.75" customHeight="1">
      <c r="A70" s="4">
        <v>2005.0</v>
      </c>
      <c r="B70" s="4">
        <v>220.0</v>
      </c>
      <c r="C70" s="4">
        <v>10.96</v>
      </c>
      <c r="D70" s="4">
        <v>27.41</v>
      </c>
      <c r="E70" s="4">
        <f t="shared" si="1"/>
        <v>0</v>
      </c>
      <c r="F70" s="4">
        <f t="shared" si="2"/>
        <v>0</v>
      </c>
      <c r="G70" s="4">
        <f t="shared" si="3"/>
        <v>39.1634</v>
      </c>
      <c r="H70" s="4">
        <f t="shared" si="4"/>
        <v>36.1197</v>
      </c>
      <c r="I70" s="4" t="str">
        <f t="shared" si="5"/>
        <v> </v>
      </c>
      <c r="J70" s="4">
        <v>0.0</v>
      </c>
      <c r="K70" s="4">
        <v>20.27</v>
      </c>
      <c r="L70" s="4">
        <f t="shared" si="6"/>
        <v>3</v>
      </c>
      <c r="M70" s="4">
        <f t="shared" si="7"/>
        <v>0</v>
      </c>
      <c r="N70" s="4">
        <f t="shared" si="8"/>
        <v>-2.55125</v>
      </c>
      <c r="O70" s="4">
        <f t="shared" si="9"/>
        <v>0</v>
      </c>
      <c r="P70" s="4">
        <f t="shared" si="10"/>
        <v>20.27</v>
      </c>
    </row>
    <row r="71" ht="15.75" customHeight="1">
      <c r="A71" s="4">
        <v>2005.0</v>
      </c>
      <c r="B71" s="4">
        <v>221.0</v>
      </c>
      <c r="C71" s="4">
        <v>16.02</v>
      </c>
      <c r="D71" s="4">
        <v>28.31</v>
      </c>
      <c r="E71" s="4">
        <f t="shared" si="1"/>
        <v>1</v>
      </c>
      <c r="F71" s="4">
        <f t="shared" si="2"/>
        <v>0</v>
      </c>
      <c r="G71" s="4">
        <f t="shared" si="3"/>
        <v>41.7685</v>
      </c>
      <c r="H71" s="4">
        <f t="shared" si="4"/>
        <v>40.8496</v>
      </c>
      <c r="I71" s="4" t="str">
        <f t="shared" si="5"/>
        <v> </v>
      </c>
      <c r="J71" s="4">
        <v>0.2</v>
      </c>
      <c r="K71" s="4">
        <v>21.65</v>
      </c>
      <c r="L71" s="4">
        <f t="shared" si="6"/>
        <v>8</v>
      </c>
      <c r="M71" s="4">
        <f t="shared" si="7"/>
        <v>0</v>
      </c>
      <c r="N71" s="4">
        <f t="shared" si="8"/>
        <v>-3.0846</v>
      </c>
      <c r="O71" s="4">
        <f t="shared" si="9"/>
        <v>0.2</v>
      </c>
      <c r="P71" s="4">
        <f t="shared" si="10"/>
        <v>21.65</v>
      </c>
    </row>
    <row r="72" ht="15.75" customHeight="1">
      <c r="A72" s="4">
        <v>2005.0</v>
      </c>
      <c r="B72" s="4">
        <v>222.0</v>
      </c>
      <c r="C72" s="4">
        <v>10.76</v>
      </c>
      <c r="D72" s="4">
        <v>25.22</v>
      </c>
      <c r="E72" s="4">
        <f t="shared" si="1"/>
        <v>0</v>
      </c>
      <c r="F72" s="4">
        <f t="shared" si="2"/>
        <v>0</v>
      </c>
      <c r="G72" s="4">
        <f t="shared" si="3"/>
        <v>36.0271</v>
      </c>
      <c r="H72" s="4">
        <f t="shared" si="4"/>
        <v>34.72895</v>
      </c>
      <c r="I72" s="4" t="str">
        <f t="shared" si="5"/>
        <v> </v>
      </c>
      <c r="J72" s="4">
        <v>0.0</v>
      </c>
      <c r="K72" s="4">
        <v>17.81</v>
      </c>
      <c r="L72" s="4">
        <f t="shared" si="6"/>
        <v>3</v>
      </c>
      <c r="M72" s="4">
        <f t="shared" si="7"/>
        <v>0</v>
      </c>
      <c r="N72" s="4">
        <f t="shared" si="8"/>
        <v>-0.09079</v>
      </c>
      <c r="O72" s="4">
        <f t="shared" si="9"/>
        <v>0</v>
      </c>
      <c r="P72" s="4">
        <f t="shared" si="10"/>
        <v>17.81</v>
      </c>
    </row>
    <row r="73" ht="15.75" customHeight="1">
      <c r="A73" s="4">
        <v>2005.0</v>
      </c>
      <c r="B73" s="4">
        <v>223.0</v>
      </c>
      <c r="C73" s="4">
        <v>8.6</v>
      </c>
      <c r="D73" s="4">
        <v>19.66</v>
      </c>
      <c r="E73" s="4">
        <f t="shared" si="1"/>
        <v>1</v>
      </c>
      <c r="F73" s="4">
        <f t="shared" si="2"/>
        <v>1</v>
      </c>
      <c r="G73" s="4">
        <f t="shared" si="3"/>
        <v>34.9891</v>
      </c>
      <c r="H73" s="4">
        <f t="shared" si="4"/>
        <v>35.9957</v>
      </c>
      <c r="I73" s="4">
        <f t="shared" si="5"/>
        <v>1.0066</v>
      </c>
      <c r="J73" s="4">
        <v>5.7</v>
      </c>
      <c r="K73" s="4">
        <v>13.58</v>
      </c>
      <c r="L73" s="4">
        <f t="shared" si="6"/>
        <v>8</v>
      </c>
      <c r="M73" s="4">
        <f t="shared" si="7"/>
        <v>1</v>
      </c>
      <c r="N73" s="4">
        <f t="shared" si="8"/>
        <v>1.06287</v>
      </c>
      <c r="O73" s="4">
        <f t="shared" si="9"/>
        <v>5.7</v>
      </c>
      <c r="P73" s="4">
        <f t="shared" si="10"/>
        <v>13.58</v>
      </c>
    </row>
    <row r="74" ht="15.75" customHeight="1">
      <c r="A74" s="4">
        <v>2005.0</v>
      </c>
      <c r="B74" s="4">
        <v>224.0</v>
      </c>
      <c r="C74" s="4">
        <v>9.36</v>
      </c>
      <c r="D74" s="4">
        <v>25.67</v>
      </c>
      <c r="E74" s="4">
        <f t="shared" si="1"/>
        <v>0</v>
      </c>
      <c r="F74" s="4">
        <f t="shared" si="2"/>
        <v>0</v>
      </c>
      <c r="G74" s="4">
        <f t="shared" si="3"/>
        <v>38.0684</v>
      </c>
      <c r="H74" s="4">
        <f t="shared" si="4"/>
        <v>36.55625</v>
      </c>
      <c r="I74" s="4" t="str">
        <f t="shared" si="5"/>
        <v> </v>
      </c>
      <c r="J74" s="4">
        <v>0.0</v>
      </c>
      <c r="K74" s="4">
        <v>17.52</v>
      </c>
      <c r="L74" s="4">
        <f t="shared" si="6"/>
        <v>3</v>
      </c>
      <c r="M74" s="4">
        <f t="shared" si="7"/>
        <v>1</v>
      </c>
      <c r="N74" s="4">
        <f t="shared" si="8"/>
        <v>4.66898</v>
      </c>
      <c r="O74" s="4">
        <f t="shared" si="9"/>
        <v>0</v>
      </c>
      <c r="P74" s="4">
        <f t="shared" si="10"/>
        <v>17.52</v>
      </c>
    </row>
    <row r="75" ht="15.75" customHeight="1">
      <c r="A75" s="4">
        <v>2005.0</v>
      </c>
      <c r="B75" s="4">
        <v>225.0</v>
      </c>
      <c r="C75" s="4">
        <v>13.15</v>
      </c>
      <c r="D75" s="4">
        <v>25.56</v>
      </c>
      <c r="E75" s="4">
        <f t="shared" si="1"/>
        <v>1</v>
      </c>
      <c r="F75" s="4">
        <f t="shared" si="2"/>
        <v>0</v>
      </c>
      <c r="G75" s="4">
        <f t="shared" si="3"/>
        <v>40.437</v>
      </c>
      <c r="H75" s="4">
        <f t="shared" si="4"/>
        <v>39.76935</v>
      </c>
      <c r="I75" s="4" t="str">
        <f t="shared" si="5"/>
        <v> </v>
      </c>
      <c r="J75" s="4">
        <v>2.9</v>
      </c>
      <c r="K75" s="4">
        <v>17.46</v>
      </c>
      <c r="L75" s="4">
        <f t="shared" si="6"/>
        <v>8</v>
      </c>
      <c r="M75" s="4">
        <f t="shared" si="7"/>
        <v>1</v>
      </c>
      <c r="N75" s="4">
        <f t="shared" si="8"/>
        <v>7.29579</v>
      </c>
      <c r="O75" s="4">
        <f t="shared" si="9"/>
        <v>2.9</v>
      </c>
      <c r="P75" s="4">
        <f t="shared" si="10"/>
        <v>17.46</v>
      </c>
    </row>
    <row r="76" ht="15.75" customHeight="1">
      <c r="A76" s="4">
        <v>2005.0</v>
      </c>
      <c r="B76" s="4">
        <v>226.0</v>
      </c>
      <c r="C76" s="4">
        <v>12.56</v>
      </c>
      <c r="D76" s="4">
        <v>23.99</v>
      </c>
      <c r="E76" s="4">
        <f t="shared" si="1"/>
        <v>1</v>
      </c>
      <c r="F76" s="4">
        <f t="shared" si="2"/>
        <v>0</v>
      </c>
      <c r="G76" s="4">
        <f t="shared" si="3"/>
        <v>34.662</v>
      </c>
      <c r="H76" s="4">
        <f t="shared" si="4"/>
        <v>33.0277</v>
      </c>
      <c r="I76" s="4" t="str">
        <f t="shared" si="5"/>
        <v> </v>
      </c>
      <c r="J76" s="4">
        <v>0.1</v>
      </c>
      <c r="K76" s="4">
        <v>17.15</v>
      </c>
      <c r="L76" s="4">
        <f t="shared" si="6"/>
        <v>8</v>
      </c>
      <c r="M76" s="4">
        <f t="shared" si="7"/>
        <v>1</v>
      </c>
      <c r="N76" s="4">
        <f t="shared" si="8"/>
        <v>4.16974</v>
      </c>
      <c r="O76" s="4">
        <f t="shared" si="9"/>
        <v>0.1</v>
      </c>
      <c r="P76" s="4">
        <f t="shared" si="10"/>
        <v>17.15</v>
      </c>
    </row>
    <row r="77" ht="15.75" customHeight="1">
      <c r="A77" s="4">
        <v>2005.0</v>
      </c>
      <c r="B77" s="4">
        <v>227.0</v>
      </c>
      <c r="C77" s="4">
        <v>10.29</v>
      </c>
      <c r="D77" s="4">
        <v>23.48</v>
      </c>
      <c r="E77" s="4">
        <f t="shared" si="1"/>
        <v>1</v>
      </c>
      <c r="F77" s="4">
        <f t="shared" si="2"/>
        <v>0</v>
      </c>
      <c r="G77" s="4">
        <f t="shared" si="3"/>
        <v>29.9303</v>
      </c>
      <c r="H77" s="4">
        <f t="shared" si="4"/>
        <v>26.9249</v>
      </c>
      <c r="I77" s="4" t="str">
        <f t="shared" si="5"/>
        <v> </v>
      </c>
      <c r="J77" s="4">
        <v>10.1</v>
      </c>
      <c r="K77" s="4">
        <v>16.72</v>
      </c>
      <c r="L77" s="4">
        <f t="shared" si="6"/>
        <v>8</v>
      </c>
      <c r="M77" s="4">
        <f t="shared" si="7"/>
        <v>0</v>
      </c>
      <c r="N77" s="4">
        <f t="shared" si="8"/>
        <v>-5.01389</v>
      </c>
      <c r="O77" s="4">
        <f t="shared" si="9"/>
        <v>10.1</v>
      </c>
      <c r="P77" s="4">
        <f t="shared" si="10"/>
        <v>16.72</v>
      </c>
    </row>
    <row r="78" ht="15.75" customHeight="1">
      <c r="A78" s="4">
        <v>2005.0</v>
      </c>
      <c r="B78" s="4">
        <v>228.0</v>
      </c>
      <c r="C78" s="4">
        <v>11.49</v>
      </c>
      <c r="D78" s="4">
        <v>24.69</v>
      </c>
      <c r="E78" s="4">
        <f t="shared" si="1"/>
        <v>0</v>
      </c>
      <c r="F78" s="4">
        <f t="shared" si="2"/>
        <v>0</v>
      </c>
      <c r="G78" s="4">
        <f t="shared" si="3"/>
        <v>27.34597</v>
      </c>
      <c r="H78" s="4">
        <f t="shared" si="4"/>
        <v>22.058</v>
      </c>
      <c r="I78" s="4" t="str">
        <f t="shared" si="5"/>
        <v> </v>
      </c>
      <c r="J78" s="4">
        <v>0.0</v>
      </c>
      <c r="K78" s="4">
        <v>17.38</v>
      </c>
      <c r="L78" s="4">
        <f t="shared" si="6"/>
        <v>3</v>
      </c>
      <c r="M78" s="4">
        <f t="shared" si="7"/>
        <v>0</v>
      </c>
      <c r="N78" s="4">
        <f t="shared" si="8"/>
        <v>-9.10154</v>
      </c>
      <c r="O78" s="4">
        <f t="shared" si="9"/>
        <v>0</v>
      </c>
      <c r="P78" s="4">
        <f t="shared" si="10"/>
        <v>17.38</v>
      </c>
    </row>
    <row r="79" ht="15.75" customHeight="1">
      <c r="A79" s="4">
        <v>2005.0</v>
      </c>
      <c r="B79" s="4">
        <v>229.0</v>
      </c>
      <c r="C79" s="4">
        <v>12.22</v>
      </c>
      <c r="D79" s="4">
        <v>25.05</v>
      </c>
      <c r="E79" s="4">
        <f t="shared" si="1"/>
        <v>0</v>
      </c>
      <c r="F79" s="4">
        <f t="shared" si="2"/>
        <v>0</v>
      </c>
      <c r="G79" s="4">
        <f t="shared" si="3"/>
        <v>28.71687</v>
      </c>
      <c r="H79" s="4">
        <f t="shared" si="4"/>
        <v>23.423005</v>
      </c>
      <c r="I79" s="4" t="str">
        <f t="shared" si="5"/>
        <v> </v>
      </c>
      <c r="J79" s="4">
        <v>0.0</v>
      </c>
      <c r="K79" s="4">
        <v>18.22</v>
      </c>
      <c r="L79" s="4">
        <f t="shared" si="6"/>
        <v>3</v>
      </c>
      <c r="M79" s="4">
        <f t="shared" si="7"/>
        <v>0</v>
      </c>
      <c r="N79" s="4">
        <f t="shared" si="8"/>
        <v>-10.29071</v>
      </c>
      <c r="O79" s="4">
        <f t="shared" si="9"/>
        <v>0</v>
      </c>
      <c r="P79" s="4">
        <f t="shared" si="10"/>
        <v>18.22</v>
      </c>
    </row>
    <row r="80" ht="15.75" customHeight="1">
      <c r="A80" s="4">
        <v>2005.0</v>
      </c>
      <c r="B80" s="4">
        <v>230.0</v>
      </c>
      <c r="C80" s="4">
        <v>11.36</v>
      </c>
      <c r="D80" s="4">
        <v>21.23</v>
      </c>
      <c r="E80" s="4">
        <f t="shared" si="1"/>
        <v>0</v>
      </c>
      <c r="F80" s="4">
        <f t="shared" si="2"/>
        <v>0</v>
      </c>
      <c r="G80" s="4">
        <f t="shared" si="3"/>
        <v>26.98988</v>
      </c>
      <c r="H80" s="4">
        <f t="shared" si="4"/>
        <v>22.918775</v>
      </c>
      <c r="I80" s="4" t="str">
        <f t="shared" si="5"/>
        <v> </v>
      </c>
      <c r="J80" s="4">
        <v>0.0</v>
      </c>
      <c r="K80" s="4">
        <v>16.35</v>
      </c>
      <c r="L80" s="4">
        <f t="shared" si="6"/>
        <v>3</v>
      </c>
      <c r="M80" s="4">
        <f t="shared" si="7"/>
        <v>0</v>
      </c>
      <c r="N80" s="4">
        <f t="shared" si="8"/>
        <v>-10.410214</v>
      </c>
      <c r="O80" s="4">
        <f t="shared" si="9"/>
        <v>0</v>
      </c>
      <c r="P80" s="4">
        <f t="shared" si="10"/>
        <v>16.35</v>
      </c>
    </row>
    <row r="81" ht="15.75" customHeight="1">
      <c r="A81" s="4">
        <v>2005.0</v>
      </c>
      <c r="B81" s="4">
        <v>231.0</v>
      </c>
      <c r="C81" s="4">
        <v>7.93</v>
      </c>
      <c r="D81" s="4">
        <v>19.86</v>
      </c>
      <c r="E81" s="4">
        <f t="shared" si="1"/>
        <v>0</v>
      </c>
      <c r="F81" s="4">
        <f t="shared" si="2"/>
        <v>0</v>
      </c>
      <c r="G81" s="4">
        <f t="shared" si="3"/>
        <v>27.41021</v>
      </c>
      <c r="H81" s="4">
        <f t="shared" si="4"/>
        <v>23.36853</v>
      </c>
      <c r="I81" s="4" t="str">
        <f t="shared" si="5"/>
        <v> </v>
      </c>
      <c r="J81" s="4">
        <v>0.0</v>
      </c>
      <c r="K81" s="4">
        <v>13.63</v>
      </c>
      <c r="L81" s="4">
        <f t="shared" si="6"/>
        <v>3</v>
      </c>
      <c r="M81" s="4">
        <f t="shared" si="7"/>
        <v>0</v>
      </c>
      <c r="N81" s="4">
        <f t="shared" si="8"/>
        <v>-10.702747</v>
      </c>
      <c r="O81" s="4">
        <f t="shared" si="9"/>
        <v>0</v>
      </c>
      <c r="P81" s="4">
        <f t="shared" si="10"/>
        <v>13.63</v>
      </c>
    </row>
    <row r="82" ht="15.75" customHeight="1">
      <c r="A82" s="4">
        <v>2005.0</v>
      </c>
      <c r="B82" s="4">
        <v>232.0</v>
      </c>
      <c r="C82" s="4">
        <v>5.327</v>
      </c>
      <c r="D82" s="4">
        <v>21.16</v>
      </c>
      <c r="E82" s="4">
        <f t="shared" si="1"/>
        <v>0</v>
      </c>
      <c r="F82" s="4">
        <f t="shared" si="2"/>
        <v>0</v>
      </c>
      <c r="G82" s="4">
        <f t="shared" si="3"/>
        <v>27.53785</v>
      </c>
      <c r="H82" s="4">
        <f t="shared" si="4"/>
        <v>22.56813</v>
      </c>
      <c r="I82" s="4" t="str">
        <f t="shared" si="5"/>
        <v> </v>
      </c>
      <c r="J82" s="4">
        <v>0.0</v>
      </c>
      <c r="K82" s="4">
        <v>13.45</v>
      </c>
      <c r="L82" s="4">
        <f t="shared" si="6"/>
        <v>3</v>
      </c>
      <c r="M82" s="4">
        <f t="shared" si="7"/>
        <v>0</v>
      </c>
      <c r="N82" s="4">
        <f t="shared" si="8"/>
        <v>-8.621847</v>
      </c>
      <c r="O82" s="4">
        <f t="shared" si="9"/>
        <v>0</v>
      </c>
      <c r="P82" s="4">
        <f t="shared" si="10"/>
        <v>13.45</v>
      </c>
    </row>
    <row r="83" ht="15.75" customHeight="1">
      <c r="A83" s="4">
        <v>2005.0</v>
      </c>
      <c r="B83" s="4">
        <v>233.0</v>
      </c>
      <c r="C83" s="4">
        <v>4.665</v>
      </c>
      <c r="D83" s="4">
        <v>24.15</v>
      </c>
      <c r="E83" s="4">
        <f t="shared" si="1"/>
        <v>0</v>
      </c>
      <c r="F83" s="4">
        <f t="shared" si="2"/>
        <v>0</v>
      </c>
      <c r="G83" s="4">
        <f t="shared" si="3"/>
        <v>27.19225</v>
      </c>
      <c r="H83" s="4">
        <f t="shared" si="4"/>
        <v>22.29405</v>
      </c>
      <c r="I83" s="4" t="str">
        <f t="shared" si="5"/>
        <v> </v>
      </c>
      <c r="J83" s="4">
        <v>0.0</v>
      </c>
      <c r="K83" s="4">
        <v>14.94</v>
      </c>
      <c r="L83" s="4">
        <f t="shared" si="6"/>
        <v>3</v>
      </c>
      <c r="M83" s="4">
        <f t="shared" si="7"/>
        <v>0</v>
      </c>
      <c r="N83" s="4">
        <f t="shared" si="8"/>
        <v>-8.27408</v>
      </c>
      <c r="O83" s="4">
        <f t="shared" si="9"/>
        <v>0</v>
      </c>
      <c r="P83" s="4">
        <f t="shared" si="10"/>
        <v>14.94</v>
      </c>
    </row>
    <row r="84" ht="15.75" customHeight="1">
      <c r="A84" s="4">
        <v>2005.0</v>
      </c>
      <c r="B84" s="4">
        <v>234.0</v>
      </c>
      <c r="C84" s="4">
        <v>9.16</v>
      </c>
      <c r="D84" s="4">
        <v>24.09</v>
      </c>
      <c r="E84" s="4">
        <f t="shared" si="1"/>
        <v>0</v>
      </c>
      <c r="F84" s="4">
        <f t="shared" si="2"/>
        <v>0</v>
      </c>
      <c r="G84" s="4">
        <f t="shared" si="3"/>
        <v>28.84175</v>
      </c>
      <c r="H84" s="4">
        <f t="shared" si="4"/>
        <v>24.054275</v>
      </c>
      <c r="I84" s="4" t="str">
        <f t="shared" si="5"/>
        <v> </v>
      </c>
      <c r="J84" s="4">
        <v>0.0</v>
      </c>
      <c r="K84" s="4">
        <v>16.18</v>
      </c>
      <c r="L84" s="4">
        <f t="shared" si="6"/>
        <v>3</v>
      </c>
      <c r="M84" s="4">
        <f t="shared" si="7"/>
        <v>0</v>
      </c>
      <c r="N84" s="4">
        <f t="shared" si="8"/>
        <v>-10.32726</v>
      </c>
      <c r="O84" s="4">
        <f t="shared" si="9"/>
        <v>0</v>
      </c>
      <c r="P84" s="4">
        <f t="shared" si="10"/>
        <v>16.18</v>
      </c>
    </row>
    <row r="85" ht="15.75" customHeight="1">
      <c r="A85" s="4">
        <v>2005.0</v>
      </c>
      <c r="B85" s="4">
        <v>235.0</v>
      </c>
      <c r="C85" s="4">
        <v>11.99</v>
      </c>
      <c r="D85" s="4">
        <v>24.29</v>
      </c>
      <c r="E85" s="4">
        <f t="shared" si="1"/>
        <v>0</v>
      </c>
      <c r="F85" s="4">
        <f t="shared" si="2"/>
        <v>0</v>
      </c>
      <c r="G85" s="4">
        <f t="shared" si="3"/>
        <v>30.41013</v>
      </c>
      <c r="H85" s="4">
        <f t="shared" si="4"/>
        <v>25.364275</v>
      </c>
      <c r="I85" s="4" t="str">
        <f t="shared" si="5"/>
        <v> </v>
      </c>
      <c r="J85" s="4">
        <v>0.0</v>
      </c>
      <c r="K85" s="4">
        <v>17.75</v>
      </c>
      <c r="L85" s="4">
        <f t="shared" si="6"/>
        <v>3</v>
      </c>
      <c r="M85" s="4">
        <f t="shared" si="7"/>
        <v>0</v>
      </c>
      <c r="N85" s="4">
        <f t="shared" si="8"/>
        <v>-11.40798</v>
      </c>
      <c r="O85" s="4">
        <f t="shared" si="9"/>
        <v>0</v>
      </c>
      <c r="P85" s="4">
        <f t="shared" si="10"/>
        <v>17.75</v>
      </c>
    </row>
    <row r="86" ht="15.75" customHeight="1">
      <c r="A86" s="4">
        <v>2005.0</v>
      </c>
      <c r="B86" s="4">
        <v>236.0</v>
      </c>
      <c r="C86" s="4">
        <v>9.3</v>
      </c>
      <c r="D86" s="4">
        <v>23.22</v>
      </c>
      <c r="E86" s="4">
        <f t="shared" si="1"/>
        <v>0</v>
      </c>
      <c r="F86" s="4">
        <f t="shared" si="2"/>
        <v>0</v>
      </c>
      <c r="G86" s="4">
        <f t="shared" si="3"/>
        <v>28.87573</v>
      </c>
      <c r="H86" s="4">
        <f t="shared" si="4"/>
        <v>26.366095</v>
      </c>
      <c r="I86" s="4" t="str">
        <f t="shared" si="5"/>
        <v> </v>
      </c>
      <c r="J86" s="4">
        <v>0.0</v>
      </c>
      <c r="K86" s="4">
        <v>15.99</v>
      </c>
      <c r="L86" s="4">
        <f t="shared" si="6"/>
        <v>3</v>
      </c>
      <c r="M86" s="4">
        <f t="shared" si="7"/>
        <v>0</v>
      </c>
      <c r="N86" s="4">
        <f t="shared" si="8"/>
        <v>-10.868175</v>
      </c>
      <c r="O86" s="4">
        <f t="shared" si="9"/>
        <v>0</v>
      </c>
      <c r="P86" s="4">
        <f t="shared" si="10"/>
        <v>15.99</v>
      </c>
    </row>
    <row r="87" ht="15.75" customHeight="1">
      <c r="A87" s="4">
        <v>2005.0</v>
      </c>
      <c r="B87" s="4">
        <v>237.0</v>
      </c>
      <c r="C87" s="4">
        <v>6.265</v>
      </c>
      <c r="D87" s="4">
        <v>21.6</v>
      </c>
      <c r="E87" s="4">
        <f t="shared" si="1"/>
        <v>0</v>
      </c>
      <c r="F87" s="4">
        <f t="shared" si="2"/>
        <v>0</v>
      </c>
      <c r="G87" s="4">
        <f t="shared" si="3"/>
        <v>27.11177</v>
      </c>
      <c r="H87" s="4">
        <f t="shared" si="4"/>
        <v>23.3811</v>
      </c>
      <c r="I87" s="4" t="str">
        <f t="shared" si="5"/>
        <v> </v>
      </c>
      <c r="J87" s="4">
        <v>0.0</v>
      </c>
      <c r="K87" s="4">
        <v>14.26</v>
      </c>
      <c r="L87" s="4">
        <f t="shared" si="6"/>
        <v>3</v>
      </c>
      <c r="M87" s="4">
        <f t="shared" si="7"/>
        <v>0</v>
      </c>
      <c r="N87" s="4">
        <f t="shared" si="8"/>
        <v>-10.258461</v>
      </c>
      <c r="O87" s="4">
        <f t="shared" si="9"/>
        <v>0</v>
      </c>
      <c r="P87" s="4">
        <f t="shared" si="10"/>
        <v>14.26</v>
      </c>
    </row>
    <row r="88" ht="15.75" customHeight="1">
      <c r="A88" s="4">
        <v>2005.0</v>
      </c>
      <c r="B88" s="4">
        <v>238.0</v>
      </c>
      <c r="C88" s="4">
        <v>5.735</v>
      </c>
      <c r="D88" s="4">
        <v>23.08</v>
      </c>
      <c r="E88" s="4">
        <f t="shared" si="1"/>
        <v>0</v>
      </c>
      <c r="J88" s="4">
        <v>0.0</v>
      </c>
      <c r="K88" s="4">
        <v>15.17</v>
      </c>
      <c r="L88" s="4">
        <f t="shared" si="6"/>
        <v>3</v>
      </c>
      <c r="O88" s="4">
        <f t="shared" si="9"/>
        <v>0</v>
      </c>
      <c r="P88" s="4">
        <f t="shared" si="10"/>
        <v>15.17</v>
      </c>
    </row>
    <row r="89" ht="15.75" customHeight="1">
      <c r="A89" s="4">
        <v>2005.0</v>
      </c>
      <c r="B89" s="4">
        <v>239.0</v>
      </c>
      <c r="C89" s="4">
        <v>6.633</v>
      </c>
      <c r="D89" s="4">
        <v>23.92</v>
      </c>
      <c r="E89" s="4">
        <f t="shared" si="1"/>
        <v>0</v>
      </c>
      <c r="J89" s="4">
        <v>0.0</v>
      </c>
      <c r="K89" s="4">
        <v>15.99</v>
      </c>
      <c r="L89" s="4">
        <f t="shared" si="6"/>
        <v>3</v>
      </c>
      <c r="O89" s="4">
        <f t="shared" si="9"/>
        <v>0</v>
      </c>
      <c r="P89" s="4">
        <f t="shared" si="10"/>
        <v>15.99</v>
      </c>
    </row>
    <row r="90" ht="15.75" customHeight="1">
      <c r="A90" s="4">
        <v>2005.0</v>
      </c>
      <c r="B90" s="4">
        <v>240.0</v>
      </c>
      <c r="C90" s="4">
        <v>9.73</v>
      </c>
      <c r="D90" s="4">
        <v>22.56</v>
      </c>
      <c r="E90" s="4">
        <f t="shared" si="1"/>
        <v>1</v>
      </c>
      <c r="J90" s="4">
        <v>1.3</v>
      </c>
      <c r="K90" s="4">
        <v>16.36</v>
      </c>
      <c r="L90" s="4">
        <f t="shared" si="6"/>
        <v>8</v>
      </c>
      <c r="O90" s="4">
        <f t="shared" si="9"/>
        <v>1.3</v>
      </c>
      <c r="P90" s="4">
        <f t="shared" si="10"/>
        <v>16.36</v>
      </c>
    </row>
    <row r="91" ht="15.75" customHeight="1">
      <c r="A91" s="4">
        <v>2005.0</v>
      </c>
      <c r="B91" s="4">
        <v>241.0</v>
      </c>
      <c r="C91" s="4">
        <v>8.22</v>
      </c>
      <c r="D91" s="4">
        <v>20.47</v>
      </c>
      <c r="E91" s="4">
        <f t="shared" si="1"/>
        <v>0</v>
      </c>
      <c r="J91" s="4">
        <v>0.0</v>
      </c>
      <c r="K91" s="4">
        <v>13.92</v>
      </c>
      <c r="L91" s="4">
        <f t="shared" si="6"/>
        <v>3</v>
      </c>
      <c r="O91" s="4">
        <f t="shared" si="9"/>
        <v>0</v>
      </c>
      <c r="P91" s="4">
        <f t="shared" si="10"/>
        <v>13.92</v>
      </c>
    </row>
    <row r="92" ht="15.75" customHeight="1">
      <c r="A92" s="4">
        <v>2005.0</v>
      </c>
      <c r="B92" s="4">
        <v>242.0</v>
      </c>
      <c r="C92" s="4">
        <v>5.729</v>
      </c>
      <c r="D92" s="4">
        <v>21.97</v>
      </c>
      <c r="E92" s="4">
        <f t="shared" si="1"/>
        <v>1</v>
      </c>
      <c r="J92" s="4">
        <v>0.3</v>
      </c>
      <c r="K92" s="4">
        <v>14.42</v>
      </c>
      <c r="L92" s="4">
        <f t="shared" si="6"/>
        <v>8</v>
      </c>
      <c r="O92" s="4">
        <f t="shared" si="9"/>
        <v>0.3</v>
      </c>
      <c r="P92" s="4">
        <f t="shared" si="10"/>
        <v>14.42</v>
      </c>
    </row>
    <row r="93" ht="15.75" customHeight="1">
      <c r="A93" s="4">
        <v>2005.0</v>
      </c>
      <c r="B93" s="4">
        <v>243.0</v>
      </c>
      <c r="C93" s="4">
        <v>10.19</v>
      </c>
      <c r="D93" s="4">
        <v>15.32</v>
      </c>
      <c r="E93" s="4">
        <f t="shared" si="1"/>
        <v>1</v>
      </c>
      <c r="J93" s="4">
        <v>1.5</v>
      </c>
      <c r="K93" s="4">
        <v>12.64</v>
      </c>
      <c r="L93" s="4">
        <f t="shared" si="6"/>
        <v>8</v>
      </c>
      <c r="O93" s="4">
        <f t="shared" si="9"/>
        <v>1.5</v>
      </c>
      <c r="P93" s="4">
        <f t="shared" si="10"/>
        <v>12.64</v>
      </c>
    </row>
    <row r="94" ht="15.75" customHeight="1"/>
    <row r="95" ht="15.75" customHeight="1"/>
    <row r="96" ht="15.75" customHeight="1">
      <c r="O96" s="4">
        <f>SUM(O2:O93)</f>
        <v>128.1</v>
      </c>
      <c r="P96" s="4">
        <f>SUMIF(P2:P93,"&gt;0")/10</f>
        <v>158.12</v>
      </c>
    </row>
    <row r="97" ht="15.75" customHeight="1"/>
    <row r="98" ht="15.75" customHeight="1">
      <c r="I98" s="4">
        <f>SUM(I2:I87)</f>
        <v>19.02432</v>
      </c>
      <c r="O98" s="4" t="s">
        <v>15</v>
      </c>
      <c r="P98" s="4">
        <f>O96/P96</f>
        <v>0.8101441943</v>
      </c>
    </row>
    <row r="99" ht="15.75" customHeight="1">
      <c r="I99" s="4">
        <f>SUM(I2:I31)</f>
        <v>16.32352</v>
      </c>
      <c r="O99" s="4" t="s">
        <v>16</v>
      </c>
      <c r="P99" s="4">
        <f>SUM(O2:O31)/(SUM(P2:P31)/10)</f>
        <v>1.418179463</v>
      </c>
    </row>
    <row r="100" ht="15.75" customHeight="1">
      <c r="I100" s="4">
        <f>SUM(I32:I62)</f>
        <v>1.6942</v>
      </c>
      <c r="O100" s="4" t="s">
        <v>17</v>
      </c>
      <c r="P100" s="4">
        <f>SUM(O33:O62)/(SUM(P33:P62)/10)</f>
        <v>0.4058950596</v>
      </c>
    </row>
    <row r="101" ht="15.75" customHeight="1">
      <c r="I101" s="4">
        <f>SUM(I63:I93)</f>
        <v>1.0066</v>
      </c>
      <c r="O101" s="4" t="s">
        <v>18</v>
      </c>
      <c r="P101" s="4">
        <f>SUM(O63:O93)/(SUM(P63:P93)/10)</f>
        <v>0.4173669997</v>
      </c>
    </row>
    <row r="102" ht="15.75" customHeight="1">
      <c r="I102" s="4">
        <f>SUMIF(I2:I87,"&gt;0")</f>
        <v>19.02432</v>
      </c>
    </row>
    <row r="103" ht="15.75" customHeight="1">
      <c r="I103" s="4">
        <f>SUMIF(I2:I31,"&gt;0")</f>
        <v>16.32352</v>
      </c>
    </row>
    <row r="104" ht="15.75" customHeight="1">
      <c r="I104" s="4">
        <f>SUMIF(I32:I62,"&gt;0")</f>
        <v>1.6942</v>
      </c>
      <c r="P104" s="4">
        <f>SUM(O16:O35)/(SUM(P16:P35)/10)</f>
        <v>2.480507945</v>
      </c>
    </row>
    <row r="105" ht="15.75" customHeight="1">
      <c r="I105" s="4">
        <f>SUMIF(I63:I87,"&gt;0")</f>
        <v>1.0066</v>
      </c>
      <c r="P105" s="4">
        <f>SUM(O36:O55)/(SUM(P36:P55)/10)</f>
        <v>0.2850627138</v>
      </c>
    </row>
    <row r="106" ht="15.75" customHeight="1">
      <c r="P106" s="4">
        <f>SUM(O56:O77)/(SUM(P56:P77)/10)</f>
        <v>0.6958415185</v>
      </c>
    </row>
    <row r="107" ht="15.75" customHeight="1">
      <c r="P107" s="4">
        <f>SUM(O16:O77)/(SUM(P16:P77)/10)</f>
        <v>1.041029882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2006.0</v>
      </c>
      <c r="B2" s="4">
        <v>152.0</v>
      </c>
      <c r="C2" s="4">
        <v>11.15</v>
      </c>
      <c r="D2" s="4">
        <v>18.54</v>
      </c>
      <c r="E2" s="4">
        <f t="shared" ref="E2:E93" si="1">IF(J2&gt;0,1,0)</f>
        <v>1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33.84862</v>
      </c>
      <c r="H2" s="4">
        <f t="shared" ref="H2:H87" si="4">0.63 * D2 + 0.37 * D3 + 0.49 * D4 + 0.22 * D5 + 0.65 * D6 + 0.24 *C2 - 0.06 * C3- 0.15 * C4 - 0.135 * C5 + 0.15 * C6 + 4.88 * E2 + 3.55 * E3 + 3.34 *E4 + 2.5 * E5 + 2.29 *E6-31.34</f>
        <v>33.74149</v>
      </c>
      <c r="I2" s="4" t="str">
        <f t="shared" ref="I2:I87" si="5">IF((H2-G2)&gt;0,H2-G2," ")</f>
        <v> </v>
      </c>
      <c r="J2" s="4">
        <v>3.8</v>
      </c>
      <c r="K2" s="4">
        <v>14.08</v>
      </c>
      <c r="L2" s="4">
        <f t="shared" ref="L2:L93" si="6">IF(E2&gt;0,8,3)</f>
        <v>8</v>
      </c>
      <c r="M2" s="4">
        <f t="shared" ref="M2:M87" si="7">IF(N2&gt;=0,1,0)</f>
        <v>0</v>
      </c>
      <c r="N2" s="4">
        <f t="shared" ref="N2:N87" si="8">-0.216*D2-0.191*D3-0.119*D4+0.004*C2-0.171*C3+0.628*C4-0.479*L2+0.513*L3+0.046*L4+5.947*E2+6.699*E3+4.328*E4-1.788</f>
        <v>-5.361078</v>
      </c>
      <c r="O2" s="4">
        <f t="shared" ref="O2:O93" si="9">IF(K2&gt;10,J2,0)</f>
        <v>3.8</v>
      </c>
      <c r="P2" s="4">
        <f t="shared" ref="P2:P93" si="10">IF(K2&gt;10,K2,0)</f>
        <v>14.08</v>
      </c>
    </row>
    <row r="3">
      <c r="A3" s="4">
        <v>2006.0</v>
      </c>
      <c r="B3" s="4">
        <v>153.0</v>
      </c>
      <c r="C3" s="4">
        <v>6.866</v>
      </c>
      <c r="D3" s="4">
        <v>19.34</v>
      </c>
      <c r="E3" s="4">
        <f t="shared" si="1"/>
        <v>0</v>
      </c>
      <c r="F3" s="4">
        <f t="shared" si="2"/>
        <v>0</v>
      </c>
      <c r="G3" s="4">
        <f t="shared" si="3"/>
        <v>28.61373</v>
      </c>
      <c r="H3" s="4">
        <f t="shared" si="4"/>
        <v>27.94748</v>
      </c>
      <c r="I3" s="4" t="str">
        <f t="shared" si="5"/>
        <v> </v>
      </c>
      <c r="J3" s="4">
        <v>0.0</v>
      </c>
      <c r="K3" s="4">
        <v>13.79</v>
      </c>
      <c r="L3" s="4">
        <f t="shared" si="6"/>
        <v>3</v>
      </c>
      <c r="M3" s="4">
        <f t="shared" si="7"/>
        <v>0</v>
      </c>
      <c r="N3" s="4">
        <f t="shared" si="8"/>
        <v>-3.240037</v>
      </c>
      <c r="O3" s="4">
        <f t="shared" si="9"/>
        <v>0</v>
      </c>
      <c r="P3" s="4">
        <f t="shared" si="10"/>
        <v>13.79</v>
      </c>
    </row>
    <row r="4">
      <c r="A4" s="4">
        <v>2006.0</v>
      </c>
      <c r="B4" s="4">
        <v>154.0</v>
      </c>
      <c r="C4" s="4">
        <v>6.271</v>
      </c>
      <c r="D4" s="4">
        <v>20.8</v>
      </c>
      <c r="E4" s="4">
        <f t="shared" si="1"/>
        <v>0</v>
      </c>
      <c r="F4" s="4">
        <f t="shared" si="2"/>
        <v>1</v>
      </c>
      <c r="G4" s="4">
        <f t="shared" si="3"/>
        <v>27.3827</v>
      </c>
      <c r="H4" s="4">
        <f t="shared" si="4"/>
        <v>29.31614</v>
      </c>
      <c r="I4" s="4">
        <f t="shared" si="5"/>
        <v>1.93344</v>
      </c>
      <c r="J4" s="4">
        <v>0.0</v>
      </c>
      <c r="K4" s="4">
        <v>14.49</v>
      </c>
      <c r="L4" s="4">
        <f t="shared" si="6"/>
        <v>3</v>
      </c>
      <c r="M4" s="4">
        <f t="shared" si="7"/>
        <v>1</v>
      </c>
      <c r="N4" s="4">
        <f t="shared" si="8"/>
        <v>6.552974</v>
      </c>
      <c r="O4" s="4">
        <f t="shared" si="9"/>
        <v>0</v>
      </c>
      <c r="P4" s="4">
        <f t="shared" si="10"/>
        <v>14.49</v>
      </c>
    </row>
    <row r="5">
      <c r="A5" s="4">
        <v>2006.0</v>
      </c>
      <c r="B5" s="4">
        <v>155.0</v>
      </c>
      <c r="C5" s="4">
        <v>10.2</v>
      </c>
      <c r="D5" s="4">
        <v>29.08</v>
      </c>
      <c r="E5" s="4">
        <f t="shared" si="1"/>
        <v>1</v>
      </c>
      <c r="F5" s="4">
        <f t="shared" si="2"/>
        <v>1</v>
      </c>
      <c r="G5" s="4">
        <f t="shared" si="3"/>
        <v>34.18805</v>
      </c>
      <c r="H5" s="4">
        <f t="shared" si="4"/>
        <v>36.4753</v>
      </c>
      <c r="I5" s="4">
        <f t="shared" si="5"/>
        <v>2.28725</v>
      </c>
      <c r="J5" s="4">
        <v>1.1</v>
      </c>
      <c r="K5" s="4">
        <v>20.14</v>
      </c>
      <c r="L5" s="4">
        <f t="shared" si="6"/>
        <v>8</v>
      </c>
      <c r="M5" s="4">
        <f t="shared" si="7"/>
        <v>1</v>
      </c>
      <c r="N5" s="4">
        <f t="shared" si="8"/>
        <v>5.68137</v>
      </c>
      <c r="O5" s="4">
        <f t="shared" si="9"/>
        <v>1.1</v>
      </c>
      <c r="P5" s="4">
        <f t="shared" si="10"/>
        <v>20.14</v>
      </c>
    </row>
    <row r="6">
      <c r="A6" s="4">
        <v>2006.0</v>
      </c>
      <c r="B6" s="4">
        <v>156.0</v>
      </c>
      <c r="C6" s="4">
        <v>14.82</v>
      </c>
      <c r="D6" s="4">
        <v>27.41</v>
      </c>
      <c r="E6" s="4">
        <f t="shared" si="1"/>
        <v>1</v>
      </c>
      <c r="F6" s="4">
        <f t="shared" si="2"/>
        <v>1</v>
      </c>
      <c r="G6" s="4">
        <f t="shared" si="3"/>
        <v>30.4456</v>
      </c>
      <c r="H6" s="4">
        <f t="shared" si="4"/>
        <v>31.260825</v>
      </c>
      <c r="I6" s="4">
        <f t="shared" si="5"/>
        <v>0.815225</v>
      </c>
      <c r="J6" s="4">
        <v>9.6</v>
      </c>
      <c r="K6" s="4">
        <v>20.73</v>
      </c>
      <c r="L6" s="4">
        <f t="shared" si="6"/>
        <v>8</v>
      </c>
      <c r="M6" s="4">
        <f t="shared" si="7"/>
        <v>1</v>
      </c>
      <c r="N6" s="4">
        <f t="shared" si="8"/>
        <v>7.87299</v>
      </c>
      <c r="O6" s="4">
        <f t="shared" si="9"/>
        <v>9.6</v>
      </c>
      <c r="P6" s="4">
        <f t="shared" si="10"/>
        <v>20.73</v>
      </c>
    </row>
    <row r="7">
      <c r="A7" s="4">
        <v>2006.0</v>
      </c>
      <c r="B7" s="4">
        <v>157.0</v>
      </c>
      <c r="C7" s="4">
        <v>9.6</v>
      </c>
      <c r="D7" s="4">
        <v>18.18</v>
      </c>
      <c r="E7" s="4">
        <f t="shared" si="1"/>
        <v>1</v>
      </c>
      <c r="F7" s="4">
        <f t="shared" si="2"/>
        <v>1</v>
      </c>
      <c r="G7" s="4">
        <f t="shared" si="3"/>
        <v>21.5817</v>
      </c>
      <c r="H7" s="4">
        <f t="shared" si="4"/>
        <v>22.7851</v>
      </c>
      <c r="I7" s="4">
        <f t="shared" si="5"/>
        <v>1.2034</v>
      </c>
      <c r="J7" s="4">
        <v>2.4</v>
      </c>
      <c r="K7" s="4">
        <v>13.13</v>
      </c>
      <c r="L7" s="4">
        <f t="shared" si="6"/>
        <v>8</v>
      </c>
      <c r="M7" s="4">
        <f t="shared" si="7"/>
        <v>1</v>
      </c>
      <c r="N7" s="4">
        <f t="shared" si="8"/>
        <v>10.05918</v>
      </c>
      <c r="O7" s="4">
        <f t="shared" si="9"/>
        <v>2.4</v>
      </c>
      <c r="P7" s="4">
        <f t="shared" si="10"/>
        <v>13.13</v>
      </c>
    </row>
    <row r="8">
      <c r="A8" s="4">
        <v>2006.0</v>
      </c>
      <c r="B8" s="4">
        <v>158.0</v>
      </c>
      <c r="C8" s="4">
        <v>7.49</v>
      </c>
      <c r="D8" s="4">
        <v>14.13</v>
      </c>
      <c r="E8" s="4">
        <f t="shared" si="1"/>
        <v>1</v>
      </c>
      <c r="F8" s="4">
        <f t="shared" si="2"/>
        <v>0</v>
      </c>
      <c r="G8" s="4">
        <f t="shared" si="3"/>
        <v>16.31215</v>
      </c>
      <c r="H8" s="4">
        <f t="shared" si="4"/>
        <v>16.29055</v>
      </c>
      <c r="I8" s="4" t="str">
        <f t="shared" si="5"/>
        <v> </v>
      </c>
      <c r="J8" s="4">
        <v>0.5</v>
      </c>
      <c r="K8" s="4">
        <v>9.75</v>
      </c>
      <c r="L8" s="4">
        <f t="shared" si="6"/>
        <v>8</v>
      </c>
      <c r="M8" s="4">
        <f t="shared" si="7"/>
        <v>1</v>
      </c>
      <c r="N8" s="4">
        <f t="shared" si="8"/>
        <v>7.793605</v>
      </c>
      <c r="O8" s="4">
        <f t="shared" si="9"/>
        <v>0</v>
      </c>
      <c r="P8" s="4">
        <f t="shared" si="10"/>
        <v>0</v>
      </c>
    </row>
    <row r="9">
      <c r="A9" s="4">
        <v>2006.0</v>
      </c>
      <c r="B9" s="4">
        <v>159.0</v>
      </c>
      <c r="C9" s="4">
        <v>6.465</v>
      </c>
      <c r="D9" s="4">
        <v>16.46</v>
      </c>
      <c r="E9" s="4">
        <f t="shared" si="1"/>
        <v>1</v>
      </c>
      <c r="F9" s="4">
        <f t="shared" si="2"/>
        <v>0</v>
      </c>
      <c r="G9" s="4">
        <f t="shared" si="3"/>
        <v>16.13946</v>
      </c>
      <c r="H9" s="4">
        <f t="shared" si="4"/>
        <v>14.6787</v>
      </c>
      <c r="I9" s="4" t="str">
        <f t="shared" si="5"/>
        <v> </v>
      </c>
      <c r="J9" s="4">
        <v>0.1</v>
      </c>
      <c r="K9" s="4">
        <v>11.69</v>
      </c>
      <c r="L9" s="4">
        <f t="shared" si="6"/>
        <v>8</v>
      </c>
      <c r="M9" s="4">
        <f t="shared" si="7"/>
        <v>0</v>
      </c>
      <c r="N9" s="4">
        <f t="shared" si="8"/>
        <v>-2.25445</v>
      </c>
      <c r="O9" s="4">
        <f t="shared" si="9"/>
        <v>0.1</v>
      </c>
      <c r="P9" s="4">
        <f t="shared" si="10"/>
        <v>11.69</v>
      </c>
    </row>
    <row r="10">
      <c r="A10" s="4">
        <v>2006.0</v>
      </c>
      <c r="B10" s="4">
        <v>160.0</v>
      </c>
      <c r="C10" s="4">
        <v>9.37</v>
      </c>
      <c r="D10" s="4">
        <v>17.54</v>
      </c>
      <c r="E10" s="4">
        <f t="shared" si="1"/>
        <v>0</v>
      </c>
      <c r="F10" s="4">
        <f t="shared" si="2"/>
        <v>0</v>
      </c>
      <c r="G10" s="4">
        <f t="shared" si="3"/>
        <v>19.40072</v>
      </c>
      <c r="H10" s="4">
        <f t="shared" si="4"/>
        <v>15.14164</v>
      </c>
      <c r="I10" s="4" t="str">
        <f t="shared" si="5"/>
        <v> </v>
      </c>
      <c r="J10" s="4">
        <v>0.0</v>
      </c>
      <c r="K10" s="4">
        <v>12.81</v>
      </c>
      <c r="L10" s="4">
        <f t="shared" si="6"/>
        <v>3</v>
      </c>
      <c r="M10" s="4">
        <f t="shared" si="7"/>
        <v>0</v>
      </c>
      <c r="N10" s="4">
        <f t="shared" si="8"/>
        <v>-7.88792</v>
      </c>
      <c r="O10" s="4">
        <f t="shared" si="9"/>
        <v>0</v>
      </c>
      <c r="P10" s="4">
        <f t="shared" si="10"/>
        <v>12.81</v>
      </c>
    </row>
    <row r="11">
      <c r="A11" s="4">
        <v>2006.0</v>
      </c>
      <c r="B11" s="4">
        <v>161.0</v>
      </c>
      <c r="C11" s="4">
        <v>10.39</v>
      </c>
      <c r="D11" s="4">
        <v>19.34</v>
      </c>
      <c r="E11" s="4">
        <f t="shared" si="1"/>
        <v>0</v>
      </c>
      <c r="F11" s="4">
        <f t="shared" si="2"/>
        <v>0</v>
      </c>
      <c r="G11" s="4">
        <f t="shared" si="3"/>
        <v>23.7898</v>
      </c>
      <c r="H11" s="4">
        <f t="shared" si="4"/>
        <v>19.58154</v>
      </c>
      <c r="I11" s="4" t="str">
        <f t="shared" si="5"/>
        <v> </v>
      </c>
      <c r="J11" s="4">
        <v>0.0</v>
      </c>
      <c r="K11" s="4">
        <v>14.53</v>
      </c>
      <c r="L11" s="4">
        <f t="shared" si="6"/>
        <v>3</v>
      </c>
      <c r="M11" s="4">
        <f t="shared" si="7"/>
        <v>0</v>
      </c>
      <c r="N11" s="4">
        <f t="shared" si="8"/>
        <v>-9.043142</v>
      </c>
      <c r="O11" s="4">
        <f t="shared" si="9"/>
        <v>0</v>
      </c>
      <c r="P11" s="4">
        <f t="shared" si="10"/>
        <v>14.53</v>
      </c>
    </row>
    <row r="12">
      <c r="A12" s="4">
        <v>2006.0</v>
      </c>
      <c r="B12" s="4">
        <v>162.0</v>
      </c>
      <c r="C12" s="4">
        <v>7.96</v>
      </c>
      <c r="D12" s="4">
        <v>17.79</v>
      </c>
      <c r="E12" s="4">
        <f t="shared" si="1"/>
        <v>0</v>
      </c>
      <c r="F12" s="4">
        <f t="shared" si="2"/>
        <v>0</v>
      </c>
      <c r="G12" s="4">
        <f t="shared" si="3"/>
        <v>24.25742</v>
      </c>
      <c r="H12" s="4">
        <f t="shared" si="4"/>
        <v>22.58069</v>
      </c>
      <c r="I12" s="4" t="str">
        <f t="shared" si="5"/>
        <v> </v>
      </c>
      <c r="J12" s="4">
        <v>0.0</v>
      </c>
      <c r="K12" s="4">
        <v>12.3</v>
      </c>
      <c r="L12" s="4">
        <f t="shared" si="6"/>
        <v>3</v>
      </c>
      <c r="M12" s="4">
        <f t="shared" si="7"/>
        <v>0</v>
      </c>
      <c r="N12" s="4">
        <f t="shared" si="8"/>
        <v>-10.028148</v>
      </c>
      <c r="O12" s="4">
        <f t="shared" si="9"/>
        <v>0</v>
      </c>
      <c r="P12" s="4">
        <f t="shared" si="10"/>
        <v>12.3</v>
      </c>
    </row>
    <row r="13">
      <c r="A13" s="4">
        <v>2006.0</v>
      </c>
      <c r="B13" s="4">
        <v>163.0</v>
      </c>
      <c r="C13" s="4">
        <v>5.636</v>
      </c>
      <c r="D13" s="4">
        <v>17.98</v>
      </c>
      <c r="E13" s="4">
        <f t="shared" si="1"/>
        <v>0</v>
      </c>
      <c r="F13" s="4">
        <f t="shared" si="2"/>
        <v>0</v>
      </c>
      <c r="G13" s="4">
        <f t="shared" si="3"/>
        <v>23.76398</v>
      </c>
      <c r="H13" s="4">
        <f t="shared" si="4"/>
        <v>23.02348</v>
      </c>
      <c r="I13" s="4" t="str">
        <f t="shared" si="5"/>
        <v> </v>
      </c>
      <c r="J13" s="4">
        <v>0.0</v>
      </c>
      <c r="K13" s="4">
        <v>12.12</v>
      </c>
      <c r="L13" s="4">
        <f t="shared" si="6"/>
        <v>3</v>
      </c>
      <c r="M13" s="4">
        <f t="shared" si="7"/>
        <v>0</v>
      </c>
      <c r="N13" s="4">
        <f t="shared" si="8"/>
        <v>-9.178572</v>
      </c>
      <c r="O13" s="4">
        <f t="shared" si="9"/>
        <v>0</v>
      </c>
      <c r="P13" s="4">
        <f t="shared" si="10"/>
        <v>12.12</v>
      </c>
    </row>
    <row r="14">
      <c r="A14" s="4">
        <v>2006.0</v>
      </c>
      <c r="B14" s="4">
        <v>164.0</v>
      </c>
      <c r="C14" s="4">
        <v>4.036</v>
      </c>
      <c r="D14" s="4">
        <v>23.58</v>
      </c>
      <c r="E14" s="4">
        <f t="shared" si="1"/>
        <v>0</v>
      </c>
      <c r="F14" s="4">
        <f t="shared" si="2"/>
        <v>0</v>
      </c>
      <c r="G14" s="4">
        <f t="shared" si="3"/>
        <v>31.9218</v>
      </c>
      <c r="H14" s="4">
        <f t="shared" si="4"/>
        <v>30.92009</v>
      </c>
      <c r="I14" s="4" t="str">
        <f t="shared" si="5"/>
        <v> </v>
      </c>
      <c r="J14" s="4">
        <v>0.0</v>
      </c>
      <c r="K14" s="4">
        <v>15.15</v>
      </c>
      <c r="L14" s="4">
        <f t="shared" si="6"/>
        <v>3</v>
      </c>
      <c r="M14" s="4">
        <f t="shared" si="7"/>
        <v>0</v>
      </c>
      <c r="N14" s="4">
        <f t="shared" si="8"/>
        <v>-4.107666</v>
      </c>
      <c r="O14" s="4">
        <f t="shared" si="9"/>
        <v>0</v>
      </c>
      <c r="P14" s="4">
        <f t="shared" si="10"/>
        <v>15.15</v>
      </c>
    </row>
    <row r="15">
      <c r="A15" s="4">
        <v>2006.0</v>
      </c>
      <c r="B15" s="4">
        <v>165.0</v>
      </c>
      <c r="C15" s="4">
        <v>7.07</v>
      </c>
      <c r="D15" s="4">
        <v>25.34</v>
      </c>
      <c r="E15" s="4">
        <f t="shared" si="1"/>
        <v>0</v>
      </c>
      <c r="F15" s="4">
        <f t="shared" si="2"/>
        <v>0</v>
      </c>
      <c r="G15" s="4">
        <f t="shared" si="3"/>
        <v>35.1696</v>
      </c>
      <c r="H15" s="4">
        <f t="shared" si="4"/>
        <v>32.85245</v>
      </c>
      <c r="I15" s="4" t="str">
        <f t="shared" si="5"/>
        <v> </v>
      </c>
      <c r="J15" s="4">
        <v>0.0</v>
      </c>
      <c r="K15" s="4">
        <v>17.81</v>
      </c>
      <c r="L15" s="4">
        <f t="shared" si="6"/>
        <v>3</v>
      </c>
      <c r="M15" s="4">
        <f t="shared" si="7"/>
        <v>1</v>
      </c>
      <c r="N15" s="4">
        <f t="shared" si="8"/>
        <v>6.56778</v>
      </c>
      <c r="O15" s="4">
        <f t="shared" si="9"/>
        <v>0</v>
      </c>
      <c r="P15" s="4">
        <f t="shared" si="10"/>
        <v>17.81</v>
      </c>
    </row>
    <row r="16">
      <c r="A16" s="4">
        <v>2006.0</v>
      </c>
      <c r="B16" s="4">
        <v>166.0</v>
      </c>
      <c r="C16" s="4">
        <v>10.76</v>
      </c>
      <c r="D16" s="4">
        <v>23.1</v>
      </c>
      <c r="E16" s="4">
        <f t="shared" si="1"/>
        <v>1</v>
      </c>
      <c r="F16" s="4">
        <f t="shared" si="2"/>
        <v>0</v>
      </c>
      <c r="G16" s="4">
        <f t="shared" si="3"/>
        <v>38.8668</v>
      </c>
      <c r="H16" s="4">
        <f t="shared" si="4"/>
        <v>38.46105</v>
      </c>
      <c r="I16" s="4" t="str">
        <f t="shared" si="5"/>
        <v> </v>
      </c>
      <c r="J16" s="4">
        <v>4.1</v>
      </c>
      <c r="K16" s="4">
        <v>16.76</v>
      </c>
      <c r="L16" s="4">
        <f t="shared" si="6"/>
        <v>8</v>
      </c>
      <c r="M16" s="4">
        <f t="shared" si="7"/>
        <v>1</v>
      </c>
      <c r="N16" s="4">
        <f t="shared" si="8"/>
        <v>9.91418</v>
      </c>
      <c r="O16" s="4">
        <f t="shared" si="9"/>
        <v>4.1</v>
      </c>
      <c r="P16" s="4">
        <f t="shared" si="10"/>
        <v>16.76</v>
      </c>
    </row>
    <row r="17">
      <c r="A17" s="4">
        <v>2006.0</v>
      </c>
      <c r="B17" s="4">
        <v>167.0</v>
      </c>
      <c r="C17" s="4">
        <v>12.89</v>
      </c>
      <c r="D17" s="4">
        <v>17.68</v>
      </c>
      <c r="E17" s="4">
        <f t="shared" si="1"/>
        <v>1</v>
      </c>
      <c r="F17" s="4">
        <f t="shared" si="2"/>
        <v>0</v>
      </c>
      <c r="G17" s="4">
        <f t="shared" si="3"/>
        <v>38.2163</v>
      </c>
      <c r="H17" s="4">
        <f t="shared" si="4"/>
        <v>36.8103</v>
      </c>
      <c r="I17" s="4" t="str">
        <f t="shared" si="5"/>
        <v> </v>
      </c>
      <c r="J17" s="4">
        <v>9.0</v>
      </c>
      <c r="K17" s="4">
        <v>14.42</v>
      </c>
      <c r="L17" s="4">
        <f t="shared" si="6"/>
        <v>8</v>
      </c>
      <c r="M17" s="4">
        <f t="shared" si="7"/>
        <v>1</v>
      </c>
      <c r="N17" s="4">
        <f t="shared" si="8"/>
        <v>4.69698</v>
      </c>
      <c r="O17" s="4">
        <f t="shared" si="9"/>
        <v>9</v>
      </c>
      <c r="P17" s="4">
        <f t="shared" si="10"/>
        <v>14.42</v>
      </c>
    </row>
    <row r="18">
      <c r="A18" s="4">
        <v>2006.0</v>
      </c>
      <c r="B18" s="4">
        <v>168.0</v>
      </c>
      <c r="C18" s="4">
        <v>11.93</v>
      </c>
      <c r="D18" s="4">
        <v>24.17</v>
      </c>
      <c r="E18" s="4">
        <f t="shared" si="1"/>
        <v>1</v>
      </c>
      <c r="F18" s="4">
        <f t="shared" si="2"/>
        <v>0</v>
      </c>
      <c r="G18" s="4">
        <f t="shared" si="3"/>
        <v>43.3429</v>
      </c>
      <c r="H18" s="4">
        <f t="shared" si="4"/>
        <v>39.64785</v>
      </c>
      <c r="I18" s="4" t="str">
        <f t="shared" si="5"/>
        <v> </v>
      </c>
      <c r="J18" s="4">
        <v>0.1</v>
      </c>
      <c r="K18" s="4">
        <v>16.91</v>
      </c>
      <c r="L18" s="4">
        <f t="shared" si="6"/>
        <v>8</v>
      </c>
      <c r="M18" s="4">
        <f t="shared" si="7"/>
        <v>0</v>
      </c>
      <c r="N18" s="4">
        <f t="shared" si="8"/>
        <v>-6.39919</v>
      </c>
      <c r="O18" s="4">
        <f t="shared" si="9"/>
        <v>0.1</v>
      </c>
      <c r="P18" s="4">
        <f t="shared" si="10"/>
        <v>16.91</v>
      </c>
    </row>
    <row r="19">
      <c r="A19" s="4">
        <v>2006.0</v>
      </c>
      <c r="B19" s="4">
        <v>169.0</v>
      </c>
      <c r="C19" s="4">
        <v>11.13</v>
      </c>
      <c r="D19" s="4">
        <v>26.36</v>
      </c>
      <c r="E19" s="4">
        <f t="shared" si="1"/>
        <v>0</v>
      </c>
      <c r="F19" s="4">
        <f t="shared" si="2"/>
        <v>0</v>
      </c>
      <c r="G19" s="4">
        <f t="shared" si="3"/>
        <v>44.0898</v>
      </c>
      <c r="H19" s="4">
        <f t="shared" si="4"/>
        <v>37.8915</v>
      </c>
      <c r="I19" s="4" t="str">
        <f t="shared" si="5"/>
        <v> </v>
      </c>
      <c r="J19" s="4">
        <v>0.0</v>
      </c>
      <c r="K19" s="4">
        <v>18.59</v>
      </c>
      <c r="L19" s="4">
        <f t="shared" si="6"/>
        <v>3</v>
      </c>
      <c r="M19" s="4">
        <f t="shared" si="7"/>
        <v>0</v>
      </c>
      <c r="N19" s="4">
        <f t="shared" si="8"/>
        <v>-10.30415</v>
      </c>
      <c r="O19" s="4">
        <f t="shared" si="9"/>
        <v>0</v>
      </c>
      <c r="P19" s="4">
        <f t="shared" si="10"/>
        <v>18.59</v>
      </c>
    </row>
    <row r="20">
      <c r="A20" s="4">
        <v>2006.0</v>
      </c>
      <c r="B20" s="4">
        <v>170.0</v>
      </c>
      <c r="C20" s="4">
        <v>11.46</v>
      </c>
      <c r="D20" s="4">
        <v>29.32</v>
      </c>
      <c r="E20" s="4">
        <f t="shared" si="1"/>
        <v>0</v>
      </c>
      <c r="F20" s="4">
        <f t="shared" si="2"/>
        <v>0</v>
      </c>
      <c r="G20" s="4">
        <f t="shared" si="3"/>
        <v>47.2372</v>
      </c>
      <c r="H20" s="4">
        <f t="shared" si="4"/>
        <v>42.4272</v>
      </c>
      <c r="I20" s="4" t="str">
        <f t="shared" si="5"/>
        <v> </v>
      </c>
      <c r="J20" s="4">
        <v>0.0</v>
      </c>
      <c r="K20" s="4">
        <v>20.68</v>
      </c>
      <c r="L20" s="4">
        <f t="shared" si="6"/>
        <v>3</v>
      </c>
      <c r="M20" s="4">
        <f t="shared" si="7"/>
        <v>0</v>
      </c>
      <c r="N20" s="4">
        <f t="shared" si="8"/>
        <v>-10.60501</v>
      </c>
      <c r="O20" s="4">
        <f t="shared" si="9"/>
        <v>0</v>
      </c>
      <c r="P20" s="4">
        <f t="shared" si="10"/>
        <v>20.68</v>
      </c>
    </row>
    <row r="21" ht="15.75" customHeight="1">
      <c r="A21" s="4">
        <v>2006.0</v>
      </c>
      <c r="B21" s="4">
        <v>171.0</v>
      </c>
      <c r="C21" s="4">
        <v>12.69</v>
      </c>
      <c r="D21" s="4">
        <v>29.55</v>
      </c>
      <c r="E21" s="4">
        <f t="shared" si="1"/>
        <v>0</v>
      </c>
      <c r="F21" s="4">
        <f t="shared" si="2"/>
        <v>0</v>
      </c>
      <c r="G21" s="4">
        <f t="shared" si="3"/>
        <v>49.6568</v>
      </c>
      <c r="H21" s="4">
        <f t="shared" si="4"/>
        <v>43.55065</v>
      </c>
      <c r="I21" s="4" t="str">
        <f t="shared" si="5"/>
        <v> </v>
      </c>
      <c r="J21" s="4">
        <v>0.0</v>
      </c>
      <c r="K21" s="4">
        <v>21.98</v>
      </c>
      <c r="L21" s="4">
        <f t="shared" si="6"/>
        <v>3</v>
      </c>
      <c r="M21" s="4">
        <f t="shared" si="7"/>
        <v>0</v>
      </c>
      <c r="N21" s="4">
        <f t="shared" si="8"/>
        <v>-10.46937</v>
      </c>
      <c r="O21" s="4">
        <f t="shared" si="9"/>
        <v>0</v>
      </c>
      <c r="P21" s="4">
        <f t="shared" si="10"/>
        <v>21.98</v>
      </c>
    </row>
    <row r="22" ht="15.75" customHeight="1">
      <c r="A22" s="4">
        <v>2006.0</v>
      </c>
      <c r="B22" s="4">
        <v>172.0</v>
      </c>
      <c r="C22" s="4">
        <v>13.7</v>
      </c>
      <c r="D22" s="4">
        <v>29.91</v>
      </c>
      <c r="E22" s="4">
        <f t="shared" si="1"/>
        <v>0</v>
      </c>
      <c r="F22" s="4">
        <f t="shared" si="2"/>
        <v>0</v>
      </c>
      <c r="G22" s="4">
        <f t="shared" si="3"/>
        <v>50.0429</v>
      </c>
      <c r="H22" s="4">
        <f t="shared" si="4"/>
        <v>46.4664</v>
      </c>
      <c r="I22" s="4" t="str">
        <f t="shared" si="5"/>
        <v> </v>
      </c>
      <c r="J22" s="4">
        <v>0.0</v>
      </c>
      <c r="K22" s="4">
        <v>22.89</v>
      </c>
      <c r="L22" s="4">
        <f t="shared" si="6"/>
        <v>3</v>
      </c>
      <c r="M22" s="4">
        <f t="shared" si="7"/>
        <v>0</v>
      </c>
      <c r="N22" s="4">
        <f t="shared" si="8"/>
        <v>-5.51322</v>
      </c>
      <c r="O22" s="4">
        <f t="shared" si="9"/>
        <v>0</v>
      </c>
      <c r="P22" s="4">
        <f t="shared" si="10"/>
        <v>22.89</v>
      </c>
    </row>
    <row r="23" ht="15.75" customHeight="1">
      <c r="A23" s="4">
        <v>2006.0</v>
      </c>
      <c r="B23" s="4">
        <v>173.0</v>
      </c>
      <c r="C23" s="4">
        <v>14.62</v>
      </c>
      <c r="D23" s="4">
        <v>31.22</v>
      </c>
      <c r="E23" s="4">
        <f t="shared" si="1"/>
        <v>0</v>
      </c>
      <c r="F23" s="4">
        <f t="shared" si="2"/>
        <v>0</v>
      </c>
      <c r="G23" s="4">
        <f t="shared" si="3"/>
        <v>50.0813</v>
      </c>
      <c r="H23" s="4">
        <f t="shared" si="4"/>
        <v>47.02635</v>
      </c>
      <c r="I23" s="4" t="str">
        <f t="shared" si="5"/>
        <v> </v>
      </c>
      <c r="J23" s="4">
        <v>0.0</v>
      </c>
      <c r="K23" s="4">
        <v>23.05</v>
      </c>
      <c r="L23" s="4">
        <f t="shared" si="6"/>
        <v>3</v>
      </c>
      <c r="M23" s="4">
        <f t="shared" si="7"/>
        <v>0</v>
      </c>
      <c r="N23" s="4">
        <f t="shared" si="8"/>
        <v>-1.22642</v>
      </c>
      <c r="O23" s="4">
        <f t="shared" si="9"/>
        <v>0</v>
      </c>
      <c r="P23" s="4">
        <f t="shared" si="10"/>
        <v>23.05</v>
      </c>
    </row>
    <row r="24" ht="15.75" customHeight="1">
      <c r="A24" s="4">
        <v>2006.0</v>
      </c>
      <c r="B24" s="4">
        <v>174.0</v>
      </c>
      <c r="C24" s="4">
        <v>15.99</v>
      </c>
      <c r="D24" s="4">
        <v>31.06</v>
      </c>
      <c r="E24" s="4">
        <f t="shared" si="1"/>
        <v>1</v>
      </c>
      <c r="F24" s="4">
        <f t="shared" si="2"/>
        <v>0</v>
      </c>
      <c r="G24" s="4">
        <f t="shared" si="3"/>
        <v>51.2529</v>
      </c>
      <c r="H24" s="4">
        <f t="shared" si="4"/>
        <v>48.3934</v>
      </c>
      <c r="I24" s="4" t="str">
        <f t="shared" si="5"/>
        <v> </v>
      </c>
      <c r="J24" s="4">
        <v>1.7</v>
      </c>
      <c r="K24" s="4">
        <v>23.03</v>
      </c>
      <c r="L24" s="4">
        <f t="shared" si="6"/>
        <v>8</v>
      </c>
      <c r="M24" s="4">
        <f t="shared" si="7"/>
        <v>0</v>
      </c>
      <c r="N24" s="4">
        <f t="shared" si="8"/>
        <v>-1.49598</v>
      </c>
      <c r="O24" s="4">
        <f t="shared" si="9"/>
        <v>1.7</v>
      </c>
      <c r="P24" s="4">
        <f t="shared" si="10"/>
        <v>23.03</v>
      </c>
    </row>
    <row r="25" ht="15.75" customHeight="1">
      <c r="A25" s="4">
        <v>2006.0</v>
      </c>
      <c r="B25" s="4">
        <v>175.0</v>
      </c>
      <c r="C25" s="4">
        <v>16.12</v>
      </c>
      <c r="D25" s="4">
        <v>31.21</v>
      </c>
      <c r="E25" s="4">
        <f t="shared" si="1"/>
        <v>0</v>
      </c>
      <c r="F25" s="4">
        <f t="shared" si="2"/>
        <v>0</v>
      </c>
      <c r="G25" s="4">
        <f t="shared" si="3"/>
        <v>48.5672</v>
      </c>
      <c r="H25" s="4">
        <f t="shared" si="4"/>
        <v>44.64645</v>
      </c>
      <c r="I25" s="4" t="str">
        <f t="shared" si="5"/>
        <v> </v>
      </c>
      <c r="J25" s="4">
        <v>0.0</v>
      </c>
      <c r="K25" s="4">
        <v>24.06</v>
      </c>
      <c r="L25" s="4">
        <f t="shared" si="6"/>
        <v>3</v>
      </c>
      <c r="M25" s="4">
        <f t="shared" si="7"/>
        <v>1</v>
      </c>
      <c r="N25" s="4">
        <f t="shared" si="8"/>
        <v>2.97784</v>
      </c>
      <c r="O25" s="4">
        <f t="shared" si="9"/>
        <v>0</v>
      </c>
      <c r="P25" s="4">
        <f t="shared" si="10"/>
        <v>24.06</v>
      </c>
    </row>
    <row r="26" ht="15.75" customHeight="1">
      <c r="A26" s="4">
        <v>2006.0</v>
      </c>
      <c r="B26" s="4">
        <v>176.0</v>
      </c>
      <c r="C26" s="4">
        <v>17.25</v>
      </c>
      <c r="D26" s="4">
        <v>29.65</v>
      </c>
      <c r="E26" s="4">
        <f t="shared" si="1"/>
        <v>1</v>
      </c>
      <c r="F26" s="4">
        <f t="shared" si="2"/>
        <v>0</v>
      </c>
      <c r="G26" s="4">
        <f t="shared" si="3"/>
        <v>48.5853</v>
      </c>
      <c r="H26" s="4">
        <f t="shared" si="4"/>
        <v>47.61155</v>
      </c>
      <c r="I26" s="4" t="str">
        <f t="shared" si="5"/>
        <v> </v>
      </c>
      <c r="J26" s="4">
        <v>9.8</v>
      </c>
      <c r="K26" s="4">
        <v>22.75</v>
      </c>
      <c r="L26" s="4">
        <f t="shared" si="6"/>
        <v>8</v>
      </c>
      <c r="M26" s="4">
        <f t="shared" si="7"/>
        <v>1</v>
      </c>
      <c r="N26" s="4">
        <f t="shared" si="8"/>
        <v>1.98806</v>
      </c>
      <c r="O26" s="4">
        <f t="shared" si="9"/>
        <v>9.8</v>
      </c>
      <c r="P26" s="4">
        <f t="shared" si="10"/>
        <v>22.75</v>
      </c>
    </row>
    <row r="27" ht="15.75" customHeight="1">
      <c r="A27" s="4">
        <v>2006.0</v>
      </c>
      <c r="B27" s="4">
        <v>177.0</v>
      </c>
      <c r="C27" s="4">
        <v>14.52</v>
      </c>
      <c r="D27" s="4">
        <v>26.26</v>
      </c>
      <c r="E27" s="4">
        <f t="shared" si="1"/>
        <v>1</v>
      </c>
      <c r="F27" s="4">
        <f t="shared" si="2"/>
        <v>0</v>
      </c>
      <c r="G27" s="4">
        <f t="shared" si="3"/>
        <v>40.9733</v>
      </c>
      <c r="H27" s="4">
        <f t="shared" si="4"/>
        <v>39.12015</v>
      </c>
      <c r="I27" s="4" t="str">
        <f t="shared" si="5"/>
        <v> </v>
      </c>
      <c r="J27" s="4">
        <v>0.1</v>
      </c>
      <c r="K27" s="4">
        <v>20.77</v>
      </c>
      <c r="L27" s="4">
        <f t="shared" si="6"/>
        <v>8</v>
      </c>
      <c r="M27" s="4">
        <f t="shared" si="7"/>
        <v>0</v>
      </c>
      <c r="N27" s="4">
        <f t="shared" si="8"/>
        <v>-6.02244</v>
      </c>
      <c r="O27" s="4">
        <f t="shared" si="9"/>
        <v>0.1</v>
      </c>
      <c r="P27" s="4">
        <f t="shared" si="10"/>
        <v>20.77</v>
      </c>
    </row>
    <row r="28" ht="15.75" customHeight="1">
      <c r="A28" s="4">
        <v>2006.0</v>
      </c>
      <c r="B28" s="4">
        <v>178.0</v>
      </c>
      <c r="C28" s="4">
        <v>12.33</v>
      </c>
      <c r="D28" s="4">
        <v>26.8</v>
      </c>
      <c r="E28" s="4">
        <f t="shared" si="1"/>
        <v>0</v>
      </c>
      <c r="F28" s="4">
        <f t="shared" si="2"/>
        <v>0</v>
      </c>
      <c r="G28" s="4">
        <f t="shared" si="3"/>
        <v>30.5455</v>
      </c>
      <c r="H28" s="4">
        <f t="shared" si="4"/>
        <v>27.73935</v>
      </c>
      <c r="I28" s="4" t="str">
        <f t="shared" si="5"/>
        <v> </v>
      </c>
      <c r="J28" s="4">
        <v>0.0</v>
      </c>
      <c r="K28" s="4">
        <v>20.08</v>
      </c>
      <c r="L28" s="4">
        <f t="shared" si="6"/>
        <v>3</v>
      </c>
      <c r="M28" s="4">
        <f t="shared" si="7"/>
        <v>0</v>
      </c>
      <c r="N28" s="4">
        <f t="shared" si="8"/>
        <v>-3.39948</v>
      </c>
      <c r="O28" s="4">
        <f t="shared" si="9"/>
        <v>0</v>
      </c>
      <c r="P28" s="4">
        <f t="shared" si="10"/>
        <v>20.08</v>
      </c>
    </row>
    <row r="29" ht="15.75" customHeight="1">
      <c r="A29" s="4">
        <v>2006.0</v>
      </c>
      <c r="B29" s="4">
        <v>179.0</v>
      </c>
      <c r="C29" s="4">
        <v>13.13</v>
      </c>
      <c r="D29" s="4">
        <v>28.83</v>
      </c>
      <c r="E29" s="4">
        <f t="shared" si="1"/>
        <v>0</v>
      </c>
      <c r="F29" s="4">
        <f t="shared" si="2"/>
        <v>0</v>
      </c>
      <c r="G29" s="4">
        <f t="shared" si="3"/>
        <v>33.43049</v>
      </c>
      <c r="H29" s="4">
        <f t="shared" si="4"/>
        <v>31.08275</v>
      </c>
      <c r="I29" s="4" t="str">
        <f t="shared" si="5"/>
        <v> </v>
      </c>
      <c r="J29" s="4">
        <v>0.0</v>
      </c>
      <c r="K29" s="4">
        <v>22.21</v>
      </c>
      <c r="L29" s="4">
        <f t="shared" si="6"/>
        <v>3</v>
      </c>
      <c r="M29" s="4">
        <f t="shared" si="7"/>
        <v>1</v>
      </c>
      <c r="N29" s="4">
        <f t="shared" si="8"/>
        <v>2.666</v>
      </c>
      <c r="O29" s="4">
        <f t="shared" si="9"/>
        <v>0</v>
      </c>
      <c r="P29" s="4">
        <f t="shared" si="10"/>
        <v>22.21</v>
      </c>
    </row>
    <row r="30" ht="15.75" customHeight="1">
      <c r="A30" s="4">
        <v>2006.0</v>
      </c>
      <c r="B30" s="4">
        <v>180.0</v>
      </c>
      <c r="C30" s="4">
        <v>16.59</v>
      </c>
      <c r="D30" s="4">
        <v>28.04</v>
      </c>
      <c r="E30" s="4">
        <f t="shared" si="1"/>
        <v>1</v>
      </c>
      <c r="F30" s="4">
        <f t="shared" si="2"/>
        <v>0</v>
      </c>
      <c r="G30" s="4">
        <f t="shared" si="3"/>
        <v>32.93474</v>
      </c>
      <c r="H30" s="4">
        <f t="shared" si="4"/>
        <v>32.376135</v>
      </c>
      <c r="I30" s="4" t="str">
        <f t="shared" si="5"/>
        <v> </v>
      </c>
      <c r="J30" s="4">
        <v>1.5</v>
      </c>
      <c r="K30" s="4">
        <v>21.04</v>
      </c>
      <c r="L30" s="4">
        <f t="shared" si="6"/>
        <v>8</v>
      </c>
      <c r="M30" s="4">
        <f t="shared" si="7"/>
        <v>1</v>
      </c>
      <c r="N30" s="4">
        <f t="shared" si="8"/>
        <v>2.2661</v>
      </c>
      <c r="O30" s="4">
        <f t="shared" si="9"/>
        <v>1.5</v>
      </c>
      <c r="P30" s="4">
        <f t="shared" si="10"/>
        <v>21.04</v>
      </c>
    </row>
    <row r="31" ht="15.75" customHeight="1">
      <c r="A31" s="4">
        <v>2006.0</v>
      </c>
      <c r="B31" s="4">
        <v>181.0</v>
      </c>
      <c r="C31" s="4">
        <v>11.59</v>
      </c>
      <c r="D31" s="4">
        <v>21.17</v>
      </c>
      <c r="E31" s="4">
        <f t="shared" si="1"/>
        <v>1</v>
      </c>
      <c r="F31" s="4">
        <f t="shared" si="2"/>
        <v>0</v>
      </c>
      <c r="G31" s="4">
        <f t="shared" si="3"/>
        <v>25.83284</v>
      </c>
      <c r="H31" s="4">
        <f t="shared" si="4"/>
        <v>24.01595</v>
      </c>
      <c r="I31" s="4" t="str">
        <f t="shared" si="5"/>
        <v> </v>
      </c>
      <c r="J31" s="4">
        <v>0.3</v>
      </c>
      <c r="K31" s="4">
        <v>16.99</v>
      </c>
      <c r="L31" s="4">
        <f t="shared" si="6"/>
        <v>8</v>
      </c>
      <c r="M31" s="4">
        <f t="shared" si="7"/>
        <v>0</v>
      </c>
      <c r="N31" s="4">
        <f t="shared" si="8"/>
        <v>-4.678928</v>
      </c>
      <c r="O31" s="4">
        <f t="shared" si="9"/>
        <v>0.3</v>
      </c>
      <c r="P31" s="4">
        <f t="shared" si="10"/>
        <v>16.99</v>
      </c>
    </row>
    <row r="32" ht="15.75" customHeight="1">
      <c r="A32" s="4">
        <v>2006.0</v>
      </c>
      <c r="B32" s="4">
        <v>182.0</v>
      </c>
      <c r="C32" s="4">
        <v>7.16</v>
      </c>
      <c r="D32" s="4">
        <v>12.46</v>
      </c>
      <c r="E32" s="4">
        <f t="shared" si="1"/>
        <v>0</v>
      </c>
      <c r="F32" s="4">
        <f t="shared" si="2"/>
        <v>0</v>
      </c>
      <c r="G32" s="4">
        <f t="shared" si="3"/>
        <v>22.31135</v>
      </c>
      <c r="H32" s="4">
        <f t="shared" si="4"/>
        <v>20.49118</v>
      </c>
      <c r="I32" s="4" t="str">
        <f t="shared" si="5"/>
        <v> </v>
      </c>
      <c r="J32" s="4">
        <v>0.0</v>
      </c>
      <c r="K32" s="4">
        <v>10.38</v>
      </c>
      <c r="L32" s="4">
        <f t="shared" si="6"/>
        <v>3</v>
      </c>
      <c r="M32" s="4">
        <f t="shared" si="7"/>
        <v>0</v>
      </c>
      <c r="N32" s="4">
        <f t="shared" si="8"/>
        <v>-1.811779</v>
      </c>
      <c r="O32" s="4">
        <f t="shared" si="9"/>
        <v>0</v>
      </c>
      <c r="P32" s="4">
        <f t="shared" si="10"/>
        <v>10.38</v>
      </c>
    </row>
    <row r="33" ht="15.75" customHeight="1">
      <c r="A33" s="4">
        <v>2006.0</v>
      </c>
      <c r="B33" s="4">
        <v>183.0</v>
      </c>
      <c r="C33" s="4">
        <v>6.239</v>
      </c>
      <c r="D33" s="4">
        <v>20.76</v>
      </c>
      <c r="E33" s="4">
        <f t="shared" si="1"/>
        <v>0</v>
      </c>
      <c r="F33" s="4">
        <f t="shared" si="2"/>
        <v>0</v>
      </c>
      <c r="G33" s="4">
        <f t="shared" si="3"/>
        <v>27.32562</v>
      </c>
      <c r="H33" s="4">
        <f t="shared" si="4"/>
        <v>24.26841</v>
      </c>
      <c r="I33" s="4" t="str">
        <f t="shared" si="5"/>
        <v> </v>
      </c>
      <c r="J33" s="4">
        <v>0.0</v>
      </c>
      <c r="K33" s="4">
        <v>13.64</v>
      </c>
      <c r="L33" s="4">
        <f t="shared" si="6"/>
        <v>3</v>
      </c>
      <c r="M33" s="4">
        <f t="shared" si="7"/>
        <v>0</v>
      </c>
      <c r="N33" s="4">
        <f t="shared" si="8"/>
        <v>-0.53587</v>
      </c>
      <c r="O33" s="4">
        <f t="shared" si="9"/>
        <v>0</v>
      </c>
      <c r="P33" s="4">
        <f t="shared" si="10"/>
        <v>13.64</v>
      </c>
    </row>
    <row r="34" ht="15.75" customHeight="1">
      <c r="A34" s="4">
        <v>2006.0</v>
      </c>
      <c r="B34" s="4">
        <v>184.0</v>
      </c>
      <c r="C34" s="4">
        <v>8.7</v>
      </c>
      <c r="D34" s="4">
        <v>21.77</v>
      </c>
      <c r="E34" s="4">
        <f t="shared" si="1"/>
        <v>1</v>
      </c>
      <c r="F34" s="4">
        <f t="shared" si="2"/>
        <v>0</v>
      </c>
      <c r="G34" s="4">
        <f t="shared" si="3"/>
        <v>33.08904</v>
      </c>
      <c r="H34" s="4">
        <f t="shared" si="4"/>
        <v>30.23667</v>
      </c>
      <c r="I34" s="4" t="str">
        <f t="shared" si="5"/>
        <v> </v>
      </c>
      <c r="J34" s="4">
        <v>0.2</v>
      </c>
      <c r="K34" s="4">
        <v>15.33</v>
      </c>
      <c r="L34" s="4">
        <f t="shared" si="6"/>
        <v>8</v>
      </c>
      <c r="M34" s="4">
        <f t="shared" si="7"/>
        <v>0</v>
      </c>
      <c r="N34" s="4">
        <f t="shared" si="8"/>
        <v>-5.023988</v>
      </c>
      <c r="O34" s="4">
        <f t="shared" si="9"/>
        <v>0.2</v>
      </c>
      <c r="P34" s="4">
        <f t="shared" si="10"/>
        <v>15.33</v>
      </c>
    </row>
    <row r="35" ht="15.75" customHeight="1">
      <c r="A35" s="4">
        <v>2006.0</v>
      </c>
      <c r="B35" s="4">
        <v>185.0</v>
      </c>
      <c r="C35" s="4">
        <v>6.968</v>
      </c>
      <c r="D35" s="4">
        <v>21.2</v>
      </c>
      <c r="E35" s="4">
        <f t="shared" si="1"/>
        <v>0</v>
      </c>
      <c r="F35" s="4">
        <f t="shared" si="2"/>
        <v>0</v>
      </c>
      <c r="G35" s="4">
        <f t="shared" si="3"/>
        <v>32.4748</v>
      </c>
      <c r="H35" s="4">
        <f t="shared" si="4"/>
        <v>27.61837</v>
      </c>
      <c r="I35" s="4" t="str">
        <f t="shared" si="5"/>
        <v> </v>
      </c>
      <c r="J35" s="4">
        <v>0.0</v>
      </c>
      <c r="K35" s="4">
        <v>14.73</v>
      </c>
      <c r="L35" s="4">
        <f t="shared" si="6"/>
        <v>3</v>
      </c>
      <c r="M35" s="4">
        <f t="shared" si="7"/>
        <v>0</v>
      </c>
      <c r="N35" s="4">
        <f t="shared" si="8"/>
        <v>-9.436158</v>
      </c>
      <c r="O35" s="4">
        <f t="shared" si="9"/>
        <v>0</v>
      </c>
      <c r="P35" s="4">
        <f t="shared" si="10"/>
        <v>14.73</v>
      </c>
    </row>
    <row r="36" ht="15.75" customHeight="1">
      <c r="A36" s="4">
        <v>2006.0</v>
      </c>
      <c r="B36" s="4">
        <v>186.0</v>
      </c>
      <c r="C36" s="4">
        <v>9.57</v>
      </c>
      <c r="D36" s="4">
        <v>26.3</v>
      </c>
      <c r="E36" s="4">
        <f t="shared" si="1"/>
        <v>0</v>
      </c>
      <c r="F36" s="4">
        <f t="shared" si="2"/>
        <v>0</v>
      </c>
      <c r="G36" s="4">
        <f t="shared" si="3"/>
        <v>40.1602</v>
      </c>
      <c r="H36" s="4">
        <f t="shared" si="4"/>
        <v>36.48275</v>
      </c>
      <c r="I36" s="4" t="str">
        <f t="shared" si="5"/>
        <v> </v>
      </c>
      <c r="J36" s="4">
        <v>0.0</v>
      </c>
      <c r="K36" s="4">
        <v>18.66</v>
      </c>
      <c r="L36" s="4">
        <f t="shared" si="6"/>
        <v>3</v>
      </c>
      <c r="M36" s="4">
        <f t="shared" si="7"/>
        <v>0</v>
      </c>
      <c r="N36" s="4">
        <f t="shared" si="8"/>
        <v>-11.33901</v>
      </c>
      <c r="O36" s="4">
        <f t="shared" si="9"/>
        <v>0</v>
      </c>
      <c r="P36" s="4">
        <f t="shared" si="10"/>
        <v>18.66</v>
      </c>
    </row>
    <row r="37" ht="15.75" customHeight="1">
      <c r="A37" s="4">
        <v>2006.0</v>
      </c>
      <c r="B37" s="4">
        <v>187.0</v>
      </c>
      <c r="C37" s="4">
        <v>9.57</v>
      </c>
      <c r="D37" s="4">
        <v>22.58</v>
      </c>
      <c r="E37" s="4">
        <f t="shared" si="1"/>
        <v>0</v>
      </c>
      <c r="F37" s="4">
        <f t="shared" si="2"/>
        <v>0</v>
      </c>
      <c r="G37" s="4">
        <f t="shared" si="3"/>
        <v>41.7672</v>
      </c>
      <c r="H37" s="4">
        <f t="shared" si="4"/>
        <v>38.4786</v>
      </c>
      <c r="I37" s="4" t="str">
        <f t="shared" si="5"/>
        <v> </v>
      </c>
      <c r="J37" s="4">
        <v>0.0</v>
      </c>
      <c r="K37" s="4">
        <v>16.55</v>
      </c>
      <c r="L37" s="4">
        <f t="shared" si="6"/>
        <v>3</v>
      </c>
      <c r="M37" s="4">
        <f t="shared" si="7"/>
        <v>0</v>
      </c>
      <c r="N37" s="4">
        <f t="shared" si="8"/>
        <v>-9.5422</v>
      </c>
      <c r="O37" s="4">
        <f t="shared" si="9"/>
        <v>0</v>
      </c>
      <c r="P37" s="4">
        <f t="shared" si="10"/>
        <v>16.55</v>
      </c>
    </row>
    <row r="38" ht="15.75" customHeight="1">
      <c r="A38" s="4">
        <v>2006.0</v>
      </c>
      <c r="B38" s="4">
        <v>188.0</v>
      </c>
      <c r="C38" s="4">
        <v>7.87</v>
      </c>
      <c r="D38" s="4">
        <v>26.4</v>
      </c>
      <c r="E38" s="4">
        <f t="shared" si="1"/>
        <v>0</v>
      </c>
      <c r="F38" s="4">
        <f t="shared" si="2"/>
        <v>0</v>
      </c>
      <c r="G38" s="4">
        <f t="shared" si="3"/>
        <v>47.249</v>
      </c>
      <c r="H38" s="4">
        <f t="shared" si="4"/>
        <v>44.90475</v>
      </c>
      <c r="I38" s="4" t="str">
        <f t="shared" si="5"/>
        <v> </v>
      </c>
      <c r="J38" s="4">
        <v>0.0</v>
      </c>
      <c r="K38" s="4">
        <v>18.29</v>
      </c>
      <c r="L38" s="4">
        <f t="shared" si="6"/>
        <v>3</v>
      </c>
      <c r="M38" s="4">
        <f t="shared" si="7"/>
        <v>0</v>
      </c>
      <c r="N38" s="4">
        <f t="shared" si="8"/>
        <v>-4.39425</v>
      </c>
      <c r="O38" s="4">
        <f t="shared" si="9"/>
        <v>0</v>
      </c>
      <c r="P38" s="4">
        <f t="shared" si="10"/>
        <v>18.29</v>
      </c>
    </row>
    <row r="39" ht="15.75" customHeight="1">
      <c r="A39" s="4">
        <v>2006.0</v>
      </c>
      <c r="B39" s="4">
        <v>189.0</v>
      </c>
      <c r="C39" s="4">
        <v>10.63</v>
      </c>
      <c r="D39" s="4">
        <v>28.93</v>
      </c>
      <c r="E39" s="4">
        <f t="shared" si="1"/>
        <v>0</v>
      </c>
      <c r="F39" s="4">
        <f t="shared" si="2"/>
        <v>0</v>
      </c>
      <c r="G39" s="4">
        <f t="shared" si="3"/>
        <v>52.6864</v>
      </c>
      <c r="H39" s="4">
        <f t="shared" si="4"/>
        <v>49.8433</v>
      </c>
      <c r="I39" s="4" t="str">
        <f t="shared" si="5"/>
        <v> </v>
      </c>
      <c r="J39" s="4">
        <v>0.0</v>
      </c>
      <c r="K39" s="4">
        <v>20.87</v>
      </c>
      <c r="L39" s="4">
        <f t="shared" si="6"/>
        <v>3</v>
      </c>
      <c r="M39" s="4">
        <f t="shared" si="7"/>
        <v>1</v>
      </c>
      <c r="N39" s="4">
        <f t="shared" si="8"/>
        <v>3.42874</v>
      </c>
      <c r="O39" s="4">
        <f t="shared" si="9"/>
        <v>0</v>
      </c>
      <c r="P39" s="4">
        <f t="shared" si="10"/>
        <v>20.87</v>
      </c>
    </row>
    <row r="40" ht="15.75" customHeight="1">
      <c r="A40" s="4">
        <v>2006.0</v>
      </c>
      <c r="B40" s="4">
        <v>190.0</v>
      </c>
      <c r="C40" s="4">
        <v>14.76</v>
      </c>
      <c r="D40" s="4">
        <v>30.75</v>
      </c>
      <c r="E40" s="4">
        <f t="shared" si="1"/>
        <v>1</v>
      </c>
      <c r="F40" s="4">
        <f t="shared" si="2"/>
        <v>0</v>
      </c>
      <c r="G40" s="4">
        <f t="shared" si="3"/>
        <v>56.9273</v>
      </c>
      <c r="H40" s="4">
        <f t="shared" si="4"/>
        <v>54.7886</v>
      </c>
      <c r="I40" s="4" t="str">
        <f t="shared" si="5"/>
        <v> </v>
      </c>
      <c r="J40" s="4">
        <v>6.5</v>
      </c>
      <c r="K40" s="4">
        <v>21.79</v>
      </c>
      <c r="L40" s="4">
        <f t="shared" si="6"/>
        <v>8</v>
      </c>
      <c r="M40" s="4">
        <f t="shared" si="7"/>
        <v>1</v>
      </c>
      <c r="N40" s="4">
        <f t="shared" si="8"/>
        <v>6.04533</v>
      </c>
      <c r="O40" s="4">
        <f t="shared" si="9"/>
        <v>6.5</v>
      </c>
      <c r="P40" s="4">
        <f t="shared" si="10"/>
        <v>21.79</v>
      </c>
    </row>
    <row r="41" ht="15.75" customHeight="1">
      <c r="A41" s="4">
        <v>2006.0</v>
      </c>
      <c r="B41" s="4">
        <v>191.0</v>
      </c>
      <c r="C41" s="4">
        <v>14.89</v>
      </c>
      <c r="D41" s="4">
        <v>30.19</v>
      </c>
      <c r="E41" s="4">
        <f t="shared" si="1"/>
        <v>1</v>
      </c>
      <c r="F41" s="4">
        <f t="shared" si="2"/>
        <v>0</v>
      </c>
      <c r="G41" s="4">
        <f t="shared" si="3"/>
        <v>55.0336</v>
      </c>
      <c r="H41" s="4">
        <f t="shared" si="4"/>
        <v>53.2613</v>
      </c>
      <c r="I41" s="4" t="str">
        <f t="shared" si="5"/>
        <v> </v>
      </c>
      <c r="J41" s="4">
        <v>2.9</v>
      </c>
      <c r="K41" s="4">
        <v>20.25</v>
      </c>
      <c r="L41" s="4">
        <f t="shared" si="6"/>
        <v>8</v>
      </c>
      <c r="M41" s="4">
        <f t="shared" si="7"/>
        <v>1</v>
      </c>
      <c r="N41" s="4">
        <f t="shared" si="8"/>
        <v>2.39684</v>
      </c>
      <c r="O41" s="4">
        <f t="shared" si="9"/>
        <v>2.9</v>
      </c>
      <c r="P41" s="4">
        <f t="shared" si="10"/>
        <v>20.25</v>
      </c>
    </row>
    <row r="42" ht="15.75" customHeight="1">
      <c r="A42" s="4">
        <v>2006.0</v>
      </c>
      <c r="B42" s="4">
        <v>192.0</v>
      </c>
      <c r="C42" s="4">
        <v>13.96</v>
      </c>
      <c r="D42" s="4">
        <v>30.69</v>
      </c>
      <c r="E42" s="4">
        <f t="shared" si="1"/>
        <v>1</v>
      </c>
      <c r="F42" s="4">
        <f t="shared" si="2"/>
        <v>0</v>
      </c>
      <c r="G42" s="4">
        <f t="shared" si="3"/>
        <v>51.8622</v>
      </c>
      <c r="H42" s="4">
        <f t="shared" si="4"/>
        <v>47.9808</v>
      </c>
      <c r="I42" s="4" t="str">
        <f t="shared" si="5"/>
        <v> </v>
      </c>
      <c r="J42" s="4">
        <v>0.1</v>
      </c>
      <c r="K42" s="4">
        <v>22.34</v>
      </c>
      <c r="L42" s="4">
        <f t="shared" si="6"/>
        <v>8</v>
      </c>
      <c r="M42" s="4">
        <f t="shared" si="7"/>
        <v>0</v>
      </c>
      <c r="N42" s="4">
        <f t="shared" si="8"/>
        <v>-6.73572</v>
      </c>
      <c r="O42" s="4">
        <f t="shared" si="9"/>
        <v>0.1</v>
      </c>
      <c r="P42" s="4">
        <f t="shared" si="10"/>
        <v>22.34</v>
      </c>
    </row>
    <row r="43" ht="15.75" customHeight="1">
      <c r="A43" s="4">
        <v>2006.0</v>
      </c>
      <c r="B43" s="4">
        <v>193.0</v>
      </c>
      <c r="C43" s="4">
        <v>15.36</v>
      </c>
      <c r="D43" s="4">
        <v>31.99</v>
      </c>
      <c r="E43" s="4">
        <f t="shared" si="1"/>
        <v>0</v>
      </c>
      <c r="F43" s="4">
        <f t="shared" si="2"/>
        <v>0</v>
      </c>
      <c r="G43" s="4">
        <f t="shared" si="3"/>
        <v>46.3022</v>
      </c>
      <c r="H43" s="4">
        <f t="shared" si="4"/>
        <v>40.77555</v>
      </c>
      <c r="I43" s="4" t="str">
        <f t="shared" si="5"/>
        <v> </v>
      </c>
      <c r="J43" s="4">
        <v>0.0</v>
      </c>
      <c r="K43" s="4">
        <v>24.43</v>
      </c>
      <c r="L43" s="4">
        <f t="shared" si="6"/>
        <v>3</v>
      </c>
      <c r="M43" s="4">
        <f t="shared" si="7"/>
        <v>0</v>
      </c>
      <c r="N43" s="4">
        <f t="shared" si="8"/>
        <v>-6.27481</v>
      </c>
      <c r="O43" s="4">
        <f t="shared" si="9"/>
        <v>0</v>
      </c>
      <c r="P43" s="4">
        <f t="shared" si="10"/>
        <v>24.43</v>
      </c>
    </row>
    <row r="44" ht="15.75" customHeight="1">
      <c r="A44" s="4">
        <v>2006.0</v>
      </c>
      <c r="B44" s="4">
        <v>194.0</v>
      </c>
      <c r="C44" s="4">
        <v>16.52</v>
      </c>
      <c r="D44" s="4">
        <v>31.97</v>
      </c>
      <c r="E44" s="4">
        <f t="shared" si="1"/>
        <v>0</v>
      </c>
      <c r="F44" s="4">
        <f t="shared" si="2"/>
        <v>0</v>
      </c>
      <c r="G44" s="4">
        <f t="shared" si="3"/>
        <v>40.5364</v>
      </c>
      <c r="H44" s="4">
        <f t="shared" si="4"/>
        <v>35.36135</v>
      </c>
      <c r="I44" s="4" t="str">
        <f t="shared" si="5"/>
        <v> </v>
      </c>
      <c r="J44" s="4">
        <v>0.0</v>
      </c>
      <c r="K44" s="4">
        <v>23.72</v>
      </c>
      <c r="L44" s="4">
        <f t="shared" si="6"/>
        <v>3</v>
      </c>
      <c r="M44" s="4">
        <f t="shared" si="7"/>
        <v>0</v>
      </c>
      <c r="N44" s="4">
        <f t="shared" si="8"/>
        <v>-0.33727</v>
      </c>
      <c r="O44" s="4">
        <f t="shared" si="9"/>
        <v>0</v>
      </c>
      <c r="P44" s="4">
        <f t="shared" si="10"/>
        <v>23.72</v>
      </c>
    </row>
    <row r="45" ht="15.75" customHeight="1">
      <c r="A45" s="4">
        <v>2006.0</v>
      </c>
      <c r="B45" s="4">
        <v>195.0</v>
      </c>
      <c r="C45" s="4">
        <v>16.22</v>
      </c>
      <c r="D45" s="4">
        <v>31.02</v>
      </c>
      <c r="E45" s="4">
        <f t="shared" si="1"/>
        <v>1</v>
      </c>
      <c r="F45" s="4">
        <f t="shared" si="2"/>
        <v>0</v>
      </c>
      <c r="G45" s="4">
        <f t="shared" si="3"/>
        <v>40.9507</v>
      </c>
      <c r="H45" s="4">
        <f t="shared" si="4"/>
        <v>36.12095</v>
      </c>
      <c r="I45" s="4" t="str">
        <f t="shared" si="5"/>
        <v> </v>
      </c>
      <c r="J45" s="4">
        <v>0.3</v>
      </c>
      <c r="K45" s="4">
        <v>22.95</v>
      </c>
      <c r="L45" s="4">
        <f t="shared" si="6"/>
        <v>8</v>
      </c>
      <c r="M45" s="4">
        <f t="shared" si="7"/>
        <v>0</v>
      </c>
      <c r="N45" s="4">
        <f t="shared" si="8"/>
        <v>-6.38657</v>
      </c>
      <c r="O45" s="4">
        <f t="shared" si="9"/>
        <v>0.3</v>
      </c>
      <c r="P45" s="4">
        <f t="shared" si="10"/>
        <v>22.95</v>
      </c>
    </row>
    <row r="46" ht="15.75" customHeight="1">
      <c r="A46" s="4">
        <v>2006.0</v>
      </c>
      <c r="B46" s="4">
        <v>196.0</v>
      </c>
      <c r="C46" s="4">
        <v>17.15</v>
      </c>
      <c r="D46" s="4">
        <v>27.61</v>
      </c>
      <c r="E46" s="4">
        <f t="shared" si="1"/>
        <v>0</v>
      </c>
      <c r="F46" s="4">
        <f t="shared" si="2"/>
        <v>0</v>
      </c>
      <c r="G46" s="4">
        <f t="shared" si="3"/>
        <v>30.002</v>
      </c>
      <c r="H46" s="4">
        <f t="shared" si="4"/>
        <v>26.8536</v>
      </c>
      <c r="I46" s="4" t="str">
        <f t="shared" si="5"/>
        <v> </v>
      </c>
      <c r="J46" s="4">
        <v>0.0</v>
      </c>
      <c r="K46" s="4">
        <v>21.72</v>
      </c>
      <c r="L46" s="4">
        <f t="shared" si="6"/>
        <v>3</v>
      </c>
      <c r="M46" s="4">
        <f t="shared" si="7"/>
        <v>0</v>
      </c>
      <c r="N46" s="4">
        <f t="shared" si="8"/>
        <v>-10.1827</v>
      </c>
      <c r="O46" s="4">
        <f t="shared" si="9"/>
        <v>0</v>
      </c>
      <c r="P46" s="4">
        <f t="shared" si="10"/>
        <v>21.72</v>
      </c>
    </row>
    <row r="47" ht="15.75" customHeight="1">
      <c r="A47" s="4">
        <v>2006.0</v>
      </c>
      <c r="B47" s="4">
        <v>197.0</v>
      </c>
      <c r="C47" s="4">
        <v>14.75</v>
      </c>
      <c r="D47" s="4">
        <v>23.63</v>
      </c>
      <c r="E47" s="4">
        <f t="shared" si="1"/>
        <v>0</v>
      </c>
      <c r="F47" s="4">
        <f t="shared" si="2"/>
        <v>0</v>
      </c>
      <c r="G47" s="4">
        <f t="shared" si="3"/>
        <v>28.5498</v>
      </c>
      <c r="H47" s="4">
        <f t="shared" si="4"/>
        <v>26.27275</v>
      </c>
      <c r="I47" s="4" t="str">
        <f t="shared" si="5"/>
        <v> </v>
      </c>
      <c r="J47" s="4">
        <v>0.0</v>
      </c>
      <c r="K47" s="4">
        <v>19.05</v>
      </c>
      <c r="L47" s="4">
        <f t="shared" si="6"/>
        <v>3</v>
      </c>
      <c r="M47" s="4">
        <f t="shared" si="7"/>
        <v>0</v>
      </c>
      <c r="N47" s="4">
        <f t="shared" si="8"/>
        <v>-10.80983</v>
      </c>
      <c r="O47" s="4">
        <f t="shared" si="9"/>
        <v>0</v>
      </c>
      <c r="P47" s="4">
        <f t="shared" si="10"/>
        <v>19.05</v>
      </c>
    </row>
    <row r="48" ht="15.75" customHeight="1">
      <c r="A48" s="4">
        <v>2006.0</v>
      </c>
      <c r="B48" s="4">
        <v>198.0</v>
      </c>
      <c r="C48" s="4">
        <v>10.57</v>
      </c>
      <c r="D48" s="4">
        <v>19.68</v>
      </c>
      <c r="E48" s="4">
        <f t="shared" si="1"/>
        <v>0</v>
      </c>
      <c r="F48" s="4">
        <f t="shared" si="2"/>
        <v>0</v>
      </c>
      <c r="G48" s="4">
        <f t="shared" si="3"/>
        <v>24.9836</v>
      </c>
      <c r="H48" s="4">
        <f t="shared" si="4"/>
        <v>22.2023</v>
      </c>
      <c r="I48" s="4" t="str">
        <f t="shared" si="5"/>
        <v> </v>
      </c>
      <c r="J48" s="4">
        <v>0.0</v>
      </c>
      <c r="K48" s="4">
        <v>15.94</v>
      </c>
      <c r="L48" s="4">
        <f t="shared" si="6"/>
        <v>3</v>
      </c>
      <c r="M48" s="4">
        <f t="shared" si="7"/>
        <v>0</v>
      </c>
      <c r="N48" s="4">
        <f t="shared" si="8"/>
        <v>-1.7543</v>
      </c>
      <c r="O48" s="4">
        <f t="shared" si="9"/>
        <v>0</v>
      </c>
      <c r="P48" s="4">
        <f t="shared" si="10"/>
        <v>15.94</v>
      </c>
    </row>
    <row r="49" ht="15.75" customHeight="1">
      <c r="A49" s="4">
        <v>2006.0</v>
      </c>
      <c r="B49" s="4">
        <v>199.0</v>
      </c>
      <c r="C49" s="4">
        <v>7.0</v>
      </c>
      <c r="D49" s="4">
        <v>25.6</v>
      </c>
      <c r="E49" s="4">
        <f t="shared" si="1"/>
        <v>0</v>
      </c>
      <c r="F49" s="4">
        <f t="shared" si="2"/>
        <v>0</v>
      </c>
      <c r="G49" s="4">
        <f t="shared" si="3"/>
        <v>28.42049</v>
      </c>
      <c r="H49" s="4">
        <f t="shared" si="4"/>
        <v>26.23545</v>
      </c>
      <c r="I49" s="4" t="str">
        <f t="shared" si="5"/>
        <v> </v>
      </c>
      <c r="J49" s="4">
        <v>0.0</v>
      </c>
      <c r="K49" s="4">
        <v>17.47</v>
      </c>
      <c r="L49" s="4">
        <f t="shared" si="6"/>
        <v>3</v>
      </c>
      <c r="M49" s="4">
        <f t="shared" si="7"/>
        <v>1</v>
      </c>
      <c r="N49" s="4">
        <f t="shared" si="8"/>
        <v>5.31977</v>
      </c>
      <c r="O49" s="4">
        <f t="shared" si="9"/>
        <v>0</v>
      </c>
      <c r="P49" s="4">
        <f t="shared" si="10"/>
        <v>17.47</v>
      </c>
    </row>
    <row r="50" ht="15.75" customHeight="1">
      <c r="A50" s="4">
        <v>2006.0</v>
      </c>
      <c r="B50" s="4">
        <v>200.0</v>
      </c>
      <c r="C50" s="4">
        <v>12.29</v>
      </c>
      <c r="D50" s="4">
        <v>18.38</v>
      </c>
      <c r="E50" s="4">
        <f t="shared" si="1"/>
        <v>1</v>
      </c>
      <c r="F50" s="4">
        <f t="shared" si="2"/>
        <v>1</v>
      </c>
      <c r="G50" s="4">
        <f t="shared" si="3"/>
        <v>27.84294</v>
      </c>
      <c r="H50" s="4">
        <f t="shared" si="4"/>
        <v>29.765485</v>
      </c>
      <c r="I50" s="4">
        <f t="shared" si="5"/>
        <v>1.922545</v>
      </c>
      <c r="J50" s="4">
        <v>5.5</v>
      </c>
      <c r="K50" s="4">
        <v>15.82</v>
      </c>
      <c r="L50" s="4">
        <f t="shared" si="6"/>
        <v>8</v>
      </c>
      <c r="M50" s="4">
        <f t="shared" si="7"/>
        <v>1</v>
      </c>
      <c r="N50" s="4">
        <f t="shared" si="8"/>
        <v>4.43729</v>
      </c>
      <c r="O50" s="4">
        <f t="shared" si="9"/>
        <v>5.5</v>
      </c>
      <c r="P50" s="4">
        <f t="shared" si="10"/>
        <v>15.82</v>
      </c>
    </row>
    <row r="51" ht="15.75" customHeight="1">
      <c r="A51" s="4">
        <v>2006.0</v>
      </c>
      <c r="B51" s="4">
        <v>201.0</v>
      </c>
      <c r="C51" s="4">
        <v>10.22</v>
      </c>
      <c r="D51" s="4">
        <v>18.98</v>
      </c>
      <c r="E51" s="4">
        <f t="shared" si="1"/>
        <v>1</v>
      </c>
      <c r="F51" s="4">
        <f t="shared" si="2"/>
        <v>0</v>
      </c>
      <c r="G51" s="4">
        <f t="shared" si="3"/>
        <v>31.12776</v>
      </c>
      <c r="H51" s="4">
        <f t="shared" si="4"/>
        <v>30.56355</v>
      </c>
      <c r="I51" s="4" t="str">
        <f t="shared" si="5"/>
        <v> </v>
      </c>
      <c r="J51" s="4">
        <v>0.1</v>
      </c>
      <c r="K51" s="4">
        <v>14.03</v>
      </c>
      <c r="L51" s="4">
        <f t="shared" si="6"/>
        <v>8</v>
      </c>
      <c r="M51" s="4">
        <f t="shared" si="7"/>
        <v>0</v>
      </c>
      <c r="N51" s="4">
        <f t="shared" si="8"/>
        <v>-6.370128</v>
      </c>
      <c r="O51" s="4">
        <f t="shared" si="9"/>
        <v>0.1</v>
      </c>
      <c r="P51" s="4">
        <f t="shared" si="10"/>
        <v>14.03</v>
      </c>
    </row>
    <row r="52" ht="15.75" customHeight="1">
      <c r="A52" s="4">
        <v>2006.0</v>
      </c>
      <c r="B52" s="4">
        <v>202.0</v>
      </c>
      <c r="C52" s="4">
        <v>7.6</v>
      </c>
      <c r="D52" s="4">
        <v>19.41</v>
      </c>
      <c r="E52" s="4">
        <f t="shared" si="1"/>
        <v>0</v>
      </c>
      <c r="F52" s="4">
        <f t="shared" si="2"/>
        <v>0</v>
      </c>
      <c r="G52" s="4">
        <f t="shared" si="3"/>
        <v>31.83927</v>
      </c>
      <c r="H52" s="4">
        <f t="shared" si="4"/>
        <v>31.28441</v>
      </c>
      <c r="I52" s="4" t="str">
        <f t="shared" si="5"/>
        <v> </v>
      </c>
      <c r="J52" s="4">
        <v>0.0</v>
      </c>
      <c r="K52" s="4">
        <v>13.03</v>
      </c>
      <c r="L52" s="4">
        <f t="shared" si="6"/>
        <v>3</v>
      </c>
      <c r="M52" s="4">
        <f t="shared" si="7"/>
        <v>0</v>
      </c>
      <c r="N52" s="4">
        <f t="shared" si="8"/>
        <v>-1.519299</v>
      </c>
      <c r="O52" s="4">
        <f t="shared" si="9"/>
        <v>0</v>
      </c>
      <c r="P52" s="4">
        <f t="shared" si="10"/>
        <v>13.03</v>
      </c>
    </row>
    <row r="53" ht="15.75" customHeight="1">
      <c r="A53" s="4">
        <v>2006.0</v>
      </c>
      <c r="B53" s="4">
        <v>203.0</v>
      </c>
      <c r="C53" s="4">
        <v>5.469</v>
      </c>
      <c r="D53" s="4">
        <v>23.05</v>
      </c>
      <c r="E53" s="4">
        <f t="shared" si="1"/>
        <v>0</v>
      </c>
      <c r="F53" s="4">
        <f t="shared" si="2"/>
        <v>0</v>
      </c>
      <c r="G53" s="4">
        <f t="shared" si="3"/>
        <v>36.0418</v>
      </c>
      <c r="H53" s="4">
        <f t="shared" si="4"/>
        <v>34.89291</v>
      </c>
      <c r="I53" s="4" t="str">
        <f t="shared" si="5"/>
        <v> </v>
      </c>
      <c r="J53" s="4">
        <v>0.0</v>
      </c>
      <c r="K53" s="4">
        <v>15.2</v>
      </c>
      <c r="L53" s="4">
        <f t="shared" si="6"/>
        <v>3</v>
      </c>
      <c r="M53" s="4">
        <f t="shared" si="7"/>
        <v>1</v>
      </c>
      <c r="N53" s="4">
        <f t="shared" si="8"/>
        <v>3.604656</v>
      </c>
      <c r="O53" s="4">
        <f t="shared" si="9"/>
        <v>0</v>
      </c>
      <c r="P53" s="4">
        <f t="shared" si="10"/>
        <v>15.2</v>
      </c>
    </row>
    <row r="54" ht="15.75" customHeight="1">
      <c r="A54" s="4">
        <v>2006.0</v>
      </c>
      <c r="B54" s="4">
        <v>204.0</v>
      </c>
      <c r="C54" s="4">
        <v>12.26</v>
      </c>
      <c r="D54" s="4">
        <v>22.93</v>
      </c>
      <c r="E54" s="4">
        <f t="shared" si="1"/>
        <v>1</v>
      </c>
      <c r="F54" s="4">
        <f t="shared" si="2"/>
        <v>1</v>
      </c>
      <c r="G54" s="4">
        <f t="shared" si="3"/>
        <v>35.607</v>
      </c>
      <c r="H54" s="4">
        <f t="shared" si="4"/>
        <v>37.2778</v>
      </c>
      <c r="I54" s="4">
        <f t="shared" si="5"/>
        <v>1.6708</v>
      </c>
      <c r="J54" s="4">
        <v>0.1</v>
      </c>
      <c r="K54" s="4">
        <v>16.59</v>
      </c>
      <c r="L54" s="4">
        <f t="shared" si="6"/>
        <v>8</v>
      </c>
      <c r="M54" s="4">
        <f t="shared" si="7"/>
        <v>1</v>
      </c>
      <c r="N54" s="4">
        <f t="shared" si="8"/>
        <v>8.42826</v>
      </c>
      <c r="O54" s="4">
        <f t="shared" si="9"/>
        <v>0.1</v>
      </c>
      <c r="P54" s="4">
        <f t="shared" si="10"/>
        <v>16.59</v>
      </c>
    </row>
    <row r="55" ht="15.75" customHeight="1">
      <c r="A55" s="4">
        <v>2006.0</v>
      </c>
      <c r="B55" s="4">
        <v>205.0</v>
      </c>
      <c r="C55" s="4">
        <v>9.03</v>
      </c>
      <c r="D55" s="4">
        <v>24.43</v>
      </c>
      <c r="E55" s="4">
        <f t="shared" si="1"/>
        <v>1</v>
      </c>
      <c r="F55" s="4">
        <f t="shared" si="2"/>
        <v>1</v>
      </c>
      <c r="G55" s="4">
        <f t="shared" si="3"/>
        <v>29.6975</v>
      </c>
      <c r="H55" s="4">
        <f t="shared" si="4"/>
        <v>29.9756</v>
      </c>
      <c r="I55" s="4">
        <f t="shared" si="5"/>
        <v>0.2781</v>
      </c>
      <c r="J55" s="4">
        <v>0.1</v>
      </c>
      <c r="K55" s="4">
        <v>16.97</v>
      </c>
      <c r="L55" s="4">
        <f t="shared" si="6"/>
        <v>8</v>
      </c>
      <c r="M55" s="4">
        <f t="shared" si="7"/>
        <v>1</v>
      </c>
      <c r="N55" s="4">
        <f t="shared" si="8"/>
        <v>3.54286</v>
      </c>
      <c r="O55" s="4">
        <f t="shared" si="9"/>
        <v>0.1</v>
      </c>
      <c r="P55" s="4">
        <f t="shared" si="10"/>
        <v>16.97</v>
      </c>
    </row>
    <row r="56" ht="15.75" customHeight="1">
      <c r="A56" s="4">
        <v>2006.0</v>
      </c>
      <c r="B56" s="4">
        <v>206.0</v>
      </c>
      <c r="C56" s="4">
        <v>10.89</v>
      </c>
      <c r="D56" s="4">
        <v>26.24</v>
      </c>
      <c r="E56" s="4">
        <f t="shared" si="1"/>
        <v>1</v>
      </c>
      <c r="F56" s="4">
        <f t="shared" si="2"/>
        <v>0</v>
      </c>
      <c r="G56" s="4">
        <f t="shared" si="3"/>
        <v>28.354</v>
      </c>
      <c r="H56" s="4">
        <f t="shared" si="4"/>
        <v>27.2112</v>
      </c>
      <c r="I56" s="4" t="str">
        <f t="shared" si="5"/>
        <v> </v>
      </c>
      <c r="J56" s="4">
        <v>0.1</v>
      </c>
      <c r="K56" s="4">
        <v>18.61</v>
      </c>
      <c r="L56" s="4">
        <f t="shared" si="6"/>
        <v>8</v>
      </c>
      <c r="M56" s="4">
        <f t="shared" si="7"/>
        <v>0</v>
      </c>
      <c r="N56" s="4">
        <f t="shared" si="8"/>
        <v>-2.47343</v>
      </c>
      <c r="O56" s="4">
        <f t="shared" si="9"/>
        <v>0.1</v>
      </c>
      <c r="P56" s="4">
        <f t="shared" si="10"/>
        <v>18.61</v>
      </c>
    </row>
    <row r="57" ht="15.75" customHeight="1">
      <c r="A57" s="4">
        <v>2006.0</v>
      </c>
      <c r="B57" s="4">
        <v>207.0</v>
      </c>
      <c r="C57" s="4">
        <v>11.82</v>
      </c>
      <c r="D57" s="4">
        <v>25.49</v>
      </c>
      <c r="E57" s="4">
        <f t="shared" si="1"/>
        <v>0</v>
      </c>
      <c r="F57" s="4">
        <f t="shared" si="2"/>
        <v>0</v>
      </c>
      <c r="G57" s="4">
        <f t="shared" si="3"/>
        <v>25.23439</v>
      </c>
      <c r="H57" s="4">
        <f t="shared" si="4"/>
        <v>21.05485</v>
      </c>
      <c r="I57" s="4" t="str">
        <f t="shared" si="5"/>
        <v> </v>
      </c>
      <c r="J57" s="4">
        <v>0.0</v>
      </c>
      <c r="K57" s="4">
        <v>19.08</v>
      </c>
      <c r="L57" s="4">
        <f t="shared" si="6"/>
        <v>3</v>
      </c>
      <c r="M57" s="4">
        <f t="shared" si="7"/>
        <v>1</v>
      </c>
      <c r="N57" s="4">
        <f t="shared" si="8"/>
        <v>0.31459</v>
      </c>
      <c r="O57" s="4">
        <f t="shared" si="9"/>
        <v>0</v>
      </c>
      <c r="P57" s="4">
        <f t="shared" si="10"/>
        <v>19.08</v>
      </c>
    </row>
    <row r="58" ht="15.75" customHeight="1">
      <c r="A58" s="4">
        <v>2006.0</v>
      </c>
      <c r="B58" s="4">
        <v>208.0</v>
      </c>
      <c r="C58" s="4">
        <v>9.06</v>
      </c>
      <c r="D58" s="4">
        <v>18.58</v>
      </c>
      <c r="E58" s="4">
        <f t="shared" si="1"/>
        <v>1</v>
      </c>
      <c r="F58" s="4">
        <f t="shared" si="2"/>
        <v>1</v>
      </c>
      <c r="G58" s="4">
        <f t="shared" si="3"/>
        <v>16.01374</v>
      </c>
      <c r="H58" s="4">
        <f t="shared" si="4"/>
        <v>17.016435</v>
      </c>
      <c r="I58" s="4">
        <f t="shared" si="5"/>
        <v>1.002695</v>
      </c>
      <c r="J58" s="4">
        <v>3.9</v>
      </c>
      <c r="K58" s="4">
        <v>13.87</v>
      </c>
      <c r="L58" s="4">
        <f t="shared" si="6"/>
        <v>8</v>
      </c>
      <c r="M58" s="4">
        <f t="shared" si="7"/>
        <v>0</v>
      </c>
      <c r="N58" s="4">
        <f t="shared" si="8"/>
        <v>-2.39057</v>
      </c>
      <c r="O58" s="4">
        <f t="shared" si="9"/>
        <v>3.9</v>
      </c>
      <c r="P58" s="4">
        <f t="shared" si="10"/>
        <v>13.87</v>
      </c>
    </row>
    <row r="59" ht="15.75" customHeight="1">
      <c r="A59" s="4">
        <v>2006.0</v>
      </c>
      <c r="B59" s="4">
        <v>209.0</v>
      </c>
      <c r="C59" s="4">
        <v>7.66</v>
      </c>
      <c r="D59" s="4">
        <v>13.91</v>
      </c>
      <c r="E59" s="4">
        <f t="shared" si="1"/>
        <v>0</v>
      </c>
      <c r="F59" s="4">
        <f t="shared" si="2"/>
        <v>0</v>
      </c>
      <c r="G59" s="4">
        <f t="shared" si="3"/>
        <v>17.62306</v>
      </c>
      <c r="H59" s="4">
        <f t="shared" si="4"/>
        <v>16.6868</v>
      </c>
      <c r="I59" s="4" t="str">
        <f t="shared" si="5"/>
        <v> </v>
      </c>
      <c r="J59" s="4">
        <v>0.0</v>
      </c>
      <c r="K59" s="4">
        <v>11.01</v>
      </c>
      <c r="L59" s="4">
        <f t="shared" si="6"/>
        <v>3</v>
      </c>
      <c r="M59" s="4">
        <f t="shared" si="7"/>
        <v>0</v>
      </c>
      <c r="N59" s="4">
        <f t="shared" si="8"/>
        <v>-7.737168</v>
      </c>
      <c r="O59" s="4">
        <f t="shared" si="9"/>
        <v>0</v>
      </c>
      <c r="P59" s="4">
        <f t="shared" si="10"/>
        <v>11.01</v>
      </c>
    </row>
    <row r="60" ht="15.75" customHeight="1">
      <c r="A60" s="4">
        <v>2006.0</v>
      </c>
      <c r="B60" s="4">
        <v>210.0</v>
      </c>
      <c r="C60" s="4">
        <v>8.96</v>
      </c>
      <c r="D60" s="4">
        <v>17.46</v>
      </c>
      <c r="E60" s="4">
        <f t="shared" si="1"/>
        <v>0</v>
      </c>
      <c r="F60" s="4">
        <f t="shared" si="2"/>
        <v>0</v>
      </c>
      <c r="G60" s="4">
        <f t="shared" si="3"/>
        <v>23.10171</v>
      </c>
      <c r="H60" s="4">
        <f t="shared" si="4"/>
        <v>20.03371</v>
      </c>
      <c r="I60" s="4" t="str">
        <f t="shared" si="5"/>
        <v> </v>
      </c>
      <c r="J60" s="4">
        <v>0.0</v>
      </c>
      <c r="K60" s="4">
        <v>12.07</v>
      </c>
      <c r="L60" s="4">
        <f t="shared" si="6"/>
        <v>3</v>
      </c>
      <c r="M60" s="4">
        <f t="shared" si="7"/>
        <v>0</v>
      </c>
      <c r="N60" s="4">
        <f t="shared" si="8"/>
        <v>-0.465079</v>
      </c>
      <c r="O60" s="4">
        <f t="shared" si="9"/>
        <v>0</v>
      </c>
      <c r="P60" s="4">
        <f t="shared" si="10"/>
        <v>12.07</v>
      </c>
    </row>
    <row r="61" ht="15.75" customHeight="1">
      <c r="A61" s="4">
        <v>2006.0</v>
      </c>
      <c r="B61" s="4">
        <v>211.0</v>
      </c>
      <c r="C61" s="4">
        <v>6.799</v>
      </c>
      <c r="D61" s="4">
        <v>22.0</v>
      </c>
      <c r="E61" s="4">
        <f t="shared" si="1"/>
        <v>0</v>
      </c>
      <c r="F61" s="4">
        <f t="shared" si="2"/>
        <v>1</v>
      </c>
      <c r="G61" s="4">
        <f t="shared" si="3"/>
        <v>25.00254</v>
      </c>
      <c r="H61" s="4">
        <f t="shared" si="4"/>
        <v>26.55462</v>
      </c>
      <c r="I61" s="4">
        <f t="shared" si="5"/>
        <v>1.55208</v>
      </c>
      <c r="J61" s="4">
        <v>0.0</v>
      </c>
      <c r="K61" s="4">
        <v>14.87</v>
      </c>
      <c r="L61" s="4">
        <f t="shared" si="6"/>
        <v>3</v>
      </c>
      <c r="M61" s="4">
        <f t="shared" si="7"/>
        <v>1</v>
      </c>
      <c r="N61" s="4">
        <f t="shared" si="8"/>
        <v>6.131366</v>
      </c>
      <c r="O61" s="4">
        <f t="shared" si="9"/>
        <v>0</v>
      </c>
      <c r="P61" s="4">
        <f t="shared" si="10"/>
        <v>14.87</v>
      </c>
    </row>
    <row r="62" ht="15.75" customHeight="1">
      <c r="A62" s="4">
        <v>2006.0</v>
      </c>
      <c r="B62" s="4">
        <v>212.0</v>
      </c>
      <c r="C62" s="4">
        <v>11.79</v>
      </c>
      <c r="D62" s="4">
        <v>14.95</v>
      </c>
      <c r="E62" s="4">
        <f t="shared" si="1"/>
        <v>1</v>
      </c>
      <c r="F62" s="4">
        <f t="shared" si="2"/>
        <v>1</v>
      </c>
      <c r="G62" s="4">
        <f t="shared" si="3"/>
        <v>30.39876</v>
      </c>
      <c r="H62" s="4">
        <f t="shared" si="4"/>
        <v>32.68825</v>
      </c>
      <c r="I62" s="4">
        <f t="shared" si="5"/>
        <v>2.28949</v>
      </c>
      <c r="J62" s="4">
        <v>10.6</v>
      </c>
      <c r="K62" s="4">
        <v>13.36</v>
      </c>
      <c r="L62" s="4">
        <f t="shared" si="6"/>
        <v>8</v>
      </c>
      <c r="M62" s="4">
        <f t="shared" si="7"/>
        <v>1</v>
      </c>
      <c r="N62" s="4">
        <f t="shared" si="8"/>
        <v>3.428332</v>
      </c>
      <c r="O62" s="4">
        <f t="shared" si="9"/>
        <v>10.6</v>
      </c>
      <c r="P62" s="4">
        <f t="shared" si="10"/>
        <v>13.36</v>
      </c>
    </row>
    <row r="63" ht="15.75" customHeight="1">
      <c r="A63" s="4">
        <v>2006.0</v>
      </c>
      <c r="B63" s="4">
        <v>213.0</v>
      </c>
      <c r="C63" s="4">
        <v>9.53</v>
      </c>
      <c r="D63" s="4">
        <v>21.27</v>
      </c>
      <c r="E63" s="4">
        <f t="shared" si="1"/>
        <v>1</v>
      </c>
      <c r="F63" s="4">
        <f t="shared" si="2"/>
        <v>1</v>
      </c>
      <c r="G63" s="4">
        <f t="shared" si="3"/>
        <v>30.93782</v>
      </c>
      <c r="H63" s="4">
        <f t="shared" si="4"/>
        <v>32.09021</v>
      </c>
      <c r="I63" s="4">
        <f t="shared" si="5"/>
        <v>1.15239</v>
      </c>
      <c r="J63" s="4">
        <v>0.1</v>
      </c>
      <c r="K63" s="4">
        <v>14.62</v>
      </c>
      <c r="L63" s="4">
        <f t="shared" si="6"/>
        <v>8</v>
      </c>
      <c r="M63" s="4">
        <f t="shared" si="7"/>
        <v>1</v>
      </c>
      <c r="N63" s="4">
        <f t="shared" si="8"/>
        <v>1.475316</v>
      </c>
      <c r="O63" s="4">
        <f t="shared" si="9"/>
        <v>0.1</v>
      </c>
      <c r="P63" s="4">
        <f t="shared" si="10"/>
        <v>14.62</v>
      </c>
    </row>
    <row r="64" ht="15.75" customHeight="1">
      <c r="A64" s="4">
        <v>2006.0</v>
      </c>
      <c r="B64" s="4">
        <v>214.0</v>
      </c>
      <c r="C64" s="4">
        <v>5.964</v>
      </c>
      <c r="D64" s="4">
        <v>22.78</v>
      </c>
      <c r="E64" s="4">
        <f t="shared" si="1"/>
        <v>0</v>
      </c>
      <c r="F64" s="4">
        <f t="shared" si="2"/>
        <v>1</v>
      </c>
      <c r="G64" s="4">
        <f t="shared" si="3"/>
        <v>29.4163</v>
      </c>
      <c r="H64" s="4">
        <f t="shared" si="4"/>
        <v>30.56466</v>
      </c>
      <c r="I64" s="4">
        <f t="shared" si="5"/>
        <v>1.14836</v>
      </c>
      <c r="J64" s="4">
        <v>0.0</v>
      </c>
      <c r="K64" s="4">
        <v>15.0</v>
      </c>
      <c r="L64" s="4">
        <f t="shared" si="6"/>
        <v>3</v>
      </c>
      <c r="M64" s="4">
        <f t="shared" si="7"/>
        <v>1</v>
      </c>
      <c r="N64" s="4">
        <f t="shared" si="8"/>
        <v>7.477966</v>
      </c>
      <c r="O64" s="4">
        <f t="shared" si="9"/>
        <v>0</v>
      </c>
      <c r="P64" s="4">
        <f t="shared" si="10"/>
        <v>15</v>
      </c>
    </row>
    <row r="65" ht="15.75" customHeight="1">
      <c r="A65" s="4">
        <v>2006.0</v>
      </c>
      <c r="B65" s="4">
        <v>215.0</v>
      </c>
      <c r="C65" s="4">
        <v>11.63</v>
      </c>
      <c r="D65" s="4">
        <v>20.7</v>
      </c>
      <c r="E65" s="4">
        <f t="shared" si="1"/>
        <v>1</v>
      </c>
      <c r="F65" s="4">
        <f t="shared" si="2"/>
        <v>1</v>
      </c>
      <c r="G65" s="4">
        <f t="shared" si="3"/>
        <v>31.6341</v>
      </c>
      <c r="H65" s="4">
        <f t="shared" si="4"/>
        <v>33.8201</v>
      </c>
      <c r="I65" s="4">
        <f t="shared" si="5"/>
        <v>2.186</v>
      </c>
      <c r="J65" s="4">
        <v>2.6</v>
      </c>
      <c r="K65" s="4">
        <v>15.95</v>
      </c>
      <c r="L65" s="4">
        <f t="shared" si="6"/>
        <v>8</v>
      </c>
      <c r="M65" s="4">
        <f t="shared" si="7"/>
        <v>1</v>
      </c>
      <c r="N65" s="4">
        <f t="shared" si="8"/>
        <v>11.56419</v>
      </c>
      <c r="O65" s="4">
        <f t="shared" si="9"/>
        <v>2.6</v>
      </c>
      <c r="P65" s="4">
        <f t="shared" si="10"/>
        <v>15.95</v>
      </c>
    </row>
    <row r="66" ht="15.75" customHeight="1">
      <c r="A66" s="4">
        <v>2006.0</v>
      </c>
      <c r="B66" s="4">
        <v>216.0</v>
      </c>
      <c r="C66" s="4">
        <v>14.25</v>
      </c>
      <c r="D66" s="4">
        <v>24.42</v>
      </c>
      <c r="E66" s="4">
        <f t="shared" si="1"/>
        <v>1</v>
      </c>
      <c r="F66" s="4">
        <f t="shared" si="2"/>
        <v>1</v>
      </c>
      <c r="G66" s="4">
        <f t="shared" si="3"/>
        <v>35.2112</v>
      </c>
      <c r="H66" s="4">
        <f t="shared" si="4"/>
        <v>37.05495</v>
      </c>
      <c r="I66" s="4">
        <f t="shared" si="5"/>
        <v>1.84375</v>
      </c>
      <c r="J66" s="4">
        <v>0.3</v>
      </c>
      <c r="K66" s="4">
        <v>17.75</v>
      </c>
      <c r="L66" s="4">
        <f t="shared" si="6"/>
        <v>8</v>
      </c>
      <c r="M66" s="4">
        <f t="shared" si="7"/>
        <v>1</v>
      </c>
      <c r="N66" s="4">
        <f t="shared" si="8"/>
        <v>11.27129</v>
      </c>
      <c r="O66" s="4">
        <f t="shared" si="9"/>
        <v>0.3</v>
      </c>
      <c r="P66" s="4">
        <f t="shared" si="10"/>
        <v>17.75</v>
      </c>
    </row>
    <row r="67" ht="15.75" customHeight="1">
      <c r="A67" s="4">
        <v>2006.0</v>
      </c>
      <c r="B67" s="4">
        <v>217.0</v>
      </c>
      <c r="C67" s="4">
        <v>15.22</v>
      </c>
      <c r="D67" s="4">
        <v>19.28</v>
      </c>
      <c r="E67" s="4">
        <f t="shared" si="1"/>
        <v>1</v>
      </c>
      <c r="F67" s="4">
        <f t="shared" si="2"/>
        <v>1</v>
      </c>
      <c r="G67" s="4">
        <f t="shared" si="3"/>
        <v>28.491</v>
      </c>
      <c r="H67" s="4">
        <f t="shared" si="4"/>
        <v>32.01865</v>
      </c>
      <c r="I67" s="4">
        <f t="shared" si="5"/>
        <v>3.52765</v>
      </c>
      <c r="J67" s="4">
        <v>9.4</v>
      </c>
      <c r="K67" s="4">
        <v>16.38</v>
      </c>
      <c r="L67" s="4">
        <f t="shared" si="6"/>
        <v>8</v>
      </c>
      <c r="M67" s="4">
        <f t="shared" si="7"/>
        <v>1</v>
      </c>
      <c r="N67" s="4">
        <f t="shared" si="8"/>
        <v>10.60093</v>
      </c>
      <c r="O67" s="4">
        <f t="shared" si="9"/>
        <v>9.4</v>
      </c>
      <c r="P67" s="4">
        <f t="shared" si="10"/>
        <v>16.38</v>
      </c>
    </row>
    <row r="68" ht="15.75" customHeight="1">
      <c r="A68" s="4">
        <v>2006.0</v>
      </c>
      <c r="B68" s="4">
        <v>218.0</v>
      </c>
      <c r="C68" s="4">
        <v>14.92</v>
      </c>
      <c r="D68" s="4">
        <v>20.35</v>
      </c>
      <c r="E68" s="4">
        <f t="shared" si="1"/>
        <v>1</v>
      </c>
      <c r="F68" s="4">
        <f t="shared" si="2"/>
        <v>1</v>
      </c>
      <c r="G68" s="4">
        <f t="shared" si="3"/>
        <v>28.0694</v>
      </c>
      <c r="H68" s="4">
        <f t="shared" si="4"/>
        <v>31.4916</v>
      </c>
      <c r="I68" s="4">
        <f t="shared" si="5"/>
        <v>3.4222</v>
      </c>
      <c r="J68" s="4">
        <v>5.9</v>
      </c>
      <c r="K68" s="4">
        <v>17.02</v>
      </c>
      <c r="L68" s="4">
        <f t="shared" si="6"/>
        <v>8</v>
      </c>
      <c r="M68" s="4">
        <f t="shared" si="7"/>
        <v>1</v>
      </c>
      <c r="N68" s="4">
        <f t="shared" si="8"/>
        <v>9.08564</v>
      </c>
      <c r="O68" s="4">
        <f t="shared" si="9"/>
        <v>5.9</v>
      </c>
      <c r="P68" s="4">
        <f t="shared" si="10"/>
        <v>17.02</v>
      </c>
    </row>
    <row r="69" ht="15.75" customHeight="1">
      <c r="A69" s="4">
        <v>2006.0</v>
      </c>
      <c r="B69" s="4">
        <v>219.0</v>
      </c>
      <c r="C69" s="4">
        <v>12.29</v>
      </c>
      <c r="D69" s="4">
        <v>20.18</v>
      </c>
      <c r="E69" s="4">
        <f t="shared" si="1"/>
        <v>1</v>
      </c>
      <c r="F69" s="4">
        <f t="shared" si="2"/>
        <v>1</v>
      </c>
      <c r="G69" s="4">
        <f t="shared" si="3"/>
        <v>26.9852</v>
      </c>
      <c r="H69" s="4">
        <f t="shared" si="4"/>
        <v>30.06695</v>
      </c>
      <c r="I69" s="4">
        <f t="shared" si="5"/>
        <v>3.08175</v>
      </c>
      <c r="J69" s="4">
        <v>3.8</v>
      </c>
      <c r="K69" s="4">
        <v>16.23</v>
      </c>
      <c r="L69" s="4">
        <f t="shared" si="6"/>
        <v>8</v>
      </c>
      <c r="M69" s="4">
        <f t="shared" si="7"/>
        <v>1</v>
      </c>
      <c r="N69" s="4">
        <f t="shared" si="8"/>
        <v>11.24664</v>
      </c>
      <c r="O69" s="4">
        <f t="shared" si="9"/>
        <v>3.8</v>
      </c>
      <c r="P69" s="4">
        <f t="shared" si="10"/>
        <v>16.23</v>
      </c>
    </row>
    <row r="70" ht="15.75" customHeight="1">
      <c r="A70" s="4">
        <v>2006.0</v>
      </c>
      <c r="B70" s="4">
        <v>220.0</v>
      </c>
      <c r="C70" s="4">
        <v>9.97</v>
      </c>
      <c r="D70" s="4">
        <v>22.77</v>
      </c>
      <c r="E70" s="4">
        <f t="shared" si="1"/>
        <v>1</v>
      </c>
      <c r="F70" s="4">
        <f t="shared" si="2"/>
        <v>1</v>
      </c>
      <c r="G70" s="4">
        <f t="shared" si="3"/>
        <v>26.7325</v>
      </c>
      <c r="H70" s="4">
        <f t="shared" si="4"/>
        <v>27.2605</v>
      </c>
      <c r="I70" s="4">
        <f t="shared" si="5"/>
        <v>0.528</v>
      </c>
      <c r="J70" s="4">
        <v>0.9</v>
      </c>
      <c r="K70" s="4">
        <v>16.67</v>
      </c>
      <c r="L70" s="4">
        <f t="shared" si="6"/>
        <v>8</v>
      </c>
      <c r="M70" s="4">
        <f t="shared" si="7"/>
        <v>1</v>
      </c>
      <c r="N70" s="4">
        <f t="shared" si="8"/>
        <v>10.99524</v>
      </c>
      <c r="O70" s="4">
        <f t="shared" si="9"/>
        <v>0.9</v>
      </c>
      <c r="P70" s="4">
        <f t="shared" si="10"/>
        <v>16.67</v>
      </c>
    </row>
    <row r="71" ht="15.75" customHeight="1">
      <c r="A71" s="4">
        <v>2006.0</v>
      </c>
      <c r="B71" s="4">
        <v>221.0</v>
      </c>
      <c r="C71" s="4">
        <v>12.36</v>
      </c>
      <c r="D71" s="4">
        <v>16.62</v>
      </c>
      <c r="E71" s="4">
        <f t="shared" si="1"/>
        <v>1</v>
      </c>
      <c r="F71" s="4">
        <f t="shared" si="2"/>
        <v>1</v>
      </c>
      <c r="G71" s="4">
        <f t="shared" si="3"/>
        <v>24.0122</v>
      </c>
      <c r="H71" s="4">
        <f t="shared" si="4"/>
        <v>25.43665</v>
      </c>
      <c r="I71" s="4">
        <f t="shared" si="5"/>
        <v>1.42445</v>
      </c>
      <c r="J71" s="4">
        <v>2.6</v>
      </c>
      <c r="K71" s="4">
        <v>14.61</v>
      </c>
      <c r="L71" s="4">
        <f t="shared" si="6"/>
        <v>8</v>
      </c>
      <c r="M71" s="4">
        <f t="shared" si="7"/>
        <v>1</v>
      </c>
      <c r="N71" s="4">
        <f t="shared" si="8"/>
        <v>12.67844</v>
      </c>
      <c r="O71" s="4">
        <f t="shared" si="9"/>
        <v>2.6</v>
      </c>
      <c r="P71" s="4">
        <f t="shared" si="10"/>
        <v>14.61</v>
      </c>
    </row>
    <row r="72" ht="15.75" customHeight="1">
      <c r="A72" s="4">
        <v>2006.0</v>
      </c>
      <c r="B72" s="4">
        <v>222.0</v>
      </c>
      <c r="C72" s="4">
        <v>11.35</v>
      </c>
      <c r="D72" s="4">
        <v>15.06</v>
      </c>
      <c r="E72" s="4">
        <f t="shared" si="1"/>
        <v>1</v>
      </c>
      <c r="F72" s="4">
        <f t="shared" si="2"/>
        <v>0</v>
      </c>
      <c r="G72" s="4">
        <f t="shared" si="3"/>
        <v>26.9736</v>
      </c>
      <c r="H72" s="4">
        <f t="shared" si="4"/>
        <v>25.98145</v>
      </c>
      <c r="I72" s="4" t="str">
        <f t="shared" si="5"/>
        <v> </v>
      </c>
      <c r="J72" s="4">
        <v>1.6</v>
      </c>
      <c r="K72" s="4">
        <v>12.73</v>
      </c>
      <c r="L72" s="4">
        <f t="shared" si="6"/>
        <v>8</v>
      </c>
      <c r="M72" s="4">
        <f t="shared" si="7"/>
        <v>1</v>
      </c>
      <c r="N72" s="4">
        <f t="shared" si="8"/>
        <v>5.93412</v>
      </c>
      <c r="O72" s="4">
        <f t="shared" si="9"/>
        <v>1.6</v>
      </c>
      <c r="P72" s="4">
        <f t="shared" si="10"/>
        <v>12.73</v>
      </c>
    </row>
    <row r="73" ht="15.75" customHeight="1">
      <c r="A73" s="4">
        <v>2006.0</v>
      </c>
      <c r="B73" s="4">
        <v>223.0</v>
      </c>
      <c r="C73" s="4">
        <v>11.66</v>
      </c>
      <c r="D73" s="4">
        <v>17.75</v>
      </c>
      <c r="E73" s="4">
        <f t="shared" si="1"/>
        <v>1</v>
      </c>
      <c r="F73" s="4">
        <f t="shared" si="2"/>
        <v>0</v>
      </c>
      <c r="G73" s="4">
        <f t="shared" si="3"/>
        <v>29.2715</v>
      </c>
      <c r="H73" s="4">
        <f t="shared" si="4"/>
        <v>27.1763</v>
      </c>
      <c r="I73" s="4" t="str">
        <f t="shared" si="5"/>
        <v> </v>
      </c>
      <c r="J73" s="4">
        <v>1.3</v>
      </c>
      <c r="K73" s="4">
        <v>14.15</v>
      </c>
      <c r="L73" s="4">
        <f t="shared" si="6"/>
        <v>8</v>
      </c>
      <c r="M73" s="4">
        <f t="shared" si="7"/>
        <v>0</v>
      </c>
      <c r="N73" s="4">
        <f t="shared" si="8"/>
        <v>-1.64486</v>
      </c>
      <c r="O73" s="4">
        <f t="shared" si="9"/>
        <v>1.3</v>
      </c>
      <c r="P73" s="4">
        <f t="shared" si="10"/>
        <v>14.15</v>
      </c>
    </row>
    <row r="74" ht="15.75" customHeight="1">
      <c r="A74" s="4">
        <v>2006.0</v>
      </c>
      <c r="B74" s="4">
        <v>224.0</v>
      </c>
      <c r="C74" s="4">
        <v>8.93</v>
      </c>
      <c r="D74" s="4">
        <v>19.75</v>
      </c>
      <c r="E74" s="4">
        <f t="shared" si="1"/>
        <v>0</v>
      </c>
      <c r="F74" s="4">
        <f t="shared" si="2"/>
        <v>0</v>
      </c>
      <c r="G74" s="4">
        <f t="shared" si="3"/>
        <v>27.7184</v>
      </c>
      <c r="H74" s="4">
        <f t="shared" si="4"/>
        <v>24.46385</v>
      </c>
      <c r="I74" s="4" t="str">
        <f t="shared" si="5"/>
        <v> </v>
      </c>
      <c r="J74" s="4">
        <v>0.0</v>
      </c>
      <c r="K74" s="4">
        <v>14.41</v>
      </c>
      <c r="L74" s="4">
        <f t="shared" si="6"/>
        <v>3</v>
      </c>
      <c r="M74" s="4">
        <f t="shared" si="7"/>
        <v>0</v>
      </c>
      <c r="N74" s="4">
        <f t="shared" si="8"/>
        <v>-7.52246</v>
      </c>
      <c r="O74" s="4">
        <f t="shared" si="9"/>
        <v>0</v>
      </c>
      <c r="P74" s="4">
        <f t="shared" si="10"/>
        <v>14.41</v>
      </c>
    </row>
    <row r="75" ht="15.75" customHeight="1">
      <c r="A75" s="4">
        <v>2006.0</v>
      </c>
      <c r="B75" s="4">
        <v>225.0</v>
      </c>
      <c r="C75" s="4">
        <v>12.93</v>
      </c>
      <c r="D75" s="4">
        <v>22.54</v>
      </c>
      <c r="E75" s="4">
        <f t="shared" si="1"/>
        <v>0</v>
      </c>
      <c r="F75" s="4">
        <f t="shared" si="2"/>
        <v>0</v>
      </c>
      <c r="G75" s="4">
        <f t="shared" si="3"/>
        <v>33.0034</v>
      </c>
      <c r="H75" s="4">
        <f t="shared" si="4"/>
        <v>28.16475</v>
      </c>
      <c r="I75" s="4" t="str">
        <f t="shared" si="5"/>
        <v> </v>
      </c>
      <c r="J75" s="4">
        <v>0.0</v>
      </c>
      <c r="K75" s="4">
        <v>17.6</v>
      </c>
      <c r="L75" s="4">
        <f t="shared" si="6"/>
        <v>3</v>
      </c>
      <c r="M75" s="4">
        <f t="shared" si="7"/>
        <v>0</v>
      </c>
      <c r="N75" s="4">
        <f t="shared" si="8"/>
        <v>-5.43005</v>
      </c>
      <c r="O75" s="4">
        <f t="shared" si="9"/>
        <v>0</v>
      </c>
      <c r="P75" s="4">
        <f t="shared" si="10"/>
        <v>17.6</v>
      </c>
    </row>
    <row r="76" ht="15.75" customHeight="1">
      <c r="A76" s="4">
        <v>2006.0</v>
      </c>
      <c r="B76" s="4">
        <v>226.0</v>
      </c>
      <c r="C76" s="4">
        <v>12.66</v>
      </c>
      <c r="D76" s="4">
        <v>26.71</v>
      </c>
      <c r="E76" s="4">
        <f t="shared" si="1"/>
        <v>0</v>
      </c>
      <c r="F76" s="4">
        <f t="shared" si="2"/>
        <v>0</v>
      </c>
      <c r="G76" s="4">
        <f t="shared" si="3"/>
        <v>36.2229</v>
      </c>
      <c r="H76" s="4">
        <f t="shared" si="4"/>
        <v>31.47705</v>
      </c>
      <c r="I76" s="4" t="str">
        <f t="shared" si="5"/>
        <v> </v>
      </c>
      <c r="J76" s="4">
        <v>0.0</v>
      </c>
      <c r="K76" s="4">
        <v>19.85</v>
      </c>
      <c r="L76" s="4">
        <f t="shared" si="6"/>
        <v>3</v>
      </c>
      <c r="M76" s="4">
        <f t="shared" si="7"/>
        <v>0</v>
      </c>
      <c r="N76" s="4">
        <f t="shared" si="8"/>
        <v>-3.99349</v>
      </c>
      <c r="O76" s="4">
        <f t="shared" si="9"/>
        <v>0</v>
      </c>
      <c r="P76" s="4">
        <f t="shared" si="10"/>
        <v>19.85</v>
      </c>
    </row>
    <row r="77" ht="15.75" customHeight="1">
      <c r="A77" s="4">
        <v>2006.0</v>
      </c>
      <c r="B77" s="4">
        <v>227.0</v>
      </c>
      <c r="C77" s="4">
        <v>17.99</v>
      </c>
      <c r="D77" s="4">
        <v>26.02</v>
      </c>
      <c r="E77" s="4">
        <f t="shared" si="1"/>
        <v>0</v>
      </c>
      <c r="F77" s="4">
        <f t="shared" si="2"/>
        <v>0</v>
      </c>
      <c r="G77" s="4">
        <f t="shared" si="3"/>
        <v>40.0283</v>
      </c>
      <c r="H77" s="4">
        <f t="shared" si="4"/>
        <v>37.6562</v>
      </c>
      <c r="I77" s="4" t="str">
        <f t="shared" si="5"/>
        <v> </v>
      </c>
      <c r="J77" s="4">
        <v>0.0</v>
      </c>
      <c r="K77" s="4">
        <v>21.54</v>
      </c>
      <c r="L77" s="4">
        <f t="shared" si="6"/>
        <v>3</v>
      </c>
      <c r="M77" s="4">
        <f t="shared" si="7"/>
        <v>1</v>
      </c>
      <c r="N77" s="4">
        <f t="shared" si="8"/>
        <v>0.13238</v>
      </c>
      <c r="O77" s="4">
        <f t="shared" si="9"/>
        <v>0</v>
      </c>
      <c r="P77" s="4">
        <f t="shared" si="10"/>
        <v>21.54</v>
      </c>
    </row>
    <row r="78" ht="15.75" customHeight="1">
      <c r="A78" s="4">
        <v>2006.0</v>
      </c>
      <c r="B78" s="4">
        <v>228.0</v>
      </c>
      <c r="C78" s="4">
        <v>15.03</v>
      </c>
      <c r="D78" s="4">
        <v>22.5</v>
      </c>
      <c r="E78" s="4">
        <f t="shared" si="1"/>
        <v>1</v>
      </c>
      <c r="F78" s="4">
        <f t="shared" si="2"/>
        <v>0</v>
      </c>
      <c r="G78" s="4">
        <f t="shared" si="3"/>
        <v>37.0337</v>
      </c>
      <c r="H78" s="4">
        <f t="shared" si="4"/>
        <v>36.30875</v>
      </c>
      <c r="I78" s="4" t="str">
        <f t="shared" si="5"/>
        <v> </v>
      </c>
      <c r="J78" s="4">
        <v>31.6</v>
      </c>
      <c r="K78" s="4">
        <v>18.41</v>
      </c>
      <c r="L78" s="4">
        <f t="shared" si="6"/>
        <v>8</v>
      </c>
      <c r="M78" s="4">
        <f t="shared" si="7"/>
        <v>0</v>
      </c>
      <c r="N78" s="4">
        <f t="shared" si="8"/>
        <v>-5.49152</v>
      </c>
      <c r="O78" s="4">
        <f t="shared" si="9"/>
        <v>31.6</v>
      </c>
      <c r="P78" s="4">
        <f t="shared" si="10"/>
        <v>18.41</v>
      </c>
    </row>
    <row r="79" ht="15.75" customHeight="1">
      <c r="A79" s="4">
        <v>2006.0</v>
      </c>
      <c r="B79" s="4">
        <v>229.0</v>
      </c>
      <c r="C79" s="4">
        <v>12.29</v>
      </c>
      <c r="D79" s="4">
        <v>24.25</v>
      </c>
      <c r="E79" s="4">
        <f t="shared" si="1"/>
        <v>0</v>
      </c>
      <c r="F79" s="4">
        <f t="shared" si="2"/>
        <v>0</v>
      </c>
      <c r="G79" s="4">
        <f t="shared" si="3"/>
        <v>38.0218</v>
      </c>
      <c r="H79" s="4">
        <f t="shared" si="4"/>
        <v>34.5444</v>
      </c>
      <c r="I79" s="4" t="str">
        <f t="shared" si="5"/>
        <v> </v>
      </c>
      <c r="J79" s="4">
        <v>0.0</v>
      </c>
      <c r="K79" s="4">
        <v>18.12</v>
      </c>
      <c r="L79" s="4">
        <f t="shared" si="6"/>
        <v>3</v>
      </c>
      <c r="M79" s="4">
        <f t="shared" si="7"/>
        <v>0</v>
      </c>
      <c r="N79" s="4">
        <f t="shared" si="8"/>
        <v>-2.90215</v>
      </c>
      <c r="O79" s="4">
        <f t="shared" si="9"/>
        <v>0</v>
      </c>
      <c r="P79" s="4">
        <f t="shared" si="10"/>
        <v>18.12</v>
      </c>
    </row>
    <row r="80" ht="15.75" customHeight="1">
      <c r="A80" s="4">
        <v>2006.0</v>
      </c>
      <c r="B80" s="4">
        <v>230.0</v>
      </c>
      <c r="C80" s="4">
        <v>11.36</v>
      </c>
      <c r="D80" s="4">
        <v>26.02</v>
      </c>
      <c r="E80" s="4">
        <f t="shared" si="1"/>
        <v>0</v>
      </c>
      <c r="F80" s="4">
        <f t="shared" si="2"/>
        <v>0</v>
      </c>
      <c r="G80" s="4">
        <f t="shared" si="3"/>
        <v>35.9913</v>
      </c>
      <c r="H80" s="4">
        <f t="shared" si="4"/>
        <v>32.7318</v>
      </c>
      <c r="I80" s="4" t="str">
        <f t="shared" si="5"/>
        <v> </v>
      </c>
      <c r="J80" s="4">
        <v>0.0</v>
      </c>
      <c r="K80" s="4">
        <v>19.2</v>
      </c>
      <c r="L80" s="4">
        <f t="shared" si="6"/>
        <v>3</v>
      </c>
      <c r="M80" s="4">
        <f t="shared" si="7"/>
        <v>1</v>
      </c>
      <c r="N80" s="4">
        <f t="shared" si="8"/>
        <v>6.35688</v>
      </c>
      <c r="O80" s="4">
        <f t="shared" si="9"/>
        <v>0</v>
      </c>
      <c r="P80" s="4">
        <f t="shared" si="10"/>
        <v>19.2</v>
      </c>
    </row>
    <row r="81" ht="15.75" customHeight="1">
      <c r="A81" s="4">
        <v>2006.0</v>
      </c>
      <c r="B81" s="4">
        <v>231.0</v>
      </c>
      <c r="C81" s="4">
        <v>15.25</v>
      </c>
      <c r="D81" s="4">
        <v>28.47</v>
      </c>
      <c r="E81" s="4">
        <f t="shared" si="1"/>
        <v>1</v>
      </c>
      <c r="F81" s="4">
        <f t="shared" si="2"/>
        <v>1</v>
      </c>
      <c r="G81" s="4">
        <f t="shared" si="3"/>
        <v>36.5827</v>
      </c>
      <c r="H81" s="4">
        <f t="shared" si="4"/>
        <v>36.81015</v>
      </c>
      <c r="I81" s="4">
        <f t="shared" si="5"/>
        <v>0.22745</v>
      </c>
      <c r="J81" s="4">
        <v>14.1</v>
      </c>
      <c r="K81" s="4">
        <v>19.71</v>
      </c>
      <c r="L81" s="4">
        <f t="shared" si="6"/>
        <v>8</v>
      </c>
      <c r="M81" s="4">
        <f t="shared" si="7"/>
        <v>1</v>
      </c>
      <c r="N81" s="4">
        <f t="shared" si="8"/>
        <v>4.32268</v>
      </c>
      <c r="O81" s="4">
        <f t="shared" si="9"/>
        <v>14.1</v>
      </c>
      <c r="P81" s="4">
        <f t="shared" si="10"/>
        <v>19.71</v>
      </c>
    </row>
    <row r="82" ht="15.75" customHeight="1">
      <c r="A82" s="4">
        <v>2006.0</v>
      </c>
      <c r="B82" s="4">
        <v>232.0</v>
      </c>
      <c r="C82" s="4">
        <v>16.42</v>
      </c>
      <c r="D82" s="4">
        <v>21.92</v>
      </c>
      <c r="E82" s="4">
        <f t="shared" si="1"/>
        <v>1</v>
      </c>
      <c r="F82" s="4">
        <f t="shared" si="2"/>
        <v>0</v>
      </c>
      <c r="G82" s="4">
        <f t="shared" si="3"/>
        <v>33.7755</v>
      </c>
      <c r="H82" s="4">
        <f t="shared" si="4"/>
        <v>32.9834</v>
      </c>
      <c r="I82" s="4" t="str">
        <f t="shared" si="5"/>
        <v> </v>
      </c>
      <c r="J82" s="4">
        <v>1.7</v>
      </c>
      <c r="K82" s="4">
        <v>18.29</v>
      </c>
      <c r="L82" s="4">
        <f t="shared" si="6"/>
        <v>8</v>
      </c>
      <c r="M82" s="4">
        <f t="shared" si="7"/>
        <v>0</v>
      </c>
      <c r="N82" s="4">
        <f t="shared" si="8"/>
        <v>-5.06312</v>
      </c>
      <c r="O82" s="4">
        <f t="shared" si="9"/>
        <v>1.7</v>
      </c>
      <c r="P82" s="4">
        <f t="shared" si="10"/>
        <v>18.29</v>
      </c>
    </row>
    <row r="83" ht="15.75" customHeight="1">
      <c r="A83" s="4">
        <v>2006.0</v>
      </c>
      <c r="B83" s="4">
        <v>233.0</v>
      </c>
      <c r="C83" s="4">
        <v>14.56</v>
      </c>
      <c r="D83" s="4">
        <v>25.26</v>
      </c>
      <c r="E83" s="4">
        <f t="shared" si="1"/>
        <v>0</v>
      </c>
      <c r="F83" s="4">
        <f t="shared" si="2"/>
        <v>0</v>
      </c>
      <c r="G83" s="4">
        <f t="shared" si="3"/>
        <v>30.8038</v>
      </c>
      <c r="H83" s="4">
        <f t="shared" si="4"/>
        <v>29.01685</v>
      </c>
      <c r="I83" s="4" t="str">
        <f t="shared" si="5"/>
        <v> </v>
      </c>
      <c r="J83" s="4">
        <v>0.0</v>
      </c>
      <c r="K83" s="4">
        <v>19.19</v>
      </c>
      <c r="L83" s="4">
        <f t="shared" si="6"/>
        <v>3</v>
      </c>
      <c r="M83" s="4">
        <f t="shared" si="7"/>
        <v>0</v>
      </c>
      <c r="N83" s="4">
        <f t="shared" si="8"/>
        <v>-2.42287</v>
      </c>
      <c r="O83" s="4">
        <f t="shared" si="9"/>
        <v>0</v>
      </c>
      <c r="P83" s="4">
        <f t="shared" si="10"/>
        <v>19.19</v>
      </c>
    </row>
    <row r="84" ht="15.75" customHeight="1">
      <c r="A84" s="4">
        <v>2006.0</v>
      </c>
      <c r="B84" s="4">
        <v>234.0</v>
      </c>
      <c r="C84" s="4">
        <v>12.13</v>
      </c>
      <c r="D84" s="4">
        <v>22.7</v>
      </c>
      <c r="E84" s="4">
        <f t="shared" si="1"/>
        <v>0</v>
      </c>
      <c r="F84" s="4">
        <f t="shared" si="2"/>
        <v>1</v>
      </c>
      <c r="G84" s="4">
        <f t="shared" si="3"/>
        <v>30.9654</v>
      </c>
      <c r="H84" s="4">
        <f t="shared" si="4"/>
        <v>32.07525</v>
      </c>
      <c r="I84" s="4">
        <f t="shared" si="5"/>
        <v>1.10985</v>
      </c>
      <c r="J84" s="4">
        <v>0.0</v>
      </c>
      <c r="K84" s="4">
        <v>17.58</v>
      </c>
      <c r="L84" s="4">
        <f t="shared" si="6"/>
        <v>3</v>
      </c>
      <c r="M84" s="4">
        <f t="shared" si="7"/>
        <v>1</v>
      </c>
      <c r="N84" s="4">
        <f t="shared" si="8"/>
        <v>7.0243</v>
      </c>
      <c r="O84" s="4">
        <f t="shared" si="9"/>
        <v>0</v>
      </c>
      <c r="P84" s="4">
        <f t="shared" si="10"/>
        <v>17.58</v>
      </c>
    </row>
    <row r="85" ht="15.75" customHeight="1">
      <c r="A85" s="4">
        <v>2006.0</v>
      </c>
      <c r="B85" s="4">
        <v>235.0</v>
      </c>
      <c r="C85" s="4">
        <v>13.96</v>
      </c>
      <c r="D85" s="4">
        <v>20.1</v>
      </c>
      <c r="E85" s="4">
        <f t="shared" si="1"/>
        <v>1</v>
      </c>
      <c r="F85" s="4">
        <f t="shared" si="2"/>
        <v>1</v>
      </c>
      <c r="G85" s="4">
        <f t="shared" si="3"/>
        <v>34.9806</v>
      </c>
      <c r="H85" s="4">
        <f t="shared" si="4"/>
        <v>36.59865</v>
      </c>
      <c r="I85" s="4">
        <f t="shared" si="5"/>
        <v>1.61805</v>
      </c>
      <c r="J85" s="4">
        <v>13.7</v>
      </c>
      <c r="K85" s="4">
        <v>16.13</v>
      </c>
      <c r="L85" s="4">
        <f t="shared" si="6"/>
        <v>8</v>
      </c>
      <c r="M85" s="4">
        <f t="shared" si="7"/>
        <v>1</v>
      </c>
      <c r="N85" s="4">
        <f t="shared" si="8"/>
        <v>10.21706</v>
      </c>
      <c r="O85" s="4">
        <f t="shared" si="9"/>
        <v>13.7</v>
      </c>
      <c r="P85" s="4">
        <f t="shared" si="10"/>
        <v>16.13</v>
      </c>
    </row>
    <row r="86" ht="15.75" customHeight="1">
      <c r="A86" s="4">
        <v>2006.0</v>
      </c>
      <c r="B86" s="4">
        <v>236.0</v>
      </c>
      <c r="C86" s="4">
        <v>13.53</v>
      </c>
      <c r="D86" s="4">
        <v>22.4</v>
      </c>
      <c r="E86" s="4">
        <f t="shared" si="1"/>
        <v>1</v>
      </c>
      <c r="F86" s="4">
        <f t="shared" si="2"/>
        <v>1</v>
      </c>
      <c r="G86" s="4">
        <f t="shared" si="3"/>
        <v>35.4779</v>
      </c>
      <c r="H86" s="4">
        <f t="shared" si="4"/>
        <v>38.14815</v>
      </c>
      <c r="I86" s="4">
        <f t="shared" si="5"/>
        <v>2.67025</v>
      </c>
      <c r="J86" s="4">
        <v>2.0</v>
      </c>
      <c r="K86" s="4">
        <v>16.45</v>
      </c>
      <c r="L86" s="4">
        <f t="shared" si="6"/>
        <v>8</v>
      </c>
      <c r="M86" s="4">
        <f t="shared" si="7"/>
        <v>1</v>
      </c>
      <c r="N86" s="4">
        <f t="shared" si="8"/>
        <v>11.86767</v>
      </c>
      <c r="O86" s="4">
        <f t="shared" si="9"/>
        <v>2</v>
      </c>
      <c r="P86" s="4">
        <f t="shared" si="10"/>
        <v>16.45</v>
      </c>
    </row>
    <row r="87" ht="15.75" customHeight="1">
      <c r="A87" s="4">
        <v>2006.0</v>
      </c>
      <c r="B87" s="4">
        <v>237.0</v>
      </c>
      <c r="C87" s="4">
        <v>12.03</v>
      </c>
      <c r="D87" s="4">
        <v>19.21</v>
      </c>
      <c r="E87" s="4">
        <f t="shared" si="1"/>
        <v>1</v>
      </c>
      <c r="F87" s="4">
        <f t="shared" si="2"/>
        <v>1</v>
      </c>
      <c r="G87" s="4">
        <f t="shared" si="3"/>
        <v>35.1893</v>
      </c>
      <c r="H87" s="4">
        <f t="shared" si="4"/>
        <v>35.79705</v>
      </c>
      <c r="I87" s="4">
        <f t="shared" si="5"/>
        <v>0.60775</v>
      </c>
      <c r="J87" s="4">
        <v>3.8</v>
      </c>
      <c r="K87" s="4">
        <v>15.34</v>
      </c>
      <c r="L87" s="4">
        <f t="shared" si="6"/>
        <v>8</v>
      </c>
      <c r="M87" s="4">
        <f t="shared" si="7"/>
        <v>1</v>
      </c>
      <c r="N87" s="4">
        <f t="shared" si="8"/>
        <v>9.16527</v>
      </c>
      <c r="O87" s="4">
        <f t="shared" si="9"/>
        <v>3.8</v>
      </c>
      <c r="P87" s="4">
        <f t="shared" si="10"/>
        <v>15.34</v>
      </c>
    </row>
    <row r="88" ht="15.75" customHeight="1">
      <c r="A88" s="4">
        <v>2006.0</v>
      </c>
      <c r="B88" s="4">
        <v>238.0</v>
      </c>
      <c r="C88" s="4">
        <v>14.57</v>
      </c>
      <c r="D88" s="4">
        <v>21.83</v>
      </c>
      <c r="E88" s="4">
        <f t="shared" si="1"/>
        <v>1</v>
      </c>
      <c r="J88" s="4">
        <v>0.7</v>
      </c>
      <c r="K88" s="4">
        <v>17.21</v>
      </c>
      <c r="L88" s="4">
        <f t="shared" si="6"/>
        <v>8</v>
      </c>
      <c r="O88" s="4">
        <f t="shared" si="9"/>
        <v>0.7</v>
      </c>
      <c r="P88" s="4">
        <f t="shared" si="10"/>
        <v>17.21</v>
      </c>
    </row>
    <row r="89" ht="15.75" customHeight="1">
      <c r="A89" s="4">
        <v>2006.0</v>
      </c>
      <c r="B89" s="4">
        <v>239.0</v>
      </c>
      <c r="C89" s="4">
        <v>11.13</v>
      </c>
      <c r="D89" s="4">
        <v>24.27</v>
      </c>
      <c r="E89" s="4">
        <f t="shared" si="1"/>
        <v>1</v>
      </c>
      <c r="J89" s="4">
        <v>0.2</v>
      </c>
      <c r="K89" s="4">
        <v>17.52</v>
      </c>
      <c r="L89" s="4">
        <f t="shared" si="6"/>
        <v>8</v>
      </c>
      <c r="O89" s="4">
        <f t="shared" si="9"/>
        <v>0.2</v>
      </c>
      <c r="P89" s="4">
        <f t="shared" si="10"/>
        <v>17.52</v>
      </c>
    </row>
    <row r="90" ht="15.75" customHeight="1">
      <c r="A90" s="4">
        <v>2006.0</v>
      </c>
      <c r="B90" s="4">
        <v>240.0</v>
      </c>
      <c r="C90" s="4">
        <v>13.13</v>
      </c>
      <c r="D90" s="4">
        <v>22.87</v>
      </c>
      <c r="E90" s="4">
        <f t="shared" si="1"/>
        <v>1</v>
      </c>
      <c r="J90" s="4">
        <v>0.1</v>
      </c>
      <c r="K90" s="4">
        <v>17.55</v>
      </c>
      <c r="L90" s="4">
        <f t="shared" si="6"/>
        <v>8</v>
      </c>
      <c r="O90" s="4">
        <f t="shared" si="9"/>
        <v>0.1</v>
      </c>
      <c r="P90" s="4">
        <f t="shared" si="10"/>
        <v>17.55</v>
      </c>
    </row>
    <row r="91" ht="15.75" customHeight="1">
      <c r="A91" s="4">
        <v>2006.0</v>
      </c>
      <c r="B91" s="4">
        <v>241.0</v>
      </c>
      <c r="C91" s="4">
        <v>10.1</v>
      </c>
      <c r="D91" s="4">
        <v>24.12</v>
      </c>
      <c r="E91" s="4">
        <f t="shared" si="1"/>
        <v>0</v>
      </c>
      <c r="J91" s="4">
        <v>0.0</v>
      </c>
      <c r="K91" s="4">
        <v>17.03</v>
      </c>
      <c r="L91" s="4">
        <f t="shared" si="6"/>
        <v>3</v>
      </c>
      <c r="O91" s="4">
        <f t="shared" si="9"/>
        <v>0</v>
      </c>
      <c r="P91" s="4">
        <f t="shared" si="10"/>
        <v>17.03</v>
      </c>
    </row>
    <row r="92" ht="15.75" customHeight="1">
      <c r="A92" s="4">
        <v>2006.0</v>
      </c>
      <c r="B92" s="4">
        <v>242.0</v>
      </c>
      <c r="C92" s="4">
        <v>12.19</v>
      </c>
      <c r="D92" s="4">
        <v>20.62</v>
      </c>
      <c r="E92" s="4">
        <f t="shared" si="1"/>
        <v>1</v>
      </c>
      <c r="J92" s="4">
        <v>12.2</v>
      </c>
      <c r="K92" s="4">
        <v>16.49</v>
      </c>
      <c r="L92" s="4">
        <f t="shared" si="6"/>
        <v>8</v>
      </c>
      <c r="O92" s="4">
        <f t="shared" si="9"/>
        <v>12.2</v>
      </c>
      <c r="P92" s="4">
        <f t="shared" si="10"/>
        <v>16.49</v>
      </c>
    </row>
    <row r="93" ht="15.75" customHeight="1">
      <c r="A93" s="4">
        <v>2006.0</v>
      </c>
      <c r="B93" s="4">
        <v>243.0</v>
      </c>
      <c r="C93" s="4">
        <v>10.67</v>
      </c>
      <c r="D93" s="4">
        <v>15.85</v>
      </c>
      <c r="E93" s="4">
        <f t="shared" si="1"/>
        <v>1</v>
      </c>
      <c r="J93" s="4">
        <v>3.4</v>
      </c>
      <c r="K93" s="4">
        <v>13.22</v>
      </c>
      <c r="L93" s="4">
        <f t="shared" si="6"/>
        <v>8</v>
      </c>
      <c r="O93" s="4">
        <f t="shared" si="9"/>
        <v>3.4</v>
      </c>
      <c r="P93" s="4">
        <f t="shared" si="10"/>
        <v>13.22</v>
      </c>
    </row>
    <row r="94" ht="15.75" customHeight="1"/>
    <row r="95" ht="15.75" customHeight="1"/>
    <row r="96" ht="15.75" customHeight="1">
      <c r="O96" s="4">
        <f>SUM(O2:O93)</f>
        <v>186</v>
      </c>
      <c r="P96" s="4">
        <f>SUMIF(P2:P93,"&gt;0")/10</f>
        <v>157.355</v>
      </c>
    </row>
    <row r="97" ht="15.75" customHeight="1"/>
    <row r="98" ht="15.75" customHeight="1">
      <c r="I98" s="4">
        <f>SUM(I2:I87)</f>
        <v>39.502925</v>
      </c>
      <c r="O98" s="4" t="s">
        <v>15</v>
      </c>
      <c r="P98" s="4">
        <f>O96/P96</f>
        <v>1.182040609</v>
      </c>
    </row>
    <row r="99" ht="15.75" customHeight="1">
      <c r="I99" s="4">
        <f>SUM(I2:I31)</f>
        <v>6.239315</v>
      </c>
      <c r="O99" s="4" t="s">
        <v>16</v>
      </c>
      <c r="P99" s="4">
        <f>SUM(O2:O31)/(SUM(P2:P31)/10)</f>
        <v>0.8401094455</v>
      </c>
    </row>
    <row r="100" ht="15.75" customHeight="1">
      <c r="I100" s="4">
        <f>SUM(I32:I62)</f>
        <v>8.71571</v>
      </c>
      <c r="O100" s="4" t="s">
        <v>17</v>
      </c>
      <c r="P100" s="4">
        <f>SUM(O33:O62)/(SUM(P33:P62)/10)</f>
        <v>0.5821078431</v>
      </c>
    </row>
    <row r="101" ht="15.75" customHeight="1">
      <c r="I101" s="4">
        <f>SUM(I63:I93)</f>
        <v>24.5479</v>
      </c>
      <c r="O101" s="4" t="s">
        <v>18</v>
      </c>
      <c r="P101" s="4">
        <f>SUM(O63:O93)/(SUM(P63:P93)/10)</f>
        <v>2.145799406</v>
      </c>
    </row>
    <row r="102" ht="15.75" customHeight="1">
      <c r="I102" s="4">
        <f>SUMIF(I2:I87,"&gt;0")</f>
        <v>39.502925</v>
      </c>
    </row>
    <row r="103" ht="15.75" customHeight="1">
      <c r="I103" s="4">
        <f>SUMIF(I2:I31,"&gt;0")</f>
        <v>6.239315</v>
      </c>
    </row>
    <row r="104" ht="15.75" customHeight="1">
      <c r="I104" s="4">
        <f>SUMIF(I32:I62,"&gt;0")</f>
        <v>8.71571</v>
      </c>
      <c r="P104" s="4">
        <f>SUM(O16:O35)/(SUM(P16:P35)/10)</f>
        <v>0.7047253412</v>
      </c>
    </row>
    <row r="105" ht="15.75" customHeight="1">
      <c r="I105" s="4">
        <f>SUMIF(I63:I87,"&gt;0")</f>
        <v>24.5479</v>
      </c>
      <c r="P105" s="4">
        <f>SUM(O36:O55)/(SUM(P36:P55)/10)</f>
        <v>0.4152580722</v>
      </c>
    </row>
    <row r="106" ht="15.75" customHeight="1">
      <c r="P106" s="4">
        <f>SUM(O56:O77)/(SUM(P56:P77)/10)</f>
        <v>1.240716219</v>
      </c>
    </row>
    <row r="107" ht="15.75" customHeight="1">
      <c r="P107" s="4">
        <f>SUM(O16:O77)/(SUM(P16:P77)/10)</f>
        <v>0.774919789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2007.0</v>
      </c>
      <c r="B2" s="4">
        <v>152.0</v>
      </c>
      <c r="C2" s="4">
        <v>12.83</v>
      </c>
      <c r="D2" s="4">
        <v>22.32</v>
      </c>
      <c r="E2" s="4">
        <f t="shared" ref="E2:E93" si="1">IF(J2&gt;0,1,0)</f>
        <v>1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27.95328</v>
      </c>
      <c r="H2" s="4">
        <f t="shared" ref="H2:H87" si="4">0.63 * D2 + 0.37 * D3 + 0.49 * D4 + 0.22 * D5 + 0.65 * D6 + 0.24 *C2 - 0.06 * C3- 0.15 * C4 - 0.135 * C5 + 0.15 * C6 + 4.88 * E2 + 3.55 * E3 + 3.34 *E4 + 2.5 * E5 + 2.29 *E6-31.34</f>
        <v>26.62171</v>
      </c>
      <c r="I2" s="4" t="str">
        <f t="shared" ref="I2:I87" si="5">IF((H2-G2)&gt;0,H2-G2," ")</f>
        <v> </v>
      </c>
      <c r="J2" s="4">
        <v>0.5</v>
      </c>
      <c r="K2" s="4">
        <v>18.04</v>
      </c>
      <c r="L2" s="4">
        <f t="shared" ref="L2:L93" si="6">IF(E2&gt;0,8,3)</f>
        <v>8</v>
      </c>
      <c r="M2" s="4">
        <f t="shared" ref="M2:M87" si="7">IF(N2&gt;=0,1,0)</f>
        <v>0</v>
      </c>
      <c r="N2" s="4">
        <f t="shared" ref="N2:N87" si="8">-0.216*D2-0.191*D3-0.119*D4+0.004*C2-0.171*C3+0.628*C4-0.479*L2+0.513*L3+0.046*L4+5.947*E2+6.699*E3+4.328*E4-1.788</f>
        <v>-7.716052</v>
      </c>
      <c r="O2" s="4">
        <f t="shared" ref="O2:O93" si="9">IF(K2&gt;10,J2,0)</f>
        <v>0.5</v>
      </c>
      <c r="P2" s="4">
        <f t="shared" ref="P2:P93" si="10">IF(K2&gt;10,K2,0)</f>
        <v>18.04</v>
      </c>
    </row>
    <row r="3">
      <c r="A3" s="4">
        <v>2007.0</v>
      </c>
      <c r="B3" s="4">
        <v>153.0</v>
      </c>
      <c r="C3" s="4">
        <v>9.6</v>
      </c>
      <c r="D3" s="4">
        <v>18.12</v>
      </c>
      <c r="E3" s="4">
        <f t="shared" si="1"/>
        <v>0</v>
      </c>
      <c r="F3" s="4">
        <f t="shared" si="2"/>
        <v>0</v>
      </c>
      <c r="G3" s="4">
        <f t="shared" si="3"/>
        <v>24.21354</v>
      </c>
      <c r="H3" s="4">
        <f t="shared" si="4"/>
        <v>19.55209</v>
      </c>
      <c r="I3" s="4" t="str">
        <f t="shared" si="5"/>
        <v> </v>
      </c>
      <c r="J3" s="4">
        <v>0.0</v>
      </c>
      <c r="K3" s="4">
        <v>13.7</v>
      </c>
      <c r="L3" s="4">
        <f t="shared" si="6"/>
        <v>3</v>
      </c>
      <c r="M3" s="4">
        <f t="shared" si="7"/>
        <v>0</v>
      </c>
      <c r="N3" s="4">
        <f t="shared" si="8"/>
        <v>-10.977204</v>
      </c>
      <c r="O3" s="4">
        <f t="shared" si="9"/>
        <v>0</v>
      </c>
      <c r="P3" s="4">
        <f t="shared" si="10"/>
        <v>13.7</v>
      </c>
    </row>
    <row r="4">
      <c r="A4" s="4">
        <v>2007.0</v>
      </c>
      <c r="B4" s="4">
        <v>154.0</v>
      </c>
      <c r="C4" s="4">
        <v>4.506</v>
      </c>
      <c r="D4" s="4">
        <v>22.5</v>
      </c>
      <c r="E4" s="4">
        <f t="shared" si="1"/>
        <v>0</v>
      </c>
      <c r="F4" s="4">
        <f t="shared" si="2"/>
        <v>0</v>
      </c>
      <c r="G4" s="4">
        <f t="shared" si="3"/>
        <v>24.94912</v>
      </c>
      <c r="H4" s="4">
        <f t="shared" si="4"/>
        <v>22.565</v>
      </c>
      <c r="I4" s="4" t="str">
        <f t="shared" si="5"/>
        <v> </v>
      </c>
      <c r="J4" s="4">
        <v>0.0</v>
      </c>
      <c r="K4" s="4">
        <v>13.97</v>
      </c>
      <c r="L4" s="4">
        <f t="shared" si="6"/>
        <v>3</v>
      </c>
      <c r="M4" s="4">
        <f t="shared" si="7"/>
        <v>0</v>
      </c>
      <c r="N4" s="4">
        <f t="shared" si="8"/>
        <v>-7.24225</v>
      </c>
      <c r="O4" s="4">
        <f t="shared" si="9"/>
        <v>0</v>
      </c>
      <c r="P4" s="4">
        <f t="shared" si="10"/>
        <v>13.97</v>
      </c>
    </row>
    <row r="5">
      <c r="A5" s="4">
        <v>2007.0</v>
      </c>
      <c r="B5" s="4">
        <v>155.0</v>
      </c>
      <c r="C5" s="4">
        <v>3.674</v>
      </c>
      <c r="D5" s="4">
        <v>23.47</v>
      </c>
      <c r="E5" s="4">
        <f t="shared" si="1"/>
        <v>0</v>
      </c>
      <c r="F5" s="4">
        <f t="shared" si="2"/>
        <v>0</v>
      </c>
      <c r="G5" s="4">
        <f t="shared" si="3"/>
        <v>26.8361</v>
      </c>
      <c r="H5" s="4">
        <f t="shared" si="4"/>
        <v>24.65986</v>
      </c>
      <c r="I5" s="4" t="str">
        <f t="shared" si="5"/>
        <v> </v>
      </c>
      <c r="J5" s="4">
        <v>0.0</v>
      </c>
      <c r="K5" s="4">
        <v>15.96</v>
      </c>
      <c r="L5" s="4">
        <f t="shared" si="6"/>
        <v>3</v>
      </c>
      <c r="M5" s="4">
        <f t="shared" si="7"/>
        <v>0</v>
      </c>
      <c r="N5" s="4">
        <f t="shared" si="8"/>
        <v>-10.652914</v>
      </c>
      <c r="O5" s="4">
        <f t="shared" si="9"/>
        <v>0</v>
      </c>
      <c r="P5" s="4">
        <f t="shared" si="10"/>
        <v>15.96</v>
      </c>
    </row>
    <row r="6">
      <c r="A6" s="4">
        <v>2007.0</v>
      </c>
      <c r="B6" s="4">
        <v>156.0</v>
      </c>
      <c r="C6" s="4">
        <v>10.63</v>
      </c>
      <c r="D6" s="4">
        <v>20.31</v>
      </c>
      <c r="E6" s="4">
        <f t="shared" si="1"/>
        <v>0</v>
      </c>
      <c r="F6" s="4">
        <f t="shared" si="2"/>
        <v>0</v>
      </c>
      <c r="G6" s="4">
        <f t="shared" si="3"/>
        <v>28.5167</v>
      </c>
      <c r="H6" s="4">
        <f t="shared" si="4"/>
        <v>26.58565</v>
      </c>
      <c r="I6" s="4" t="str">
        <f t="shared" si="5"/>
        <v> </v>
      </c>
      <c r="J6" s="4">
        <v>0.0</v>
      </c>
      <c r="K6" s="4">
        <v>16.38</v>
      </c>
      <c r="L6" s="4">
        <f t="shared" si="6"/>
        <v>3</v>
      </c>
      <c r="M6" s="4">
        <f t="shared" si="7"/>
        <v>0</v>
      </c>
      <c r="N6" s="4">
        <f t="shared" si="8"/>
        <v>-3.64585</v>
      </c>
      <c r="O6" s="4">
        <f t="shared" si="9"/>
        <v>0</v>
      </c>
      <c r="P6" s="4">
        <f t="shared" si="10"/>
        <v>16.38</v>
      </c>
    </row>
    <row r="7">
      <c r="A7" s="4">
        <v>2007.0</v>
      </c>
      <c r="B7" s="4">
        <v>157.0</v>
      </c>
      <c r="C7" s="4">
        <v>6.74</v>
      </c>
      <c r="D7" s="4">
        <v>21.73</v>
      </c>
      <c r="E7" s="4">
        <f t="shared" si="1"/>
        <v>0</v>
      </c>
      <c r="F7" s="4">
        <f t="shared" si="2"/>
        <v>1</v>
      </c>
      <c r="G7" s="4">
        <f t="shared" si="3"/>
        <v>27.7283</v>
      </c>
      <c r="H7" s="4">
        <f t="shared" si="4"/>
        <v>27.92955</v>
      </c>
      <c r="I7" s="4">
        <f t="shared" si="5"/>
        <v>0.20125</v>
      </c>
      <c r="J7" s="4">
        <v>0.0</v>
      </c>
      <c r="K7" s="4">
        <v>14.86</v>
      </c>
      <c r="L7" s="4">
        <f t="shared" si="6"/>
        <v>3</v>
      </c>
      <c r="M7" s="4">
        <f t="shared" si="7"/>
        <v>1</v>
      </c>
      <c r="N7" s="4">
        <f t="shared" si="8"/>
        <v>3.6861</v>
      </c>
      <c r="O7" s="4">
        <f t="shared" si="9"/>
        <v>0</v>
      </c>
      <c r="P7" s="4">
        <f t="shared" si="10"/>
        <v>14.86</v>
      </c>
    </row>
    <row r="8">
      <c r="A8" s="4">
        <v>2007.0</v>
      </c>
      <c r="B8" s="4">
        <v>158.0</v>
      </c>
      <c r="C8" s="4">
        <v>8.94</v>
      </c>
      <c r="D8" s="4">
        <v>22.04</v>
      </c>
      <c r="E8" s="4">
        <f t="shared" si="1"/>
        <v>1</v>
      </c>
      <c r="F8" s="4">
        <f t="shared" si="2"/>
        <v>1</v>
      </c>
      <c r="G8" s="4">
        <f t="shared" si="3"/>
        <v>28.928</v>
      </c>
      <c r="H8" s="4">
        <f t="shared" si="4"/>
        <v>29.0477</v>
      </c>
      <c r="I8" s="4">
        <f t="shared" si="5"/>
        <v>0.1197</v>
      </c>
      <c r="J8" s="4">
        <v>0.1</v>
      </c>
      <c r="K8" s="4">
        <v>15.41</v>
      </c>
      <c r="L8" s="4">
        <f t="shared" si="6"/>
        <v>8</v>
      </c>
      <c r="M8" s="4">
        <f t="shared" si="7"/>
        <v>1</v>
      </c>
      <c r="N8" s="4">
        <f t="shared" si="8"/>
        <v>4.57927</v>
      </c>
      <c r="O8" s="4">
        <f t="shared" si="9"/>
        <v>0.1</v>
      </c>
      <c r="P8" s="4">
        <f t="shared" si="10"/>
        <v>15.41</v>
      </c>
    </row>
    <row r="9">
      <c r="A9" s="4">
        <v>2007.0</v>
      </c>
      <c r="B9" s="4">
        <v>159.0</v>
      </c>
      <c r="C9" s="4">
        <v>7.07</v>
      </c>
      <c r="D9" s="4">
        <v>22.04</v>
      </c>
      <c r="E9" s="4">
        <f t="shared" si="1"/>
        <v>1</v>
      </c>
      <c r="F9" s="4">
        <f t="shared" si="2"/>
        <v>0</v>
      </c>
      <c r="G9" s="4">
        <f t="shared" si="3"/>
        <v>27.70611</v>
      </c>
      <c r="H9" s="4">
        <f t="shared" si="4"/>
        <v>26.2861</v>
      </c>
      <c r="I9" s="4" t="str">
        <f t="shared" si="5"/>
        <v> </v>
      </c>
      <c r="J9" s="4">
        <v>0.3</v>
      </c>
      <c r="K9" s="4">
        <v>15.32</v>
      </c>
      <c r="L9" s="4">
        <f t="shared" si="6"/>
        <v>8</v>
      </c>
      <c r="M9" s="4">
        <f t="shared" si="7"/>
        <v>0</v>
      </c>
      <c r="N9" s="4">
        <f t="shared" si="8"/>
        <v>-1.43005</v>
      </c>
      <c r="O9" s="4">
        <f t="shared" si="9"/>
        <v>0.3</v>
      </c>
      <c r="P9" s="4">
        <f t="shared" si="10"/>
        <v>15.32</v>
      </c>
    </row>
    <row r="10">
      <c r="A10" s="4">
        <v>2007.0</v>
      </c>
      <c r="B10" s="4">
        <v>160.0</v>
      </c>
      <c r="C10" s="4">
        <v>9.67</v>
      </c>
      <c r="D10" s="4">
        <v>22.0</v>
      </c>
      <c r="E10" s="4">
        <f t="shared" si="1"/>
        <v>0</v>
      </c>
      <c r="F10" s="4">
        <f t="shared" si="2"/>
        <v>0</v>
      </c>
      <c r="G10" s="4">
        <f t="shared" si="3"/>
        <v>29.03586</v>
      </c>
      <c r="H10" s="4">
        <f t="shared" si="4"/>
        <v>26.554015</v>
      </c>
      <c r="I10" s="4" t="str">
        <f t="shared" si="5"/>
        <v> </v>
      </c>
      <c r="J10" s="4">
        <v>0.0</v>
      </c>
      <c r="K10" s="4">
        <v>16.27</v>
      </c>
      <c r="L10" s="4">
        <f t="shared" si="6"/>
        <v>3</v>
      </c>
      <c r="M10" s="4">
        <f t="shared" si="7"/>
        <v>1</v>
      </c>
      <c r="N10" s="4">
        <f t="shared" si="8"/>
        <v>0.28895</v>
      </c>
      <c r="O10" s="4">
        <f t="shared" si="9"/>
        <v>0</v>
      </c>
      <c r="P10" s="4">
        <f t="shared" si="10"/>
        <v>16.27</v>
      </c>
    </row>
    <row r="11">
      <c r="A11" s="4">
        <v>2007.0</v>
      </c>
      <c r="B11" s="4">
        <v>161.0</v>
      </c>
      <c r="C11" s="4">
        <v>7.84</v>
      </c>
      <c r="D11" s="4">
        <v>19.56</v>
      </c>
      <c r="E11" s="4">
        <f t="shared" si="1"/>
        <v>1</v>
      </c>
      <c r="F11" s="4">
        <f t="shared" si="2"/>
        <v>0</v>
      </c>
      <c r="G11" s="4">
        <f t="shared" si="3"/>
        <v>32.53914</v>
      </c>
      <c r="H11" s="4">
        <f t="shared" si="4"/>
        <v>29.70435</v>
      </c>
      <c r="I11" s="4" t="str">
        <f t="shared" si="5"/>
        <v> </v>
      </c>
      <c r="J11" s="4">
        <v>0.2</v>
      </c>
      <c r="K11" s="4">
        <v>14.11</v>
      </c>
      <c r="L11" s="4">
        <f t="shared" si="6"/>
        <v>8</v>
      </c>
      <c r="M11" s="4">
        <f t="shared" si="7"/>
        <v>0</v>
      </c>
      <c r="N11" s="4">
        <f t="shared" si="8"/>
        <v>-6.871862</v>
      </c>
      <c r="O11" s="4">
        <f t="shared" si="9"/>
        <v>0.2</v>
      </c>
      <c r="P11" s="4">
        <f t="shared" si="10"/>
        <v>14.11</v>
      </c>
    </row>
    <row r="12">
      <c r="A12" s="4">
        <v>2007.0</v>
      </c>
      <c r="B12" s="4">
        <v>162.0</v>
      </c>
      <c r="C12" s="4">
        <v>7.27</v>
      </c>
      <c r="D12" s="4">
        <v>18.51</v>
      </c>
      <c r="E12" s="4">
        <f t="shared" si="1"/>
        <v>0</v>
      </c>
      <c r="F12" s="4">
        <f t="shared" si="2"/>
        <v>0</v>
      </c>
      <c r="G12" s="4">
        <f t="shared" si="3"/>
        <v>31.46523</v>
      </c>
      <c r="H12" s="4">
        <f t="shared" si="4"/>
        <v>28.69904</v>
      </c>
      <c r="I12" s="4" t="str">
        <f t="shared" si="5"/>
        <v> </v>
      </c>
      <c r="J12" s="4">
        <v>0.0</v>
      </c>
      <c r="K12" s="4">
        <v>12.95</v>
      </c>
      <c r="L12" s="4">
        <f t="shared" si="6"/>
        <v>3</v>
      </c>
      <c r="M12" s="4">
        <f t="shared" si="7"/>
        <v>0</v>
      </c>
      <c r="N12" s="4">
        <f t="shared" si="8"/>
        <v>-6.705231</v>
      </c>
      <c r="O12" s="4">
        <f t="shared" si="9"/>
        <v>0</v>
      </c>
      <c r="P12" s="4">
        <f t="shared" si="10"/>
        <v>12.95</v>
      </c>
    </row>
    <row r="13">
      <c r="A13" s="4">
        <v>2007.0</v>
      </c>
      <c r="B13" s="4">
        <v>163.0</v>
      </c>
      <c r="C13" s="4">
        <v>4.271</v>
      </c>
      <c r="D13" s="4">
        <v>21.73</v>
      </c>
      <c r="E13" s="4">
        <f t="shared" si="1"/>
        <v>0</v>
      </c>
      <c r="F13" s="4">
        <f t="shared" si="2"/>
        <v>0</v>
      </c>
      <c r="G13" s="4">
        <f t="shared" si="3"/>
        <v>30.4816</v>
      </c>
      <c r="H13" s="4">
        <f t="shared" si="4"/>
        <v>26.52504</v>
      </c>
      <c r="I13" s="4" t="str">
        <f t="shared" si="5"/>
        <v> </v>
      </c>
      <c r="J13" s="4">
        <v>0.0</v>
      </c>
      <c r="K13" s="4">
        <v>13.97</v>
      </c>
      <c r="L13" s="4">
        <f t="shared" si="6"/>
        <v>3</v>
      </c>
      <c r="M13" s="4">
        <f t="shared" si="7"/>
        <v>0</v>
      </c>
      <c r="N13" s="4">
        <f t="shared" si="8"/>
        <v>-8.342676</v>
      </c>
      <c r="O13" s="4">
        <f t="shared" si="9"/>
        <v>0</v>
      </c>
      <c r="P13" s="4">
        <f t="shared" si="10"/>
        <v>13.97</v>
      </c>
    </row>
    <row r="14">
      <c r="A14" s="4">
        <v>2007.0</v>
      </c>
      <c r="B14" s="4">
        <v>164.0</v>
      </c>
      <c r="C14" s="4">
        <v>11.0</v>
      </c>
      <c r="D14" s="4">
        <v>27.02</v>
      </c>
      <c r="E14" s="4">
        <f t="shared" si="1"/>
        <v>0</v>
      </c>
      <c r="F14" s="4">
        <f t="shared" si="2"/>
        <v>0</v>
      </c>
      <c r="G14" s="4">
        <f t="shared" si="3"/>
        <v>40.6715</v>
      </c>
      <c r="H14" s="4">
        <f t="shared" si="4"/>
        <v>38.39965</v>
      </c>
      <c r="I14" s="4" t="str">
        <f t="shared" si="5"/>
        <v> </v>
      </c>
      <c r="J14" s="4">
        <v>0.0</v>
      </c>
      <c r="K14" s="4">
        <v>19.72</v>
      </c>
      <c r="L14" s="4">
        <f t="shared" si="6"/>
        <v>3</v>
      </c>
      <c r="M14" s="4">
        <f t="shared" si="7"/>
        <v>0</v>
      </c>
      <c r="N14" s="4">
        <f t="shared" si="8"/>
        <v>-4.40919</v>
      </c>
      <c r="O14" s="4">
        <f t="shared" si="9"/>
        <v>0</v>
      </c>
      <c r="P14" s="4">
        <f t="shared" si="10"/>
        <v>19.72</v>
      </c>
    </row>
    <row r="15">
      <c r="A15" s="4">
        <v>2007.0</v>
      </c>
      <c r="B15" s="4">
        <v>165.0</v>
      </c>
      <c r="C15" s="4">
        <v>13.4</v>
      </c>
      <c r="D15" s="4">
        <v>29.34</v>
      </c>
      <c r="E15" s="4">
        <f t="shared" si="1"/>
        <v>0</v>
      </c>
      <c r="F15" s="4">
        <f t="shared" si="2"/>
        <v>0</v>
      </c>
      <c r="G15" s="4">
        <f t="shared" si="3"/>
        <v>41.2402</v>
      </c>
      <c r="H15" s="4">
        <f t="shared" si="4"/>
        <v>38.7129</v>
      </c>
      <c r="I15" s="4" t="str">
        <f t="shared" si="5"/>
        <v> </v>
      </c>
      <c r="J15" s="4">
        <v>0.0</v>
      </c>
      <c r="K15" s="4">
        <v>22.53</v>
      </c>
      <c r="L15" s="4">
        <f t="shared" si="6"/>
        <v>3</v>
      </c>
      <c r="M15" s="4">
        <f t="shared" si="7"/>
        <v>0</v>
      </c>
      <c r="N15" s="4">
        <f t="shared" si="8"/>
        <v>-1.13297</v>
      </c>
      <c r="O15" s="4">
        <f t="shared" si="9"/>
        <v>0</v>
      </c>
      <c r="P15" s="4">
        <f t="shared" si="10"/>
        <v>22.53</v>
      </c>
    </row>
    <row r="16">
      <c r="A16" s="4">
        <v>2007.0</v>
      </c>
      <c r="B16" s="4">
        <v>166.0</v>
      </c>
      <c r="C16" s="4">
        <v>15.24</v>
      </c>
      <c r="D16" s="4">
        <v>27.75</v>
      </c>
      <c r="E16" s="4">
        <f t="shared" si="1"/>
        <v>1</v>
      </c>
      <c r="F16" s="4">
        <f t="shared" si="2"/>
        <v>0</v>
      </c>
      <c r="G16" s="4">
        <f t="shared" si="3"/>
        <v>41.9938</v>
      </c>
      <c r="H16" s="4">
        <f t="shared" si="4"/>
        <v>39.75325</v>
      </c>
      <c r="I16" s="4" t="str">
        <f t="shared" si="5"/>
        <v> </v>
      </c>
      <c r="J16" s="4">
        <v>2.6</v>
      </c>
      <c r="K16" s="4">
        <v>22.07</v>
      </c>
      <c r="L16" s="4">
        <f t="shared" si="6"/>
        <v>8</v>
      </c>
      <c r="M16" s="4">
        <f t="shared" si="7"/>
        <v>1</v>
      </c>
      <c r="N16" s="4">
        <f t="shared" si="8"/>
        <v>0.20909</v>
      </c>
      <c r="O16" s="4">
        <f t="shared" si="9"/>
        <v>2.6</v>
      </c>
      <c r="P16" s="4">
        <f t="shared" si="10"/>
        <v>22.07</v>
      </c>
    </row>
    <row r="17">
      <c r="A17" s="4">
        <v>2007.0</v>
      </c>
      <c r="B17" s="4">
        <v>167.0</v>
      </c>
      <c r="C17" s="4">
        <v>12.31</v>
      </c>
      <c r="D17" s="4">
        <v>20.08</v>
      </c>
      <c r="E17" s="4">
        <f t="shared" si="1"/>
        <v>0</v>
      </c>
      <c r="F17" s="4">
        <f t="shared" si="2"/>
        <v>0</v>
      </c>
      <c r="G17" s="4">
        <f t="shared" si="3"/>
        <v>31.5698</v>
      </c>
      <c r="H17" s="4">
        <f t="shared" si="4"/>
        <v>29.48545</v>
      </c>
      <c r="I17" s="4" t="str">
        <f t="shared" si="5"/>
        <v> </v>
      </c>
      <c r="J17" s="4">
        <v>0.0</v>
      </c>
      <c r="K17" s="4">
        <v>16.24</v>
      </c>
      <c r="L17" s="4">
        <f t="shared" si="6"/>
        <v>3</v>
      </c>
      <c r="M17" s="4">
        <f t="shared" si="7"/>
        <v>1</v>
      </c>
      <c r="N17" s="4">
        <f t="shared" si="8"/>
        <v>7.26861</v>
      </c>
      <c r="O17" s="4">
        <f t="shared" si="9"/>
        <v>0</v>
      </c>
      <c r="P17" s="4">
        <f t="shared" si="10"/>
        <v>16.24</v>
      </c>
    </row>
    <row r="18">
      <c r="A18" s="4">
        <v>2007.0</v>
      </c>
      <c r="B18" s="4">
        <v>168.0</v>
      </c>
      <c r="C18" s="4">
        <v>14.1</v>
      </c>
      <c r="D18" s="4">
        <v>28.02</v>
      </c>
      <c r="E18" s="4">
        <f t="shared" si="1"/>
        <v>1</v>
      </c>
      <c r="F18" s="4">
        <f t="shared" si="2"/>
        <v>0</v>
      </c>
      <c r="G18" s="4">
        <f t="shared" si="3"/>
        <v>36.6317</v>
      </c>
      <c r="H18" s="4">
        <f t="shared" si="4"/>
        <v>34.78165</v>
      </c>
      <c r="I18" s="4" t="str">
        <f t="shared" si="5"/>
        <v> </v>
      </c>
      <c r="J18" s="4">
        <v>7.8</v>
      </c>
      <c r="K18" s="4">
        <v>19.41</v>
      </c>
      <c r="L18" s="4">
        <f t="shared" si="6"/>
        <v>8</v>
      </c>
      <c r="M18" s="4">
        <f t="shared" si="7"/>
        <v>1</v>
      </c>
      <c r="N18" s="4">
        <f t="shared" si="8"/>
        <v>2.26476</v>
      </c>
      <c r="O18" s="4">
        <f t="shared" si="9"/>
        <v>7.8</v>
      </c>
      <c r="P18" s="4">
        <f t="shared" si="10"/>
        <v>19.41</v>
      </c>
    </row>
    <row r="19">
      <c r="A19" s="4">
        <v>2007.0</v>
      </c>
      <c r="B19" s="4">
        <v>169.0</v>
      </c>
      <c r="C19" s="4">
        <v>15.89</v>
      </c>
      <c r="D19" s="4">
        <v>24.65</v>
      </c>
      <c r="E19" s="4">
        <f t="shared" si="1"/>
        <v>1</v>
      </c>
      <c r="F19" s="4">
        <f t="shared" si="2"/>
        <v>0</v>
      </c>
      <c r="G19" s="4">
        <f t="shared" si="3"/>
        <v>31.5377</v>
      </c>
      <c r="H19" s="4">
        <f t="shared" si="4"/>
        <v>28.41705</v>
      </c>
      <c r="I19" s="4" t="str">
        <f t="shared" si="5"/>
        <v> </v>
      </c>
      <c r="J19" s="4">
        <v>0.1</v>
      </c>
      <c r="K19" s="4">
        <v>19.64</v>
      </c>
      <c r="L19" s="4">
        <f t="shared" si="6"/>
        <v>8</v>
      </c>
      <c r="M19" s="4">
        <f t="shared" si="7"/>
        <v>0</v>
      </c>
      <c r="N19" s="4">
        <f t="shared" si="8"/>
        <v>-6.72943</v>
      </c>
      <c r="O19" s="4">
        <f t="shared" si="9"/>
        <v>0.1</v>
      </c>
      <c r="P19" s="4">
        <f t="shared" si="10"/>
        <v>19.64</v>
      </c>
    </row>
    <row r="20">
      <c r="A20" s="4">
        <v>2007.0</v>
      </c>
      <c r="B20" s="4">
        <v>170.0</v>
      </c>
      <c r="C20" s="4">
        <v>11.67</v>
      </c>
      <c r="D20" s="4">
        <v>24.46</v>
      </c>
      <c r="E20" s="4">
        <f t="shared" si="1"/>
        <v>0</v>
      </c>
      <c r="F20" s="4">
        <f t="shared" si="2"/>
        <v>0</v>
      </c>
      <c r="G20" s="4">
        <f t="shared" si="3"/>
        <v>27.2138</v>
      </c>
      <c r="H20" s="4">
        <f t="shared" si="4"/>
        <v>22.23815</v>
      </c>
      <c r="I20" s="4" t="str">
        <f t="shared" si="5"/>
        <v> </v>
      </c>
      <c r="J20" s="4">
        <v>0.0</v>
      </c>
      <c r="K20" s="4">
        <v>18.06</v>
      </c>
      <c r="L20" s="4">
        <f t="shared" si="6"/>
        <v>3</v>
      </c>
      <c r="M20" s="4">
        <f t="shared" si="7"/>
        <v>0</v>
      </c>
      <c r="N20" s="4">
        <f t="shared" si="8"/>
        <v>-9.79357</v>
      </c>
      <c r="O20" s="4">
        <f t="shared" si="9"/>
        <v>0</v>
      </c>
      <c r="P20" s="4">
        <f t="shared" si="10"/>
        <v>18.06</v>
      </c>
    </row>
    <row r="21" ht="15.75" customHeight="1">
      <c r="A21" s="4">
        <v>2007.0</v>
      </c>
      <c r="B21" s="4">
        <v>171.0</v>
      </c>
      <c r="C21" s="4">
        <v>9.15</v>
      </c>
      <c r="D21" s="4">
        <v>21.44</v>
      </c>
      <c r="E21" s="4">
        <f t="shared" si="1"/>
        <v>0</v>
      </c>
      <c r="F21" s="4">
        <f t="shared" si="2"/>
        <v>0</v>
      </c>
      <c r="G21" s="4">
        <f t="shared" si="3"/>
        <v>24.79048</v>
      </c>
      <c r="H21" s="4">
        <f t="shared" si="4"/>
        <v>19.7391</v>
      </c>
      <c r="I21" s="4" t="str">
        <f t="shared" si="5"/>
        <v> </v>
      </c>
      <c r="J21" s="4">
        <v>0.0</v>
      </c>
      <c r="K21" s="4">
        <v>16.22</v>
      </c>
      <c r="L21" s="4">
        <f t="shared" si="6"/>
        <v>3</v>
      </c>
      <c r="M21" s="4">
        <f t="shared" si="7"/>
        <v>0</v>
      </c>
      <c r="N21" s="4">
        <f t="shared" si="8"/>
        <v>-8.60922</v>
      </c>
      <c r="O21" s="4">
        <f t="shared" si="9"/>
        <v>0</v>
      </c>
      <c r="P21" s="4">
        <f t="shared" si="10"/>
        <v>16.22</v>
      </c>
    </row>
    <row r="22" ht="15.75" customHeight="1">
      <c r="A22" s="4">
        <v>2007.0</v>
      </c>
      <c r="B22" s="4">
        <v>172.0</v>
      </c>
      <c r="C22" s="4">
        <v>8.17</v>
      </c>
      <c r="D22" s="4">
        <v>20.84</v>
      </c>
      <c r="E22" s="4">
        <f t="shared" si="1"/>
        <v>0</v>
      </c>
      <c r="F22" s="4">
        <f t="shared" si="2"/>
        <v>0</v>
      </c>
      <c r="G22" s="4">
        <f t="shared" si="3"/>
        <v>23.98738</v>
      </c>
      <c r="H22" s="4">
        <f t="shared" si="4"/>
        <v>20.04097</v>
      </c>
      <c r="I22" s="4" t="str">
        <f t="shared" si="5"/>
        <v> </v>
      </c>
      <c r="J22" s="4">
        <v>0.0</v>
      </c>
      <c r="K22" s="4">
        <v>15.35</v>
      </c>
      <c r="L22" s="4">
        <f t="shared" si="6"/>
        <v>3</v>
      </c>
      <c r="M22" s="4">
        <f t="shared" si="7"/>
        <v>0</v>
      </c>
      <c r="N22" s="4">
        <f t="shared" si="8"/>
        <v>-8.55321</v>
      </c>
      <c r="O22" s="4">
        <f t="shared" si="9"/>
        <v>0</v>
      </c>
      <c r="P22" s="4">
        <f t="shared" si="10"/>
        <v>15.35</v>
      </c>
    </row>
    <row r="23" ht="15.75" customHeight="1">
      <c r="A23" s="4">
        <v>2007.0</v>
      </c>
      <c r="B23" s="4">
        <v>173.0</v>
      </c>
      <c r="C23" s="4">
        <v>8.51</v>
      </c>
      <c r="D23" s="4">
        <v>20.45</v>
      </c>
      <c r="E23" s="4">
        <f t="shared" si="1"/>
        <v>0</v>
      </c>
      <c r="F23" s="4">
        <f t="shared" si="2"/>
        <v>0</v>
      </c>
      <c r="G23" s="4">
        <f t="shared" si="3"/>
        <v>27.60172</v>
      </c>
      <c r="H23" s="4">
        <f t="shared" si="4"/>
        <v>23.6274</v>
      </c>
      <c r="I23" s="4" t="str">
        <f t="shared" si="5"/>
        <v> </v>
      </c>
      <c r="J23" s="4">
        <v>0.0</v>
      </c>
      <c r="K23" s="4">
        <v>14.88</v>
      </c>
      <c r="L23" s="4">
        <f t="shared" si="6"/>
        <v>3</v>
      </c>
      <c r="M23" s="4">
        <f t="shared" si="7"/>
        <v>0</v>
      </c>
      <c r="N23" s="4">
        <f t="shared" si="8"/>
        <v>-10.657386</v>
      </c>
      <c r="O23" s="4">
        <f t="shared" si="9"/>
        <v>0</v>
      </c>
      <c r="P23" s="4">
        <f t="shared" si="10"/>
        <v>14.88</v>
      </c>
    </row>
    <row r="24" ht="15.75" customHeight="1">
      <c r="A24" s="4">
        <v>2007.0</v>
      </c>
      <c r="B24" s="4">
        <v>174.0</v>
      </c>
      <c r="C24" s="4">
        <v>8.68</v>
      </c>
      <c r="D24" s="4">
        <v>22.07</v>
      </c>
      <c r="E24" s="4">
        <f t="shared" si="1"/>
        <v>0</v>
      </c>
      <c r="F24" s="4">
        <f t="shared" si="2"/>
        <v>0</v>
      </c>
      <c r="G24" s="4">
        <f t="shared" si="3"/>
        <v>29.54734</v>
      </c>
      <c r="H24" s="4">
        <f t="shared" si="4"/>
        <v>26.64087</v>
      </c>
      <c r="I24" s="4" t="str">
        <f t="shared" si="5"/>
        <v> </v>
      </c>
      <c r="J24" s="4">
        <v>0.0</v>
      </c>
      <c r="K24" s="4">
        <v>15.75</v>
      </c>
      <c r="L24" s="4">
        <f t="shared" si="6"/>
        <v>3</v>
      </c>
      <c r="M24" s="4">
        <f t="shared" si="7"/>
        <v>0</v>
      </c>
      <c r="N24" s="4">
        <f t="shared" si="8"/>
        <v>-9.476388</v>
      </c>
      <c r="O24" s="4">
        <f t="shared" si="9"/>
        <v>0</v>
      </c>
      <c r="P24" s="4">
        <f t="shared" si="10"/>
        <v>15.75</v>
      </c>
    </row>
    <row r="25" ht="15.75" customHeight="1">
      <c r="A25" s="4">
        <v>2007.0</v>
      </c>
      <c r="B25" s="4">
        <v>175.0</v>
      </c>
      <c r="C25" s="4">
        <v>5.878</v>
      </c>
      <c r="D25" s="4">
        <v>22.84</v>
      </c>
      <c r="E25" s="4">
        <f t="shared" si="1"/>
        <v>0</v>
      </c>
      <c r="F25" s="4">
        <f t="shared" si="2"/>
        <v>0</v>
      </c>
      <c r="G25" s="4">
        <f t="shared" si="3"/>
        <v>30.9551</v>
      </c>
      <c r="H25" s="4">
        <f t="shared" si="4"/>
        <v>28.22142</v>
      </c>
      <c r="I25" s="4" t="str">
        <f t="shared" si="5"/>
        <v> </v>
      </c>
      <c r="J25" s="4">
        <v>0.0</v>
      </c>
      <c r="K25" s="4">
        <v>15.4</v>
      </c>
      <c r="L25" s="4">
        <f t="shared" si="6"/>
        <v>3</v>
      </c>
      <c r="M25" s="4">
        <f t="shared" si="7"/>
        <v>0</v>
      </c>
      <c r="N25" s="4">
        <f t="shared" si="8"/>
        <v>-7.608398</v>
      </c>
      <c r="O25" s="4">
        <f t="shared" si="9"/>
        <v>0</v>
      </c>
      <c r="P25" s="4">
        <f t="shared" si="10"/>
        <v>15.4</v>
      </c>
    </row>
    <row r="26" ht="15.75" customHeight="1">
      <c r="A26" s="4">
        <v>2007.0</v>
      </c>
      <c r="B26" s="4">
        <v>176.0</v>
      </c>
      <c r="C26" s="4">
        <v>7.64</v>
      </c>
      <c r="D26" s="4">
        <v>22.07</v>
      </c>
      <c r="E26" s="4">
        <f t="shared" si="1"/>
        <v>0</v>
      </c>
      <c r="F26" s="4">
        <f t="shared" si="2"/>
        <v>0</v>
      </c>
      <c r="G26" s="4">
        <f t="shared" si="3"/>
        <v>31.095</v>
      </c>
      <c r="H26" s="4">
        <f t="shared" si="4"/>
        <v>27.93945</v>
      </c>
      <c r="I26" s="4" t="str">
        <f t="shared" si="5"/>
        <v> </v>
      </c>
      <c r="J26" s="4">
        <v>0.0</v>
      </c>
      <c r="K26" s="4">
        <v>15.95</v>
      </c>
      <c r="L26" s="4">
        <f t="shared" si="6"/>
        <v>3</v>
      </c>
      <c r="M26" s="4">
        <f t="shared" si="7"/>
        <v>0</v>
      </c>
      <c r="N26" s="4">
        <f t="shared" si="8"/>
        <v>-1.94798</v>
      </c>
      <c r="O26" s="4">
        <f t="shared" si="9"/>
        <v>0</v>
      </c>
      <c r="P26" s="4">
        <f t="shared" si="10"/>
        <v>15.95</v>
      </c>
    </row>
    <row r="27" ht="15.75" customHeight="1">
      <c r="A27" s="4">
        <v>2007.0</v>
      </c>
      <c r="B27" s="4">
        <v>177.0</v>
      </c>
      <c r="C27" s="4">
        <v>11.77</v>
      </c>
      <c r="D27" s="4">
        <v>25.38</v>
      </c>
      <c r="E27" s="4">
        <f t="shared" si="1"/>
        <v>0</v>
      </c>
      <c r="F27" s="4">
        <f t="shared" si="2"/>
        <v>0</v>
      </c>
      <c r="G27" s="4">
        <f t="shared" si="3"/>
        <v>33.7838</v>
      </c>
      <c r="H27" s="4">
        <f t="shared" si="4"/>
        <v>32.4153</v>
      </c>
      <c r="I27" s="4" t="str">
        <f t="shared" si="5"/>
        <v> </v>
      </c>
      <c r="J27" s="4">
        <v>0.0</v>
      </c>
      <c r="K27" s="4">
        <v>18.59</v>
      </c>
      <c r="L27" s="4">
        <f t="shared" si="6"/>
        <v>3</v>
      </c>
      <c r="M27" s="4">
        <f t="shared" si="7"/>
        <v>1</v>
      </c>
      <c r="N27" s="4">
        <f t="shared" si="8"/>
        <v>4.5274</v>
      </c>
      <c r="O27" s="4">
        <f t="shared" si="9"/>
        <v>0</v>
      </c>
      <c r="P27" s="4">
        <f t="shared" si="10"/>
        <v>18.59</v>
      </c>
    </row>
    <row r="28" ht="15.75" customHeight="1">
      <c r="A28" s="4">
        <v>2007.0</v>
      </c>
      <c r="B28" s="4">
        <v>178.0</v>
      </c>
      <c r="C28" s="4">
        <v>15.14</v>
      </c>
      <c r="D28" s="4">
        <v>24.11</v>
      </c>
      <c r="E28" s="4">
        <f t="shared" si="1"/>
        <v>1</v>
      </c>
      <c r="F28" s="4">
        <f t="shared" si="2"/>
        <v>0</v>
      </c>
      <c r="G28" s="4">
        <f t="shared" si="3"/>
        <v>35.4721</v>
      </c>
      <c r="H28" s="4">
        <f t="shared" si="4"/>
        <v>35.1853</v>
      </c>
      <c r="I28" s="4" t="str">
        <f t="shared" si="5"/>
        <v> </v>
      </c>
      <c r="J28" s="4">
        <v>0.4</v>
      </c>
      <c r="K28" s="4">
        <v>18.7</v>
      </c>
      <c r="L28" s="4">
        <f t="shared" si="6"/>
        <v>8</v>
      </c>
      <c r="M28" s="4">
        <f t="shared" si="7"/>
        <v>1</v>
      </c>
      <c r="N28" s="4">
        <f t="shared" si="8"/>
        <v>2.0905</v>
      </c>
      <c r="O28" s="4">
        <f t="shared" si="9"/>
        <v>0.4</v>
      </c>
      <c r="P28" s="4">
        <f t="shared" si="10"/>
        <v>18.7</v>
      </c>
    </row>
    <row r="29" ht="15.75" customHeight="1">
      <c r="A29" s="4">
        <v>2007.0</v>
      </c>
      <c r="B29" s="4">
        <v>179.0</v>
      </c>
      <c r="C29" s="4">
        <v>12.29</v>
      </c>
      <c r="D29" s="4">
        <v>23.83</v>
      </c>
      <c r="E29" s="4">
        <f t="shared" si="1"/>
        <v>1</v>
      </c>
      <c r="F29" s="4">
        <f t="shared" si="2"/>
        <v>0</v>
      </c>
      <c r="G29" s="4">
        <f t="shared" si="3"/>
        <v>33.6735</v>
      </c>
      <c r="H29" s="4">
        <f t="shared" si="4"/>
        <v>32.4736</v>
      </c>
      <c r="I29" s="4" t="str">
        <f t="shared" si="5"/>
        <v> </v>
      </c>
      <c r="J29" s="4">
        <v>1.5</v>
      </c>
      <c r="K29" s="4">
        <v>17.66</v>
      </c>
      <c r="L29" s="4">
        <f t="shared" si="6"/>
        <v>8</v>
      </c>
      <c r="M29" s="4">
        <f t="shared" si="7"/>
        <v>0</v>
      </c>
      <c r="N29" s="4">
        <f t="shared" si="8"/>
        <v>-3.07944</v>
      </c>
      <c r="O29" s="4">
        <f t="shared" si="9"/>
        <v>1.5</v>
      </c>
      <c r="P29" s="4">
        <f t="shared" si="10"/>
        <v>17.66</v>
      </c>
    </row>
    <row r="30" ht="15.75" customHeight="1">
      <c r="A30" s="4">
        <v>2007.0</v>
      </c>
      <c r="B30" s="4">
        <v>180.0</v>
      </c>
      <c r="C30" s="4">
        <v>8.44</v>
      </c>
      <c r="D30" s="4">
        <v>22.5</v>
      </c>
      <c r="E30" s="4">
        <f t="shared" si="1"/>
        <v>0</v>
      </c>
      <c r="F30" s="4">
        <f t="shared" si="2"/>
        <v>0</v>
      </c>
      <c r="G30" s="4">
        <f t="shared" si="3"/>
        <v>27.9376</v>
      </c>
      <c r="H30" s="4">
        <f t="shared" si="4"/>
        <v>27.79085</v>
      </c>
      <c r="I30" s="4" t="str">
        <f t="shared" si="5"/>
        <v> </v>
      </c>
      <c r="J30" s="4">
        <v>0.0</v>
      </c>
      <c r="K30" s="4">
        <v>16.54</v>
      </c>
      <c r="L30" s="4">
        <f t="shared" si="6"/>
        <v>3</v>
      </c>
      <c r="M30" s="4">
        <f t="shared" si="7"/>
        <v>0</v>
      </c>
      <c r="N30" s="4">
        <f t="shared" si="8"/>
        <v>-3.36791</v>
      </c>
      <c r="O30" s="4">
        <f t="shared" si="9"/>
        <v>0</v>
      </c>
      <c r="P30" s="4">
        <f t="shared" si="10"/>
        <v>16.54</v>
      </c>
    </row>
    <row r="31" ht="15.75" customHeight="1">
      <c r="A31" s="4">
        <v>2007.0</v>
      </c>
      <c r="B31" s="4">
        <v>181.0</v>
      </c>
      <c r="C31" s="4">
        <v>13.36</v>
      </c>
      <c r="D31" s="4">
        <v>22.14</v>
      </c>
      <c r="E31" s="4">
        <f t="shared" si="1"/>
        <v>0</v>
      </c>
      <c r="F31" s="4">
        <f t="shared" si="2"/>
        <v>0</v>
      </c>
      <c r="G31" s="4">
        <f t="shared" si="3"/>
        <v>35.2022</v>
      </c>
      <c r="H31" s="4">
        <f t="shared" si="4"/>
        <v>33.5708</v>
      </c>
      <c r="I31" s="4" t="str">
        <f t="shared" si="5"/>
        <v> </v>
      </c>
      <c r="J31" s="4">
        <v>0.0</v>
      </c>
      <c r="K31" s="4">
        <v>17.27</v>
      </c>
      <c r="L31" s="4">
        <f t="shared" si="6"/>
        <v>3</v>
      </c>
      <c r="M31" s="4">
        <f t="shared" si="7"/>
        <v>1</v>
      </c>
      <c r="N31" s="4">
        <f t="shared" si="8"/>
        <v>4.07784</v>
      </c>
      <c r="O31" s="4">
        <f t="shared" si="9"/>
        <v>0</v>
      </c>
      <c r="P31" s="4">
        <f t="shared" si="10"/>
        <v>17.27</v>
      </c>
    </row>
    <row r="32" ht="15.75" customHeight="1">
      <c r="A32" s="4">
        <v>2007.0</v>
      </c>
      <c r="B32" s="4">
        <v>182.0</v>
      </c>
      <c r="C32" s="4">
        <v>12.06</v>
      </c>
      <c r="D32" s="4">
        <v>21.95</v>
      </c>
      <c r="E32" s="4">
        <f t="shared" si="1"/>
        <v>1</v>
      </c>
      <c r="F32" s="4">
        <f t="shared" si="2"/>
        <v>0</v>
      </c>
      <c r="G32" s="4">
        <f t="shared" si="3"/>
        <v>37.971</v>
      </c>
      <c r="H32" s="4">
        <f t="shared" si="4"/>
        <v>37.28155</v>
      </c>
      <c r="I32" s="4" t="str">
        <f t="shared" si="5"/>
        <v> </v>
      </c>
      <c r="J32" s="4">
        <v>0.6</v>
      </c>
      <c r="K32" s="4">
        <v>16.73</v>
      </c>
      <c r="L32" s="4">
        <f t="shared" si="6"/>
        <v>8</v>
      </c>
      <c r="M32" s="4">
        <f t="shared" si="7"/>
        <v>1</v>
      </c>
      <c r="N32" s="4">
        <f t="shared" si="8"/>
        <v>10.15471</v>
      </c>
      <c r="O32" s="4">
        <f t="shared" si="9"/>
        <v>0.6</v>
      </c>
      <c r="P32" s="4">
        <f t="shared" si="10"/>
        <v>16.73</v>
      </c>
    </row>
    <row r="33" ht="15.75" customHeight="1">
      <c r="A33" s="4">
        <v>2007.0</v>
      </c>
      <c r="B33" s="4">
        <v>183.0</v>
      </c>
      <c r="C33" s="4">
        <v>8.81</v>
      </c>
      <c r="D33" s="4">
        <v>23.07</v>
      </c>
      <c r="E33" s="4">
        <f t="shared" si="1"/>
        <v>1</v>
      </c>
      <c r="F33" s="4">
        <f t="shared" si="2"/>
        <v>0</v>
      </c>
      <c r="G33" s="4">
        <f t="shared" si="3"/>
        <v>36.2052</v>
      </c>
      <c r="H33" s="4">
        <f t="shared" si="4"/>
        <v>35.343</v>
      </c>
      <c r="I33" s="4" t="str">
        <f t="shared" si="5"/>
        <v> </v>
      </c>
      <c r="J33" s="4">
        <v>4.7</v>
      </c>
      <c r="K33" s="4">
        <v>15.43</v>
      </c>
      <c r="L33" s="4">
        <f t="shared" si="6"/>
        <v>8</v>
      </c>
      <c r="M33" s="4">
        <f t="shared" si="7"/>
        <v>1</v>
      </c>
      <c r="N33" s="4">
        <f t="shared" si="8"/>
        <v>3.96267</v>
      </c>
      <c r="O33" s="4">
        <f t="shared" si="9"/>
        <v>4.7</v>
      </c>
      <c r="P33" s="4">
        <f t="shared" si="10"/>
        <v>15.43</v>
      </c>
    </row>
    <row r="34" ht="15.75" customHeight="1">
      <c r="A34" s="4">
        <v>2007.0</v>
      </c>
      <c r="B34" s="4">
        <v>184.0</v>
      </c>
      <c r="C34" s="4">
        <v>11.6</v>
      </c>
      <c r="D34" s="4">
        <v>19.75</v>
      </c>
      <c r="E34" s="4">
        <f t="shared" si="1"/>
        <v>1</v>
      </c>
      <c r="F34" s="4">
        <f t="shared" si="2"/>
        <v>0</v>
      </c>
      <c r="G34" s="4">
        <f t="shared" si="3"/>
        <v>31.6874</v>
      </c>
      <c r="H34" s="4">
        <f t="shared" si="4"/>
        <v>30.67505</v>
      </c>
      <c r="I34" s="4" t="str">
        <f t="shared" si="5"/>
        <v> </v>
      </c>
      <c r="J34" s="4">
        <v>0.6</v>
      </c>
      <c r="K34" s="4">
        <v>15.16</v>
      </c>
      <c r="L34" s="4">
        <f t="shared" si="6"/>
        <v>8</v>
      </c>
      <c r="M34" s="4">
        <f t="shared" si="7"/>
        <v>0</v>
      </c>
      <c r="N34" s="4">
        <f t="shared" si="8"/>
        <v>-5.2158</v>
      </c>
      <c r="O34" s="4">
        <f t="shared" si="9"/>
        <v>0.6</v>
      </c>
      <c r="P34" s="4">
        <f t="shared" si="10"/>
        <v>15.16</v>
      </c>
    </row>
    <row r="35" ht="15.75" customHeight="1">
      <c r="A35" s="4">
        <v>2007.0</v>
      </c>
      <c r="B35" s="4">
        <v>185.0</v>
      </c>
      <c r="C35" s="4">
        <v>10.27</v>
      </c>
      <c r="D35" s="4">
        <v>25.64</v>
      </c>
      <c r="E35" s="4">
        <f t="shared" si="1"/>
        <v>0</v>
      </c>
      <c r="F35" s="4">
        <f t="shared" si="2"/>
        <v>0</v>
      </c>
      <c r="G35" s="4">
        <f t="shared" si="3"/>
        <v>31.555</v>
      </c>
      <c r="H35" s="4">
        <f t="shared" si="4"/>
        <v>27.4643</v>
      </c>
      <c r="I35" s="4" t="str">
        <f t="shared" si="5"/>
        <v> </v>
      </c>
      <c r="J35" s="4">
        <v>0.0</v>
      </c>
      <c r="K35" s="4">
        <v>17.66</v>
      </c>
      <c r="L35" s="4">
        <f t="shared" si="6"/>
        <v>3</v>
      </c>
      <c r="M35" s="4">
        <f t="shared" si="7"/>
        <v>0</v>
      </c>
      <c r="N35" s="4">
        <f t="shared" si="8"/>
        <v>-7.64204</v>
      </c>
      <c r="O35" s="4">
        <f t="shared" si="9"/>
        <v>0</v>
      </c>
      <c r="P35" s="4">
        <f t="shared" si="10"/>
        <v>17.66</v>
      </c>
    </row>
    <row r="36" ht="15.75" customHeight="1">
      <c r="A36" s="4">
        <v>2007.0</v>
      </c>
      <c r="B36" s="4">
        <v>186.0</v>
      </c>
      <c r="C36" s="4">
        <v>11.14</v>
      </c>
      <c r="D36" s="4">
        <v>28.09</v>
      </c>
      <c r="E36" s="4">
        <f t="shared" si="1"/>
        <v>0</v>
      </c>
      <c r="F36" s="4">
        <f t="shared" si="2"/>
        <v>0</v>
      </c>
      <c r="G36" s="4">
        <f t="shared" si="3"/>
        <v>32.6596</v>
      </c>
      <c r="H36" s="4">
        <f t="shared" si="4"/>
        <v>29.8583</v>
      </c>
      <c r="I36" s="4" t="str">
        <f t="shared" si="5"/>
        <v> </v>
      </c>
      <c r="J36" s="4">
        <v>0.0</v>
      </c>
      <c r="K36" s="4">
        <v>20.36</v>
      </c>
      <c r="L36" s="4">
        <f t="shared" si="6"/>
        <v>3</v>
      </c>
      <c r="M36" s="4">
        <f t="shared" si="7"/>
        <v>0</v>
      </c>
      <c r="N36" s="4">
        <f t="shared" si="8"/>
        <v>-4.65084</v>
      </c>
      <c r="O36" s="4">
        <f t="shared" si="9"/>
        <v>0</v>
      </c>
      <c r="P36" s="4">
        <f t="shared" si="10"/>
        <v>20.36</v>
      </c>
    </row>
    <row r="37" ht="15.75" customHeight="1">
      <c r="A37" s="4">
        <v>2007.0</v>
      </c>
      <c r="B37" s="4">
        <v>187.0</v>
      </c>
      <c r="C37" s="4">
        <v>15.57</v>
      </c>
      <c r="D37" s="4">
        <v>26.09</v>
      </c>
      <c r="E37" s="4">
        <f t="shared" si="1"/>
        <v>0</v>
      </c>
      <c r="F37" s="4">
        <f t="shared" si="2"/>
        <v>0</v>
      </c>
      <c r="G37" s="4">
        <f t="shared" si="3"/>
        <v>30.0514</v>
      </c>
      <c r="H37" s="4">
        <f t="shared" si="4"/>
        <v>27.14435</v>
      </c>
      <c r="I37" s="4" t="str">
        <f t="shared" si="5"/>
        <v> </v>
      </c>
      <c r="J37" s="4">
        <v>0.0</v>
      </c>
      <c r="K37" s="4">
        <v>21.17</v>
      </c>
      <c r="L37" s="4">
        <f t="shared" si="6"/>
        <v>3</v>
      </c>
      <c r="M37" s="4">
        <f t="shared" si="7"/>
        <v>1</v>
      </c>
      <c r="N37" s="4">
        <f t="shared" si="8"/>
        <v>2.28424</v>
      </c>
      <c r="O37" s="4">
        <f t="shared" si="9"/>
        <v>0</v>
      </c>
      <c r="P37" s="4">
        <f t="shared" si="10"/>
        <v>21.17</v>
      </c>
    </row>
    <row r="38" ht="15.75" customHeight="1">
      <c r="A38" s="4">
        <v>2007.0</v>
      </c>
      <c r="B38" s="4">
        <v>188.0</v>
      </c>
      <c r="C38" s="4">
        <v>13.36</v>
      </c>
      <c r="D38" s="4">
        <v>20.02</v>
      </c>
      <c r="E38" s="4">
        <f t="shared" si="1"/>
        <v>1</v>
      </c>
      <c r="F38" s="4">
        <f t="shared" si="2"/>
        <v>0</v>
      </c>
      <c r="G38" s="4">
        <f t="shared" si="3"/>
        <v>31.642</v>
      </c>
      <c r="H38" s="4">
        <f t="shared" si="4"/>
        <v>29.3117</v>
      </c>
      <c r="I38" s="4" t="str">
        <f t="shared" si="5"/>
        <v> </v>
      </c>
      <c r="J38" s="4">
        <v>2.3</v>
      </c>
      <c r="K38" s="4">
        <v>16.33</v>
      </c>
      <c r="L38" s="4">
        <f t="shared" si="6"/>
        <v>8</v>
      </c>
      <c r="M38" s="4">
        <f t="shared" si="7"/>
        <v>1</v>
      </c>
      <c r="N38" s="4">
        <f t="shared" si="8"/>
        <v>1.52771</v>
      </c>
      <c r="O38" s="4">
        <f t="shared" si="9"/>
        <v>2.3</v>
      </c>
      <c r="P38" s="4">
        <f t="shared" si="10"/>
        <v>16.33</v>
      </c>
    </row>
    <row r="39" ht="15.75" customHeight="1">
      <c r="A39" s="4">
        <v>2007.0</v>
      </c>
      <c r="B39" s="4">
        <v>189.0</v>
      </c>
      <c r="C39" s="4">
        <v>13.7</v>
      </c>
      <c r="D39" s="4">
        <v>19.78</v>
      </c>
      <c r="E39" s="4">
        <f t="shared" si="1"/>
        <v>0</v>
      </c>
      <c r="F39" s="4">
        <f t="shared" si="2"/>
        <v>0</v>
      </c>
      <c r="G39" s="4">
        <f t="shared" si="3"/>
        <v>33.0442</v>
      </c>
      <c r="H39" s="4">
        <f t="shared" si="4"/>
        <v>29.49875</v>
      </c>
      <c r="I39" s="4" t="str">
        <f t="shared" si="5"/>
        <v> </v>
      </c>
      <c r="J39" s="4">
        <v>0.0</v>
      </c>
      <c r="K39" s="4">
        <v>16.13</v>
      </c>
      <c r="L39" s="4">
        <f t="shared" si="6"/>
        <v>3</v>
      </c>
      <c r="M39" s="4">
        <f t="shared" si="7"/>
        <v>1</v>
      </c>
      <c r="N39" s="4">
        <f t="shared" si="8"/>
        <v>3.91186</v>
      </c>
      <c r="O39" s="4">
        <f t="shared" si="9"/>
        <v>0</v>
      </c>
      <c r="P39" s="4">
        <f t="shared" si="10"/>
        <v>16.13</v>
      </c>
    </row>
    <row r="40" ht="15.75" customHeight="1">
      <c r="A40" s="4">
        <v>2007.0</v>
      </c>
      <c r="B40" s="4">
        <v>190.0</v>
      </c>
      <c r="C40" s="4">
        <v>12.69</v>
      </c>
      <c r="D40" s="4">
        <v>21.95</v>
      </c>
      <c r="E40" s="4">
        <f t="shared" si="1"/>
        <v>1</v>
      </c>
      <c r="F40" s="4">
        <f t="shared" si="2"/>
        <v>0</v>
      </c>
      <c r="G40" s="4">
        <f t="shared" si="3"/>
        <v>41.4633</v>
      </c>
      <c r="H40" s="4">
        <f t="shared" si="4"/>
        <v>39.47285</v>
      </c>
      <c r="I40" s="4" t="str">
        <f t="shared" si="5"/>
        <v> </v>
      </c>
      <c r="J40" s="4">
        <v>2.9</v>
      </c>
      <c r="K40" s="4">
        <v>16.21</v>
      </c>
      <c r="L40" s="4">
        <f t="shared" si="6"/>
        <v>8</v>
      </c>
      <c r="M40" s="4">
        <f t="shared" si="7"/>
        <v>0</v>
      </c>
      <c r="N40" s="4">
        <f t="shared" si="8"/>
        <v>-5.92525</v>
      </c>
      <c r="O40" s="4">
        <f t="shared" si="9"/>
        <v>2.9</v>
      </c>
      <c r="P40" s="4">
        <f t="shared" si="10"/>
        <v>16.21</v>
      </c>
    </row>
    <row r="41" ht="15.75" customHeight="1">
      <c r="A41" s="4">
        <v>2007.0</v>
      </c>
      <c r="B41" s="4">
        <v>191.0</v>
      </c>
      <c r="C41" s="4">
        <v>14.5</v>
      </c>
      <c r="D41" s="4">
        <v>19.58</v>
      </c>
      <c r="E41" s="4">
        <f t="shared" si="1"/>
        <v>0</v>
      </c>
      <c r="F41" s="4">
        <f t="shared" si="2"/>
        <v>0</v>
      </c>
      <c r="G41" s="4">
        <f t="shared" si="3"/>
        <v>35.1686</v>
      </c>
      <c r="H41" s="4">
        <f t="shared" si="4"/>
        <v>32.50595</v>
      </c>
      <c r="I41" s="4" t="str">
        <f t="shared" si="5"/>
        <v> </v>
      </c>
      <c r="J41" s="4">
        <v>0.0</v>
      </c>
      <c r="K41" s="4">
        <v>16.95</v>
      </c>
      <c r="L41" s="4">
        <f t="shared" si="6"/>
        <v>3</v>
      </c>
      <c r="M41" s="4">
        <f t="shared" si="7"/>
        <v>0</v>
      </c>
      <c r="N41" s="4">
        <f t="shared" si="8"/>
        <v>-7.1279</v>
      </c>
      <c r="O41" s="4">
        <f t="shared" si="9"/>
        <v>0</v>
      </c>
      <c r="P41" s="4">
        <f t="shared" si="10"/>
        <v>16.95</v>
      </c>
    </row>
    <row r="42" ht="15.75" customHeight="1">
      <c r="A42" s="4">
        <v>2007.0</v>
      </c>
      <c r="B42" s="4">
        <v>192.0</v>
      </c>
      <c r="C42" s="4">
        <v>9.83</v>
      </c>
      <c r="D42" s="4">
        <v>26.83</v>
      </c>
      <c r="E42" s="4">
        <f t="shared" si="1"/>
        <v>0</v>
      </c>
      <c r="F42" s="4">
        <f t="shared" si="2"/>
        <v>0</v>
      </c>
      <c r="G42" s="4">
        <f t="shared" si="3"/>
        <v>42.3605</v>
      </c>
      <c r="H42" s="4">
        <f t="shared" si="4"/>
        <v>40.74805</v>
      </c>
      <c r="I42" s="4" t="str">
        <f t="shared" si="5"/>
        <v> </v>
      </c>
      <c r="J42" s="4">
        <v>0.0</v>
      </c>
      <c r="K42" s="4">
        <v>19.03</v>
      </c>
      <c r="L42" s="4">
        <f t="shared" si="6"/>
        <v>3</v>
      </c>
      <c r="M42" s="4">
        <f t="shared" si="7"/>
        <v>0</v>
      </c>
      <c r="N42" s="4">
        <f t="shared" si="8"/>
        <v>-4.9899</v>
      </c>
      <c r="O42" s="4">
        <f t="shared" si="9"/>
        <v>0</v>
      </c>
      <c r="P42" s="4">
        <f t="shared" si="10"/>
        <v>19.03</v>
      </c>
    </row>
    <row r="43" ht="15.75" customHeight="1">
      <c r="A43" s="4">
        <v>2007.0</v>
      </c>
      <c r="B43" s="4">
        <v>193.0</v>
      </c>
      <c r="C43" s="4">
        <v>14.43</v>
      </c>
      <c r="D43" s="4">
        <v>30.8</v>
      </c>
      <c r="E43" s="4">
        <f t="shared" si="1"/>
        <v>0</v>
      </c>
      <c r="F43" s="4">
        <f t="shared" si="2"/>
        <v>0</v>
      </c>
      <c r="G43" s="4">
        <f t="shared" si="3"/>
        <v>44.807</v>
      </c>
      <c r="H43" s="4">
        <f t="shared" si="4"/>
        <v>41.97285</v>
      </c>
      <c r="I43" s="4" t="str">
        <f t="shared" si="5"/>
        <v> </v>
      </c>
      <c r="J43" s="4">
        <v>0.0</v>
      </c>
      <c r="K43" s="4">
        <v>22.89</v>
      </c>
      <c r="L43" s="4">
        <f t="shared" si="6"/>
        <v>3</v>
      </c>
      <c r="M43" s="4">
        <f t="shared" si="7"/>
        <v>1</v>
      </c>
      <c r="N43" s="4">
        <f t="shared" si="8"/>
        <v>3.06517</v>
      </c>
      <c r="O43" s="4">
        <f t="shared" si="9"/>
        <v>0</v>
      </c>
      <c r="P43" s="4">
        <f t="shared" si="10"/>
        <v>22.89</v>
      </c>
    </row>
    <row r="44" ht="15.75" customHeight="1">
      <c r="A44" s="4">
        <v>2007.0</v>
      </c>
      <c r="B44" s="4">
        <v>194.0</v>
      </c>
      <c r="C44" s="4">
        <v>15.99</v>
      </c>
      <c r="D44" s="4">
        <v>33.07</v>
      </c>
      <c r="E44" s="4">
        <f t="shared" si="1"/>
        <v>1</v>
      </c>
      <c r="F44" s="4">
        <f t="shared" si="2"/>
        <v>1</v>
      </c>
      <c r="G44" s="4">
        <f t="shared" si="3"/>
        <v>45.9661</v>
      </c>
      <c r="H44" s="4">
        <f t="shared" si="4"/>
        <v>46.03115</v>
      </c>
      <c r="I44" s="4">
        <f t="shared" si="5"/>
        <v>0.06505</v>
      </c>
      <c r="J44" s="4">
        <v>5.9</v>
      </c>
      <c r="K44" s="4">
        <v>22.43</v>
      </c>
      <c r="L44" s="4">
        <f t="shared" si="6"/>
        <v>8</v>
      </c>
      <c r="M44" s="4">
        <f t="shared" si="7"/>
        <v>1</v>
      </c>
      <c r="N44" s="4">
        <f t="shared" si="8"/>
        <v>6.3702</v>
      </c>
      <c r="O44" s="4">
        <f t="shared" si="9"/>
        <v>5.9</v>
      </c>
      <c r="P44" s="4">
        <f t="shared" si="10"/>
        <v>22.43</v>
      </c>
    </row>
    <row r="45" ht="15.75" customHeight="1">
      <c r="A45" s="4">
        <v>2007.0</v>
      </c>
      <c r="B45" s="4">
        <v>195.0</v>
      </c>
      <c r="C45" s="4">
        <v>14.25</v>
      </c>
      <c r="D45" s="4">
        <v>21.11</v>
      </c>
      <c r="E45" s="4">
        <f t="shared" si="1"/>
        <v>1</v>
      </c>
      <c r="F45" s="4">
        <f t="shared" si="2"/>
        <v>0</v>
      </c>
      <c r="G45" s="4">
        <f t="shared" si="3"/>
        <v>38.5589</v>
      </c>
      <c r="H45" s="4">
        <f t="shared" si="4"/>
        <v>37.5266</v>
      </c>
      <c r="I45" s="4" t="str">
        <f t="shared" si="5"/>
        <v> </v>
      </c>
      <c r="J45" s="4">
        <v>16.4</v>
      </c>
      <c r="K45" s="4">
        <v>16.58</v>
      </c>
      <c r="L45" s="4">
        <f t="shared" si="6"/>
        <v>8</v>
      </c>
      <c r="M45" s="4">
        <f t="shared" si="7"/>
        <v>1</v>
      </c>
      <c r="N45" s="4">
        <f t="shared" si="8"/>
        <v>5.66517</v>
      </c>
      <c r="O45" s="4">
        <f t="shared" si="9"/>
        <v>16.4</v>
      </c>
      <c r="P45" s="4">
        <f t="shared" si="10"/>
        <v>16.58</v>
      </c>
    </row>
    <row r="46" ht="15.75" customHeight="1">
      <c r="A46" s="4">
        <v>2007.0</v>
      </c>
      <c r="B46" s="4">
        <v>196.0</v>
      </c>
      <c r="C46" s="4">
        <v>11.17</v>
      </c>
      <c r="D46" s="4">
        <v>24.56</v>
      </c>
      <c r="E46" s="4">
        <f t="shared" si="1"/>
        <v>1</v>
      </c>
      <c r="F46" s="4">
        <f t="shared" si="2"/>
        <v>0</v>
      </c>
      <c r="G46" s="4">
        <f t="shared" si="3"/>
        <v>39.1148</v>
      </c>
      <c r="H46" s="4">
        <f t="shared" si="4"/>
        <v>37.07535</v>
      </c>
      <c r="I46" s="4" t="str">
        <f t="shared" si="5"/>
        <v> </v>
      </c>
      <c r="J46" s="4">
        <v>0.5</v>
      </c>
      <c r="K46" s="4">
        <v>18.19</v>
      </c>
      <c r="L46" s="4">
        <f t="shared" si="6"/>
        <v>8</v>
      </c>
      <c r="M46" s="4">
        <f t="shared" si="7"/>
        <v>0</v>
      </c>
      <c r="N46" s="4">
        <f t="shared" si="8"/>
        <v>-0.40435</v>
      </c>
      <c r="O46" s="4">
        <f t="shared" si="9"/>
        <v>0.5</v>
      </c>
      <c r="P46" s="4">
        <f t="shared" si="10"/>
        <v>18.19</v>
      </c>
    </row>
    <row r="47" ht="15.75" customHeight="1">
      <c r="A47" s="4">
        <v>2007.0</v>
      </c>
      <c r="B47" s="4">
        <v>197.0</v>
      </c>
      <c r="C47" s="4">
        <v>13.33</v>
      </c>
      <c r="D47" s="4">
        <v>24.12</v>
      </c>
      <c r="E47" s="4">
        <f t="shared" si="1"/>
        <v>0</v>
      </c>
      <c r="F47" s="4">
        <f t="shared" si="2"/>
        <v>0</v>
      </c>
      <c r="G47" s="4">
        <f t="shared" si="3"/>
        <v>33.8019</v>
      </c>
      <c r="H47" s="4">
        <f t="shared" si="4"/>
        <v>29.7625</v>
      </c>
      <c r="I47" s="4" t="str">
        <f t="shared" si="5"/>
        <v> </v>
      </c>
      <c r="J47" s="4">
        <v>0.0</v>
      </c>
      <c r="K47" s="4">
        <v>19.03</v>
      </c>
      <c r="L47" s="4">
        <f t="shared" si="6"/>
        <v>3</v>
      </c>
      <c r="M47" s="4">
        <f t="shared" si="7"/>
        <v>1</v>
      </c>
      <c r="N47" s="4">
        <f t="shared" si="8"/>
        <v>0.97669</v>
      </c>
      <c r="O47" s="4">
        <f t="shared" si="9"/>
        <v>0</v>
      </c>
      <c r="P47" s="4">
        <f t="shared" si="10"/>
        <v>19.03</v>
      </c>
    </row>
    <row r="48" ht="15.75" customHeight="1">
      <c r="A48" s="4">
        <v>2007.0</v>
      </c>
      <c r="B48" s="4">
        <v>198.0</v>
      </c>
      <c r="C48" s="4">
        <v>12.88</v>
      </c>
      <c r="D48" s="4">
        <v>24.44</v>
      </c>
      <c r="E48" s="4">
        <f t="shared" si="1"/>
        <v>1</v>
      </c>
      <c r="F48" s="4">
        <f t="shared" si="2"/>
        <v>0</v>
      </c>
      <c r="G48" s="4">
        <f t="shared" si="3"/>
        <v>35.1888</v>
      </c>
      <c r="H48" s="4">
        <f t="shared" si="4"/>
        <v>33.5624</v>
      </c>
      <c r="I48" s="4" t="str">
        <f t="shared" si="5"/>
        <v> </v>
      </c>
      <c r="J48" s="4">
        <v>0.3</v>
      </c>
      <c r="K48" s="4">
        <v>18.45</v>
      </c>
      <c r="L48" s="4">
        <f t="shared" si="6"/>
        <v>8</v>
      </c>
      <c r="M48" s="4">
        <f t="shared" si="7"/>
        <v>0</v>
      </c>
      <c r="N48" s="4">
        <f t="shared" si="8"/>
        <v>-3.89098</v>
      </c>
      <c r="O48" s="4">
        <f t="shared" si="9"/>
        <v>0.3</v>
      </c>
      <c r="P48" s="4">
        <f t="shared" si="10"/>
        <v>18.45</v>
      </c>
    </row>
    <row r="49" ht="15.75" customHeight="1">
      <c r="A49" s="4">
        <v>2007.0</v>
      </c>
      <c r="B49" s="4">
        <v>199.0</v>
      </c>
      <c r="C49" s="4">
        <v>13.47</v>
      </c>
      <c r="D49" s="4">
        <v>26.65</v>
      </c>
      <c r="E49" s="4">
        <f t="shared" si="1"/>
        <v>0</v>
      </c>
      <c r="F49" s="4">
        <f t="shared" si="2"/>
        <v>0</v>
      </c>
      <c r="G49" s="4">
        <f t="shared" si="3"/>
        <v>32.227</v>
      </c>
      <c r="H49" s="4">
        <f t="shared" si="4"/>
        <v>28.79345</v>
      </c>
      <c r="I49" s="4" t="str">
        <f t="shared" si="5"/>
        <v> </v>
      </c>
      <c r="J49" s="4">
        <v>0.0</v>
      </c>
      <c r="K49" s="4">
        <v>20.64</v>
      </c>
      <c r="L49" s="4">
        <f t="shared" si="6"/>
        <v>3</v>
      </c>
      <c r="M49" s="4">
        <f t="shared" si="7"/>
        <v>0</v>
      </c>
      <c r="N49" s="4">
        <f t="shared" si="8"/>
        <v>-9.11099</v>
      </c>
      <c r="O49" s="4">
        <f t="shared" si="9"/>
        <v>0</v>
      </c>
      <c r="P49" s="4">
        <f t="shared" si="10"/>
        <v>20.64</v>
      </c>
    </row>
    <row r="50" ht="15.75" customHeight="1">
      <c r="A50" s="4">
        <v>2007.0</v>
      </c>
      <c r="B50" s="4">
        <v>200.0</v>
      </c>
      <c r="C50" s="4">
        <v>15.8</v>
      </c>
      <c r="D50" s="4">
        <v>26.86</v>
      </c>
      <c r="E50" s="4">
        <f t="shared" si="1"/>
        <v>0</v>
      </c>
      <c r="F50" s="4">
        <f t="shared" si="2"/>
        <v>0</v>
      </c>
      <c r="G50" s="4">
        <f t="shared" si="3"/>
        <v>36.03748</v>
      </c>
      <c r="H50" s="4">
        <f t="shared" si="4"/>
        <v>34.0022</v>
      </c>
      <c r="I50" s="4" t="str">
        <f t="shared" si="5"/>
        <v> </v>
      </c>
      <c r="J50" s="4">
        <v>0.0</v>
      </c>
      <c r="K50" s="4">
        <v>21.09</v>
      </c>
      <c r="L50" s="4">
        <f t="shared" si="6"/>
        <v>3</v>
      </c>
      <c r="M50" s="4">
        <f t="shared" si="7"/>
        <v>0</v>
      </c>
      <c r="N50" s="4">
        <f t="shared" si="8"/>
        <v>-4.74355</v>
      </c>
      <c r="O50" s="4">
        <f t="shared" si="9"/>
        <v>0</v>
      </c>
      <c r="P50" s="4">
        <f t="shared" si="10"/>
        <v>21.09</v>
      </c>
    </row>
    <row r="51" ht="15.75" customHeight="1">
      <c r="A51" s="4">
        <v>2007.0</v>
      </c>
      <c r="B51" s="4">
        <v>201.0</v>
      </c>
      <c r="C51" s="4">
        <v>13.6</v>
      </c>
      <c r="D51" s="4">
        <v>21.59</v>
      </c>
      <c r="E51" s="4">
        <f t="shared" si="1"/>
        <v>0</v>
      </c>
      <c r="F51" s="4">
        <f t="shared" si="2"/>
        <v>0</v>
      </c>
      <c r="G51" s="4">
        <f t="shared" si="3"/>
        <v>36.11948</v>
      </c>
      <c r="H51" s="4">
        <f t="shared" si="4"/>
        <v>34.70507</v>
      </c>
      <c r="I51" s="4" t="str">
        <f t="shared" si="5"/>
        <v> </v>
      </c>
      <c r="J51" s="4">
        <v>0.0</v>
      </c>
      <c r="K51" s="4">
        <v>17.49</v>
      </c>
      <c r="L51" s="4">
        <f t="shared" si="6"/>
        <v>3</v>
      </c>
      <c r="M51" s="4">
        <f t="shared" si="7"/>
        <v>1</v>
      </c>
      <c r="N51" s="4">
        <f t="shared" si="8"/>
        <v>4.31327</v>
      </c>
      <c r="O51" s="4">
        <f t="shared" si="9"/>
        <v>0</v>
      </c>
      <c r="P51" s="4">
        <f t="shared" si="10"/>
        <v>17.49</v>
      </c>
    </row>
    <row r="52" ht="15.75" customHeight="1">
      <c r="A52" s="4">
        <v>2007.0</v>
      </c>
      <c r="B52" s="4">
        <v>202.0</v>
      </c>
      <c r="C52" s="4">
        <v>11.37</v>
      </c>
      <c r="D52" s="4">
        <v>22.74</v>
      </c>
      <c r="E52" s="4">
        <f t="shared" si="1"/>
        <v>1</v>
      </c>
      <c r="F52" s="4">
        <f t="shared" si="2"/>
        <v>1</v>
      </c>
      <c r="G52" s="4">
        <f t="shared" si="3"/>
        <v>35.73572</v>
      </c>
      <c r="H52" s="4">
        <f t="shared" si="4"/>
        <v>38.74325</v>
      </c>
      <c r="I52" s="4">
        <f t="shared" si="5"/>
        <v>3.00753</v>
      </c>
      <c r="J52" s="4">
        <v>0.5</v>
      </c>
      <c r="K52" s="4">
        <v>16.14</v>
      </c>
      <c r="L52" s="4">
        <f t="shared" si="6"/>
        <v>8</v>
      </c>
      <c r="M52" s="4">
        <f t="shared" si="7"/>
        <v>1</v>
      </c>
      <c r="N52" s="4">
        <f t="shared" si="8"/>
        <v>6.419494</v>
      </c>
      <c r="O52" s="4">
        <f t="shared" si="9"/>
        <v>0.5</v>
      </c>
      <c r="P52" s="4">
        <f t="shared" si="10"/>
        <v>16.14</v>
      </c>
    </row>
    <row r="53" ht="15.75" customHeight="1">
      <c r="A53" s="4">
        <v>2007.0</v>
      </c>
      <c r="B53" s="4">
        <v>203.0</v>
      </c>
      <c r="C53" s="4">
        <v>8.48</v>
      </c>
      <c r="D53" s="4">
        <v>20.08</v>
      </c>
      <c r="E53" s="4">
        <f t="shared" si="1"/>
        <v>1</v>
      </c>
      <c r="F53" s="4">
        <f t="shared" si="2"/>
        <v>1</v>
      </c>
      <c r="G53" s="4">
        <f t="shared" si="3"/>
        <v>33.39514</v>
      </c>
      <c r="H53" s="4">
        <f t="shared" si="4"/>
        <v>35.18322</v>
      </c>
      <c r="I53" s="4">
        <f t="shared" si="5"/>
        <v>1.78808</v>
      </c>
      <c r="J53" s="4">
        <v>0.1</v>
      </c>
      <c r="K53" s="4">
        <v>14.27</v>
      </c>
      <c r="L53" s="4">
        <f t="shared" si="6"/>
        <v>8</v>
      </c>
      <c r="M53" s="4">
        <f t="shared" si="7"/>
        <v>1</v>
      </c>
      <c r="N53" s="4">
        <f t="shared" si="8"/>
        <v>3.131442</v>
      </c>
      <c r="O53" s="4">
        <f t="shared" si="9"/>
        <v>0.1</v>
      </c>
      <c r="P53" s="4">
        <f t="shared" si="10"/>
        <v>14.27</v>
      </c>
    </row>
    <row r="54" ht="15.75" customHeight="1">
      <c r="A54" s="4">
        <v>2007.0</v>
      </c>
      <c r="B54" s="4">
        <v>204.0</v>
      </c>
      <c r="C54" s="4">
        <v>5.778</v>
      </c>
      <c r="D54" s="4">
        <v>24.23</v>
      </c>
      <c r="E54" s="4">
        <f t="shared" si="1"/>
        <v>1</v>
      </c>
      <c r="F54" s="4">
        <f t="shared" si="2"/>
        <v>1</v>
      </c>
      <c r="G54" s="4">
        <f t="shared" si="3"/>
        <v>33.9679</v>
      </c>
      <c r="H54" s="4">
        <f t="shared" si="4"/>
        <v>34.81442</v>
      </c>
      <c r="I54" s="4">
        <f t="shared" si="5"/>
        <v>0.84652</v>
      </c>
      <c r="J54" s="4">
        <v>0.1</v>
      </c>
      <c r="K54" s="4">
        <v>15.74</v>
      </c>
      <c r="L54" s="4">
        <f t="shared" si="6"/>
        <v>8</v>
      </c>
      <c r="M54" s="4">
        <f t="shared" si="7"/>
        <v>1</v>
      </c>
      <c r="N54" s="4">
        <f t="shared" si="8"/>
        <v>1.925532</v>
      </c>
      <c r="O54" s="4">
        <f t="shared" si="9"/>
        <v>0.1</v>
      </c>
      <c r="P54" s="4">
        <f t="shared" si="10"/>
        <v>15.74</v>
      </c>
    </row>
    <row r="55" ht="15.75" customHeight="1">
      <c r="A55" s="4">
        <v>2007.0</v>
      </c>
      <c r="B55" s="4">
        <v>205.0</v>
      </c>
      <c r="C55" s="4">
        <v>8.01</v>
      </c>
      <c r="D55" s="4">
        <v>27.29</v>
      </c>
      <c r="E55" s="4">
        <f t="shared" si="1"/>
        <v>0</v>
      </c>
      <c r="F55" s="4">
        <f t="shared" si="2"/>
        <v>0</v>
      </c>
      <c r="G55" s="4">
        <f t="shared" si="3"/>
        <v>35.3504</v>
      </c>
      <c r="H55" s="4">
        <f t="shared" si="4"/>
        <v>34.71905</v>
      </c>
      <c r="I55" s="4" t="str">
        <f t="shared" si="5"/>
        <v> </v>
      </c>
      <c r="J55" s="4">
        <v>0.0</v>
      </c>
      <c r="K55" s="4">
        <v>18.6</v>
      </c>
      <c r="L55" s="4">
        <f t="shared" si="6"/>
        <v>3</v>
      </c>
      <c r="M55" s="4">
        <f t="shared" si="7"/>
        <v>1</v>
      </c>
      <c r="N55" s="4">
        <f t="shared" si="8"/>
        <v>6.56339</v>
      </c>
      <c r="O55" s="4">
        <f t="shared" si="9"/>
        <v>0</v>
      </c>
      <c r="P55" s="4">
        <f t="shared" si="10"/>
        <v>18.6</v>
      </c>
    </row>
    <row r="56" ht="15.75" customHeight="1">
      <c r="A56" s="4">
        <v>2007.0</v>
      </c>
      <c r="B56" s="4">
        <v>206.0</v>
      </c>
      <c r="C56" s="4">
        <v>15.42</v>
      </c>
      <c r="D56" s="4">
        <v>21.24</v>
      </c>
      <c r="E56" s="4">
        <f t="shared" si="1"/>
        <v>1</v>
      </c>
      <c r="F56" s="4">
        <f t="shared" si="2"/>
        <v>1</v>
      </c>
      <c r="G56" s="4">
        <f t="shared" si="3"/>
        <v>36.5799</v>
      </c>
      <c r="H56" s="4">
        <f t="shared" si="4"/>
        <v>38.42145</v>
      </c>
      <c r="I56" s="4">
        <f t="shared" si="5"/>
        <v>1.84155</v>
      </c>
      <c r="J56" s="4">
        <v>0.1</v>
      </c>
      <c r="K56" s="4">
        <v>18.5</v>
      </c>
      <c r="L56" s="4">
        <f t="shared" si="6"/>
        <v>8</v>
      </c>
      <c r="M56" s="4">
        <f t="shared" si="7"/>
        <v>1</v>
      </c>
      <c r="N56" s="4">
        <f t="shared" si="8"/>
        <v>11.8795</v>
      </c>
      <c r="O56" s="4">
        <f t="shared" si="9"/>
        <v>0.1</v>
      </c>
      <c r="P56" s="4">
        <f t="shared" si="10"/>
        <v>18.5</v>
      </c>
    </row>
    <row r="57" ht="15.75" customHeight="1">
      <c r="A57" s="4">
        <v>2007.0</v>
      </c>
      <c r="B57" s="4">
        <v>207.0</v>
      </c>
      <c r="C57" s="4">
        <v>14.7</v>
      </c>
      <c r="D57" s="4">
        <v>20.05</v>
      </c>
      <c r="E57" s="4">
        <f t="shared" si="1"/>
        <v>1</v>
      </c>
      <c r="F57" s="4">
        <f t="shared" si="2"/>
        <v>1</v>
      </c>
      <c r="G57" s="4">
        <f t="shared" si="3"/>
        <v>36.1432</v>
      </c>
      <c r="H57" s="4">
        <f t="shared" si="4"/>
        <v>39.434</v>
      </c>
      <c r="I57" s="4">
        <f t="shared" si="5"/>
        <v>3.2908</v>
      </c>
      <c r="J57" s="4">
        <v>1.0</v>
      </c>
      <c r="K57" s="4">
        <v>16.23</v>
      </c>
      <c r="L57" s="4">
        <f t="shared" si="6"/>
        <v>8</v>
      </c>
      <c r="M57" s="4">
        <f t="shared" si="7"/>
        <v>1</v>
      </c>
      <c r="N57" s="4">
        <f t="shared" si="8"/>
        <v>9.94455</v>
      </c>
      <c r="O57" s="4">
        <f t="shared" si="9"/>
        <v>1</v>
      </c>
      <c r="P57" s="4">
        <f t="shared" si="10"/>
        <v>16.23</v>
      </c>
    </row>
    <row r="58" ht="15.75" customHeight="1">
      <c r="A58" s="4">
        <v>2007.0</v>
      </c>
      <c r="B58" s="4">
        <v>208.0</v>
      </c>
      <c r="C58" s="4">
        <v>15.13</v>
      </c>
      <c r="D58" s="4">
        <v>21.67</v>
      </c>
      <c r="E58" s="4">
        <f t="shared" si="1"/>
        <v>1</v>
      </c>
      <c r="F58" s="4">
        <f t="shared" si="2"/>
        <v>1</v>
      </c>
      <c r="G58" s="4">
        <f t="shared" si="3"/>
        <v>37.9154</v>
      </c>
      <c r="H58" s="4">
        <f t="shared" si="4"/>
        <v>39.9436</v>
      </c>
      <c r="I58" s="4">
        <f t="shared" si="5"/>
        <v>2.0282</v>
      </c>
      <c r="J58" s="4">
        <v>0.2</v>
      </c>
      <c r="K58" s="4">
        <v>17.83</v>
      </c>
      <c r="L58" s="4">
        <f t="shared" si="6"/>
        <v>8</v>
      </c>
      <c r="M58" s="4">
        <f t="shared" si="7"/>
        <v>1</v>
      </c>
      <c r="N58" s="4">
        <f t="shared" si="8"/>
        <v>8.09636</v>
      </c>
      <c r="O58" s="4">
        <f t="shared" si="9"/>
        <v>0.2</v>
      </c>
      <c r="P58" s="4">
        <f t="shared" si="10"/>
        <v>17.83</v>
      </c>
    </row>
    <row r="59" ht="15.75" customHeight="1">
      <c r="A59" s="4">
        <v>2007.0</v>
      </c>
      <c r="B59" s="4">
        <v>209.0</v>
      </c>
      <c r="C59" s="4">
        <v>12.83</v>
      </c>
      <c r="D59" s="4">
        <v>24.71</v>
      </c>
      <c r="E59" s="4">
        <f t="shared" si="1"/>
        <v>1</v>
      </c>
      <c r="F59" s="4">
        <f t="shared" si="2"/>
        <v>0</v>
      </c>
      <c r="G59" s="4">
        <f t="shared" si="3"/>
        <v>38.9305</v>
      </c>
      <c r="H59" s="4">
        <f t="shared" si="4"/>
        <v>38.6513</v>
      </c>
      <c r="I59" s="4" t="str">
        <f t="shared" si="5"/>
        <v> </v>
      </c>
      <c r="J59" s="4">
        <v>0.1</v>
      </c>
      <c r="K59" s="4">
        <v>17.87</v>
      </c>
      <c r="L59" s="4">
        <f t="shared" si="6"/>
        <v>8</v>
      </c>
      <c r="M59" s="4">
        <f t="shared" si="7"/>
        <v>1</v>
      </c>
      <c r="N59" s="4">
        <f t="shared" si="8"/>
        <v>10.32533</v>
      </c>
      <c r="O59" s="4">
        <f t="shared" si="9"/>
        <v>0.1</v>
      </c>
      <c r="P59" s="4">
        <f t="shared" si="10"/>
        <v>17.87</v>
      </c>
    </row>
    <row r="60" ht="15.75" customHeight="1">
      <c r="A60" s="4">
        <v>2007.0</v>
      </c>
      <c r="B60" s="4">
        <v>210.0</v>
      </c>
      <c r="C60" s="4">
        <v>10.7</v>
      </c>
      <c r="D60" s="4">
        <v>24.5</v>
      </c>
      <c r="E60" s="4">
        <f t="shared" si="1"/>
        <v>1</v>
      </c>
      <c r="F60" s="4">
        <f t="shared" si="2"/>
        <v>1</v>
      </c>
      <c r="G60" s="4">
        <f t="shared" si="3"/>
        <v>31.9388</v>
      </c>
      <c r="H60" s="4">
        <f t="shared" si="4"/>
        <v>34.6057</v>
      </c>
      <c r="I60" s="4">
        <f t="shared" si="5"/>
        <v>2.6669</v>
      </c>
      <c r="J60" s="4">
        <v>0.1</v>
      </c>
      <c r="K60" s="4">
        <v>17.55</v>
      </c>
      <c r="L60" s="4">
        <f t="shared" si="6"/>
        <v>8</v>
      </c>
      <c r="M60" s="4">
        <f t="shared" si="7"/>
        <v>1</v>
      </c>
      <c r="N60" s="4">
        <f t="shared" si="8"/>
        <v>8.62758</v>
      </c>
      <c r="O60" s="4">
        <f t="shared" si="9"/>
        <v>0.1</v>
      </c>
      <c r="P60" s="4">
        <f t="shared" si="10"/>
        <v>17.55</v>
      </c>
    </row>
    <row r="61" ht="15.75" customHeight="1">
      <c r="A61" s="4">
        <v>2007.0</v>
      </c>
      <c r="B61" s="4">
        <v>211.0</v>
      </c>
      <c r="C61" s="4">
        <v>14.3</v>
      </c>
      <c r="D61" s="4">
        <v>22.57</v>
      </c>
      <c r="E61" s="4">
        <f t="shared" si="1"/>
        <v>1</v>
      </c>
      <c r="F61" s="4">
        <f t="shared" si="2"/>
        <v>1</v>
      </c>
      <c r="G61" s="4">
        <f t="shared" si="3"/>
        <v>32.967</v>
      </c>
      <c r="H61" s="4">
        <f t="shared" si="4"/>
        <v>34.7414</v>
      </c>
      <c r="I61" s="4">
        <f t="shared" si="5"/>
        <v>1.7744</v>
      </c>
      <c r="J61" s="4">
        <v>9.1</v>
      </c>
      <c r="K61" s="4">
        <v>18.07</v>
      </c>
      <c r="L61" s="4">
        <f t="shared" si="6"/>
        <v>8</v>
      </c>
      <c r="M61" s="4">
        <f t="shared" si="7"/>
        <v>1</v>
      </c>
      <c r="N61" s="4">
        <f t="shared" si="8"/>
        <v>2.46761</v>
      </c>
      <c r="O61" s="4">
        <f t="shared" si="9"/>
        <v>9.1</v>
      </c>
      <c r="P61" s="4">
        <f t="shared" si="10"/>
        <v>18.07</v>
      </c>
    </row>
    <row r="62" ht="15.75" customHeight="1">
      <c r="A62" s="4">
        <v>2007.0</v>
      </c>
      <c r="B62" s="4">
        <v>212.0</v>
      </c>
      <c r="C62" s="4">
        <v>11.7</v>
      </c>
      <c r="D62" s="4">
        <v>21.35</v>
      </c>
      <c r="E62" s="4">
        <f t="shared" si="1"/>
        <v>1</v>
      </c>
      <c r="F62" s="4">
        <f t="shared" si="2"/>
        <v>1</v>
      </c>
      <c r="G62" s="4">
        <f t="shared" si="3"/>
        <v>30.3871</v>
      </c>
      <c r="H62" s="4">
        <f t="shared" si="4"/>
        <v>31.30575</v>
      </c>
      <c r="I62" s="4">
        <f t="shared" si="5"/>
        <v>0.91865</v>
      </c>
      <c r="J62" s="4">
        <v>7.2</v>
      </c>
      <c r="K62" s="4">
        <v>17.01</v>
      </c>
      <c r="L62" s="4">
        <f t="shared" si="6"/>
        <v>8</v>
      </c>
      <c r="M62" s="4">
        <f t="shared" si="7"/>
        <v>1</v>
      </c>
      <c r="N62" s="4">
        <f t="shared" si="8"/>
        <v>1.60151</v>
      </c>
      <c r="O62" s="4">
        <f t="shared" si="9"/>
        <v>7.2</v>
      </c>
      <c r="P62" s="4">
        <f t="shared" si="10"/>
        <v>17.01</v>
      </c>
    </row>
    <row r="63" ht="15.75" customHeight="1">
      <c r="A63" s="4">
        <v>2007.0</v>
      </c>
      <c r="B63" s="4">
        <v>213.0</v>
      </c>
      <c r="C63" s="4">
        <v>7.84</v>
      </c>
      <c r="D63" s="4">
        <v>23.76</v>
      </c>
      <c r="E63" s="4">
        <f t="shared" si="1"/>
        <v>0</v>
      </c>
      <c r="F63" s="4">
        <f t="shared" si="2"/>
        <v>1</v>
      </c>
      <c r="G63" s="4">
        <f t="shared" si="3"/>
        <v>30.2354</v>
      </c>
      <c r="H63" s="4">
        <f t="shared" si="4"/>
        <v>30.55005</v>
      </c>
      <c r="I63" s="4">
        <f t="shared" si="5"/>
        <v>0.31465</v>
      </c>
      <c r="J63" s="4">
        <v>0.0</v>
      </c>
      <c r="K63" s="4">
        <v>16.09</v>
      </c>
      <c r="L63" s="4">
        <f t="shared" si="6"/>
        <v>3</v>
      </c>
      <c r="M63" s="4">
        <f t="shared" si="7"/>
        <v>1</v>
      </c>
      <c r="N63" s="4">
        <f t="shared" si="8"/>
        <v>8.26613</v>
      </c>
      <c r="O63" s="4">
        <f t="shared" si="9"/>
        <v>0</v>
      </c>
      <c r="P63" s="4">
        <f t="shared" si="10"/>
        <v>16.09</v>
      </c>
    </row>
    <row r="64" ht="15.75" customHeight="1">
      <c r="A64" s="4">
        <v>2007.0</v>
      </c>
      <c r="B64" s="4">
        <v>214.0</v>
      </c>
      <c r="C64" s="4">
        <v>12.14</v>
      </c>
      <c r="D64" s="4">
        <v>17.99</v>
      </c>
      <c r="E64" s="4">
        <f t="shared" si="1"/>
        <v>1</v>
      </c>
      <c r="F64" s="4">
        <f t="shared" si="2"/>
        <v>1</v>
      </c>
      <c r="G64" s="4">
        <f t="shared" si="3"/>
        <v>32.9521</v>
      </c>
      <c r="H64" s="4">
        <f t="shared" si="4"/>
        <v>35.34325</v>
      </c>
      <c r="I64" s="4">
        <f t="shared" si="5"/>
        <v>2.39115</v>
      </c>
      <c r="J64" s="4">
        <v>0.1</v>
      </c>
      <c r="K64" s="4">
        <v>14.85</v>
      </c>
      <c r="L64" s="4">
        <f t="shared" si="6"/>
        <v>8</v>
      </c>
      <c r="M64" s="4">
        <f t="shared" si="7"/>
        <v>1</v>
      </c>
      <c r="N64" s="4">
        <f t="shared" si="8"/>
        <v>12.99787</v>
      </c>
      <c r="O64" s="4">
        <f t="shared" si="9"/>
        <v>0.1</v>
      </c>
      <c r="P64" s="4">
        <f t="shared" si="10"/>
        <v>14.85</v>
      </c>
    </row>
    <row r="65" ht="15.75" customHeight="1">
      <c r="A65" s="4">
        <v>2007.0</v>
      </c>
      <c r="B65" s="4">
        <v>215.0</v>
      </c>
      <c r="C65" s="4">
        <v>14.33</v>
      </c>
      <c r="D65" s="4">
        <v>20.12</v>
      </c>
      <c r="E65" s="4">
        <f t="shared" si="1"/>
        <v>1</v>
      </c>
      <c r="F65" s="4">
        <f t="shared" si="2"/>
        <v>1</v>
      </c>
      <c r="G65" s="4">
        <f t="shared" si="3"/>
        <v>39.1043</v>
      </c>
      <c r="H65" s="4">
        <f t="shared" si="4"/>
        <v>39.5501</v>
      </c>
      <c r="I65" s="4">
        <f t="shared" si="5"/>
        <v>0.4458</v>
      </c>
      <c r="J65" s="4">
        <v>1.1</v>
      </c>
      <c r="K65" s="4">
        <v>17.39</v>
      </c>
      <c r="L65" s="4">
        <f t="shared" si="6"/>
        <v>8</v>
      </c>
      <c r="M65" s="4">
        <f t="shared" si="7"/>
        <v>1</v>
      </c>
      <c r="N65" s="4">
        <f t="shared" si="8"/>
        <v>11.57002</v>
      </c>
      <c r="O65" s="4">
        <f t="shared" si="9"/>
        <v>1.1</v>
      </c>
      <c r="P65" s="4">
        <f t="shared" si="10"/>
        <v>17.39</v>
      </c>
    </row>
    <row r="66" ht="15.75" customHeight="1">
      <c r="A66" s="4">
        <v>2007.0</v>
      </c>
      <c r="B66" s="4">
        <v>216.0</v>
      </c>
      <c r="C66" s="4">
        <v>15.49</v>
      </c>
      <c r="D66" s="4">
        <v>20.38</v>
      </c>
      <c r="E66" s="4">
        <f t="shared" si="1"/>
        <v>1</v>
      </c>
      <c r="F66" s="4">
        <f t="shared" si="2"/>
        <v>1</v>
      </c>
      <c r="G66" s="4">
        <f t="shared" si="3"/>
        <v>39.8634</v>
      </c>
      <c r="H66" s="4">
        <f t="shared" si="4"/>
        <v>40.9485</v>
      </c>
      <c r="I66" s="4">
        <f t="shared" si="5"/>
        <v>1.0851</v>
      </c>
      <c r="J66" s="4">
        <v>15.4</v>
      </c>
      <c r="K66" s="4">
        <v>17.4</v>
      </c>
      <c r="L66" s="4">
        <f t="shared" si="6"/>
        <v>8</v>
      </c>
      <c r="M66" s="4">
        <f t="shared" si="7"/>
        <v>1</v>
      </c>
      <c r="N66" s="4">
        <f t="shared" si="8"/>
        <v>10.29105</v>
      </c>
      <c r="O66" s="4">
        <f t="shared" si="9"/>
        <v>15.4</v>
      </c>
      <c r="P66" s="4">
        <f t="shared" si="10"/>
        <v>17.4</v>
      </c>
    </row>
    <row r="67" ht="15.75" customHeight="1">
      <c r="A67" s="4">
        <v>2007.0</v>
      </c>
      <c r="B67" s="4">
        <v>217.0</v>
      </c>
      <c r="C67" s="4">
        <v>14.87</v>
      </c>
      <c r="D67" s="4">
        <v>23.23</v>
      </c>
      <c r="E67" s="4">
        <f t="shared" si="1"/>
        <v>1</v>
      </c>
      <c r="F67" s="4">
        <f t="shared" si="2"/>
        <v>0</v>
      </c>
      <c r="G67" s="4">
        <f t="shared" si="3"/>
        <v>40.5067</v>
      </c>
      <c r="H67" s="4">
        <f t="shared" si="4"/>
        <v>38.8021</v>
      </c>
      <c r="I67" s="4" t="str">
        <f t="shared" si="5"/>
        <v> </v>
      </c>
      <c r="J67" s="4">
        <v>0.2</v>
      </c>
      <c r="K67" s="4">
        <v>18.08</v>
      </c>
      <c r="L67" s="4">
        <f t="shared" si="6"/>
        <v>8</v>
      </c>
      <c r="M67" s="4">
        <f t="shared" si="7"/>
        <v>1</v>
      </c>
      <c r="N67" s="4">
        <f t="shared" si="8"/>
        <v>5.48276</v>
      </c>
      <c r="O67" s="4">
        <f t="shared" si="9"/>
        <v>0.2</v>
      </c>
      <c r="P67" s="4">
        <f t="shared" si="10"/>
        <v>18.08</v>
      </c>
    </row>
    <row r="68" ht="15.75" customHeight="1">
      <c r="A68" s="4">
        <v>2007.0</v>
      </c>
      <c r="B68" s="4">
        <v>218.0</v>
      </c>
      <c r="C68" s="4">
        <v>14.0</v>
      </c>
      <c r="D68" s="4">
        <v>25.27</v>
      </c>
      <c r="E68" s="4">
        <f t="shared" si="1"/>
        <v>1</v>
      </c>
      <c r="F68" s="4">
        <f t="shared" si="2"/>
        <v>0</v>
      </c>
      <c r="G68" s="4">
        <f t="shared" si="3"/>
        <v>41.466</v>
      </c>
      <c r="H68" s="4">
        <f t="shared" si="4"/>
        <v>40.89405</v>
      </c>
      <c r="I68" s="4" t="str">
        <f t="shared" si="5"/>
        <v> </v>
      </c>
      <c r="J68" s="4">
        <v>0.1</v>
      </c>
      <c r="K68" s="4">
        <v>19.19</v>
      </c>
      <c r="L68" s="4">
        <f t="shared" si="6"/>
        <v>8</v>
      </c>
      <c r="M68" s="4">
        <f t="shared" si="7"/>
        <v>0</v>
      </c>
      <c r="N68" s="4">
        <f t="shared" si="8"/>
        <v>-0.61704</v>
      </c>
      <c r="O68" s="4">
        <f t="shared" si="9"/>
        <v>0.1</v>
      </c>
      <c r="P68" s="4">
        <f t="shared" si="10"/>
        <v>19.19</v>
      </c>
    </row>
    <row r="69" ht="15.75" customHeight="1">
      <c r="A69" s="4">
        <v>2007.0</v>
      </c>
      <c r="B69" s="4">
        <v>219.0</v>
      </c>
      <c r="C69" s="4">
        <v>15.64</v>
      </c>
      <c r="D69" s="4">
        <v>28.81</v>
      </c>
      <c r="E69" s="4">
        <f t="shared" si="1"/>
        <v>0</v>
      </c>
      <c r="F69" s="4">
        <f t="shared" si="2"/>
        <v>0</v>
      </c>
      <c r="G69" s="4">
        <f t="shared" si="3"/>
        <v>43.9051</v>
      </c>
      <c r="H69" s="4">
        <f t="shared" si="4"/>
        <v>39.922</v>
      </c>
      <c r="I69" s="4" t="str">
        <f t="shared" si="5"/>
        <v> </v>
      </c>
      <c r="J69" s="4">
        <v>0.0</v>
      </c>
      <c r="K69" s="4">
        <v>20.85</v>
      </c>
      <c r="L69" s="4">
        <f t="shared" si="6"/>
        <v>3</v>
      </c>
      <c r="M69" s="4">
        <f t="shared" si="7"/>
        <v>0</v>
      </c>
      <c r="N69" s="4">
        <f t="shared" si="8"/>
        <v>-2.63646</v>
      </c>
      <c r="O69" s="4">
        <f t="shared" si="9"/>
        <v>0</v>
      </c>
      <c r="P69" s="4">
        <f t="shared" si="10"/>
        <v>20.85</v>
      </c>
    </row>
    <row r="70" ht="15.75" customHeight="1">
      <c r="A70" s="4">
        <v>2007.0</v>
      </c>
      <c r="B70" s="4">
        <v>220.0</v>
      </c>
      <c r="C70" s="4">
        <v>15.2</v>
      </c>
      <c r="D70" s="4">
        <v>26.43</v>
      </c>
      <c r="E70" s="4">
        <f t="shared" si="1"/>
        <v>1</v>
      </c>
      <c r="F70" s="4">
        <f t="shared" si="2"/>
        <v>0</v>
      </c>
      <c r="G70" s="4">
        <f t="shared" si="3"/>
        <v>45.3107</v>
      </c>
      <c r="H70" s="4">
        <f t="shared" si="4"/>
        <v>42.53405</v>
      </c>
      <c r="I70" s="4" t="str">
        <f t="shared" si="5"/>
        <v> </v>
      </c>
      <c r="J70" s="4">
        <v>4.8</v>
      </c>
      <c r="K70" s="4">
        <v>21.44</v>
      </c>
      <c r="L70" s="4">
        <f t="shared" si="6"/>
        <v>8</v>
      </c>
      <c r="M70" s="4">
        <f t="shared" si="7"/>
        <v>0</v>
      </c>
      <c r="N70" s="4">
        <f t="shared" si="8"/>
        <v>-2.80827</v>
      </c>
      <c r="O70" s="4">
        <f t="shared" si="9"/>
        <v>4.8</v>
      </c>
      <c r="P70" s="4">
        <f t="shared" si="10"/>
        <v>21.44</v>
      </c>
    </row>
    <row r="71" ht="15.75" customHeight="1">
      <c r="A71" s="4">
        <v>2007.0</v>
      </c>
      <c r="B71" s="4">
        <v>221.0</v>
      </c>
      <c r="C71" s="4">
        <v>10.01</v>
      </c>
      <c r="D71" s="4">
        <v>23.79</v>
      </c>
      <c r="E71" s="4">
        <f t="shared" si="1"/>
        <v>0</v>
      </c>
      <c r="F71" s="4">
        <f t="shared" si="2"/>
        <v>0</v>
      </c>
      <c r="G71" s="4">
        <f t="shared" si="3"/>
        <v>42.8601</v>
      </c>
      <c r="H71" s="4">
        <f t="shared" si="4"/>
        <v>38.51295</v>
      </c>
      <c r="I71" s="4" t="str">
        <f t="shared" si="5"/>
        <v> </v>
      </c>
      <c r="J71" s="4">
        <v>0.0</v>
      </c>
      <c r="K71" s="4">
        <v>17.22</v>
      </c>
      <c r="L71" s="4">
        <f t="shared" si="6"/>
        <v>3</v>
      </c>
      <c r="M71" s="4">
        <f t="shared" si="7"/>
        <v>0</v>
      </c>
      <c r="N71" s="4">
        <f t="shared" si="8"/>
        <v>-0.61793</v>
      </c>
      <c r="O71" s="4">
        <f t="shared" si="9"/>
        <v>0</v>
      </c>
      <c r="P71" s="4">
        <f t="shared" si="10"/>
        <v>17.22</v>
      </c>
    </row>
    <row r="72" ht="15.75" customHeight="1">
      <c r="A72" s="4">
        <v>2007.0</v>
      </c>
      <c r="B72" s="4">
        <v>222.0</v>
      </c>
      <c r="C72" s="4">
        <v>8.94</v>
      </c>
      <c r="D72" s="4">
        <v>25.89</v>
      </c>
      <c r="E72" s="4">
        <f t="shared" si="1"/>
        <v>1</v>
      </c>
      <c r="F72" s="4">
        <f t="shared" si="2"/>
        <v>0</v>
      </c>
      <c r="G72" s="4">
        <f t="shared" si="3"/>
        <v>47.1015</v>
      </c>
      <c r="H72" s="4">
        <f t="shared" si="4"/>
        <v>43.1342</v>
      </c>
      <c r="I72" s="4" t="str">
        <f t="shared" si="5"/>
        <v> </v>
      </c>
      <c r="J72" s="4">
        <v>4.7</v>
      </c>
      <c r="K72" s="4">
        <v>17.94</v>
      </c>
      <c r="L72" s="4">
        <f t="shared" si="6"/>
        <v>8</v>
      </c>
      <c r="M72" s="4">
        <f t="shared" si="7"/>
        <v>0</v>
      </c>
      <c r="N72" s="4">
        <f t="shared" si="8"/>
        <v>-6.9429</v>
      </c>
      <c r="O72" s="4">
        <f t="shared" si="9"/>
        <v>4.7</v>
      </c>
      <c r="P72" s="4">
        <f t="shared" si="10"/>
        <v>17.94</v>
      </c>
    </row>
    <row r="73" ht="15.75" customHeight="1">
      <c r="A73" s="4">
        <v>2007.0</v>
      </c>
      <c r="B73" s="4">
        <v>223.0</v>
      </c>
      <c r="C73" s="4">
        <v>10.47</v>
      </c>
      <c r="D73" s="4">
        <v>28.04</v>
      </c>
      <c r="E73" s="4">
        <f t="shared" si="1"/>
        <v>0</v>
      </c>
      <c r="F73" s="4">
        <f t="shared" si="2"/>
        <v>0</v>
      </c>
      <c r="G73" s="4">
        <f t="shared" si="3"/>
        <v>46.2205</v>
      </c>
      <c r="H73" s="4">
        <f t="shared" si="4"/>
        <v>40.2631</v>
      </c>
      <c r="I73" s="4" t="str">
        <f t="shared" si="5"/>
        <v> </v>
      </c>
      <c r="J73" s="4">
        <v>0.0</v>
      </c>
      <c r="K73" s="4">
        <v>19.68</v>
      </c>
      <c r="L73" s="4">
        <f t="shared" si="6"/>
        <v>3</v>
      </c>
      <c r="M73" s="4">
        <f t="shared" si="7"/>
        <v>0</v>
      </c>
      <c r="N73" s="4">
        <f t="shared" si="8"/>
        <v>-11.62372</v>
      </c>
      <c r="O73" s="4">
        <f t="shared" si="9"/>
        <v>0</v>
      </c>
      <c r="P73" s="4">
        <f t="shared" si="10"/>
        <v>19.68</v>
      </c>
    </row>
    <row r="74" ht="15.75" customHeight="1">
      <c r="A74" s="4">
        <v>2007.0</v>
      </c>
      <c r="B74" s="4">
        <v>224.0</v>
      </c>
      <c r="C74" s="4">
        <v>11.61</v>
      </c>
      <c r="D74" s="4">
        <v>29.71</v>
      </c>
      <c r="E74" s="4">
        <f t="shared" si="1"/>
        <v>0</v>
      </c>
      <c r="F74" s="4">
        <f t="shared" si="2"/>
        <v>0</v>
      </c>
      <c r="G74" s="4">
        <f t="shared" si="3"/>
        <v>47.4726</v>
      </c>
      <c r="H74" s="4">
        <f t="shared" si="4"/>
        <v>40.694</v>
      </c>
      <c r="I74" s="4" t="str">
        <f t="shared" si="5"/>
        <v> </v>
      </c>
      <c r="J74" s="4">
        <v>0.0</v>
      </c>
      <c r="K74" s="4">
        <v>20.78</v>
      </c>
      <c r="L74" s="4">
        <f t="shared" si="6"/>
        <v>3</v>
      </c>
      <c r="M74" s="4">
        <f t="shared" si="7"/>
        <v>0</v>
      </c>
      <c r="N74" s="4">
        <f t="shared" si="8"/>
        <v>-11.41263</v>
      </c>
      <c r="O74" s="4">
        <f t="shared" si="9"/>
        <v>0</v>
      </c>
      <c r="P74" s="4">
        <f t="shared" si="10"/>
        <v>20.78</v>
      </c>
    </row>
    <row r="75" ht="15.75" customHeight="1">
      <c r="A75" s="4">
        <v>2007.0</v>
      </c>
      <c r="B75" s="4">
        <v>225.0</v>
      </c>
      <c r="C75" s="4">
        <v>11.84</v>
      </c>
      <c r="D75" s="4">
        <v>32.24</v>
      </c>
      <c r="E75" s="4">
        <f t="shared" si="1"/>
        <v>0</v>
      </c>
      <c r="F75" s="4">
        <f t="shared" si="2"/>
        <v>0</v>
      </c>
      <c r="G75" s="4">
        <f t="shared" si="3"/>
        <v>49.1013</v>
      </c>
      <c r="H75" s="4">
        <f t="shared" si="4"/>
        <v>41.895</v>
      </c>
      <c r="I75" s="4" t="str">
        <f t="shared" si="5"/>
        <v> </v>
      </c>
      <c r="J75" s="4">
        <v>0.0</v>
      </c>
      <c r="K75" s="4">
        <v>22.01</v>
      </c>
      <c r="L75" s="4">
        <f t="shared" si="6"/>
        <v>3</v>
      </c>
      <c r="M75" s="4">
        <f t="shared" si="7"/>
        <v>0</v>
      </c>
      <c r="N75" s="4">
        <f t="shared" si="8"/>
        <v>-10.48047</v>
      </c>
      <c r="O75" s="4">
        <f t="shared" si="9"/>
        <v>0</v>
      </c>
      <c r="P75" s="4">
        <f t="shared" si="10"/>
        <v>22.01</v>
      </c>
    </row>
    <row r="76" ht="15.75" customHeight="1">
      <c r="A76" s="4">
        <v>2007.0</v>
      </c>
      <c r="B76" s="4">
        <v>226.0</v>
      </c>
      <c r="C76" s="4">
        <v>13.6</v>
      </c>
      <c r="D76" s="4">
        <v>32.37</v>
      </c>
      <c r="E76" s="4">
        <f t="shared" si="1"/>
        <v>0</v>
      </c>
      <c r="F76" s="4">
        <f t="shared" si="2"/>
        <v>0</v>
      </c>
      <c r="G76" s="4">
        <f t="shared" si="3"/>
        <v>48.3804</v>
      </c>
      <c r="H76" s="4">
        <f t="shared" si="4"/>
        <v>41.3256</v>
      </c>
      <c r="I76" s="4" t="str">
        <f t="shared" si="5"/>
        <v> </v>
      </c>
      <c r="J76" s="4">
        <v>0.0</v>
      </c>
      <c r="K76" s="4">
        <v>22.85</v>
      </c>
      <c r="L76" s="4">
        <f t="shared" si="6"/>
        <v>3</v>
      </c>
      <c r="M76" s="4">
        <f t="shared" si="7"/>
        <v>0</v>
      </c>
      <c r="N76" s="4">
        <f t="shared" si="8"/>
        <v>-11.28312</v>
      </c>
      <c r="O76" s="4">
        <f t="shared" si="9"/>
        <v>0</v>
      </c>
      <c r="P76" s="4">
        <f t="shared" si="10"/>
        <v>22.85</v>
      </c>
    </row>
    <row r="77" ht="15.75" customHeight="1">
      <c r="A77" s="4">
        <v>2007.0</v>
      </c>
      <c r="B77" s="4">
        <v>227.0</v>
      </c>
      <c r="C77" s="4">
        <v>16.0</v>
      </c>
      <c r="D77" s="4">
        <v>29.88</v>
      </c>
      <c r="E77" s="4">
        <f t="shared" si="1"/>
        <v>0</v>
      </c>
      <c r="F77" s="4">
        <f t="shared" si="2"/>
        <v>0</v>
      </c>
      <c r="G77" s="4">
        <f t="shared" si="3"/>
        <v>42.9132</v>
      </c>
      <c r="H77" s="4">
        <f t="shared" si="4"/>
        <v>36.75125</v>
      </c>
      <c r="I77" s="4" t="str">
        <f t="shared" si="5"/>
        <v> </v>
      </c>
      <c r="J77" s="4">
        <v>0.0</v>
      </c>
      <c r="K77" s="4">
        <v>22.19</v>
      </c>
      <c r="L77" s="4">
        <f t="shared" si="6"/>
        <v>3</v>
      </c>
      <c r="M77" s="4">
        <f t="shared" si="7"/>
        <v>0</v>
      </c>
      <c r="N77" s="4">
        <f t="shared" si="8"/>
        <v>-11.02434</v>
      </c>
      <c r="O77" s="4">
        <f t="shared" si="9"/>
        <v>0</v>
      </c>
      <c r="P77" s="4">
        <f t="shared" si="10"/>
        <v>22.19</v>
      </c>
    </row>
    <row r="78" ht="15.75" customHeight="1">
      <c r="A78" s="4">
        <v>2007.0</v>
      </c>
      <c r="B78" s="4">
        <v>228.0</v>
      </c>
      <c r="C78" s="4">
        <v>14.5</v>
      </c>
      <c r="D78" s="4">
        <v>29.08</v>
      </c>
      <c r="E78" s="4">
        <f t="shared" si="1"/>
        <v>0</v>
      </c>
      <c r="F78" s="4">
        <f t="shared" si="2"/>
        <v>0</v>
      </c>
      <c r="G78" s="4">
        <f t="shared" si="3"/>
        <v>42.6723</v>
      </c>
      <c r="H78" s="4">
        <f t="shared" si="4"/>
        <v>38.321</v>
      </c>
      <c r="I78" s="4" t="str">
        <f t="shared" si="5"/>
        <v> </v>
      </c>
      <c r="J78" s="4">
        <v>0.0</v>
      </c>
      <c r="K78" s="4">
        <v>21.33</v>
      </c>
      <c r="L78" s="4">
        <f t="shared" si="6"/>
        <v>3</v>
      </c>
      <c r="M78" s="4">
        <f t="shared" si="7"/>
        <v>0</v>
      </c>
      <c r="N78" s="4">
        <f t="shared" si="8"/>
        <v>-10.50624</v>
      </c>
      <c r="O78" s="4">
        <f t="shared" si="9"/>
        <v>0</v>
      </c>
      <c r="P78" s="4">
        <f t="shared" si="10"/>
        <v>21.33</v>
      </c>
    </row>
    <row r="79" ht="15.75" customHeight="1">
      <c r="A79" s="4">
        <v>2007.0</v>
      </c>
      <c r="B79" s="4">
        <v>229.0</v>
      </c>
      <c r="C79" s="4">
        <v>13.76</v>
      </c>
      <c r="D79" s="4">
        <v>31.04</v>
      </c>
      <c r="E79" s="4">
        <f t="shared" si="1"/>
        <v>0</v>
      </c>
      <c r="F79" s="4">
        <f t="shared" si="2"/>
        <v>0</v>
      </c>
      <c r="G79" s="4">
        <f t="shared" si="3"/>
        <v>48.184</v>
      </c>
      <c r="H79" s="4">
        <f t="shared" si="4"/>
        <v>41.24765</v>
      </c>
      <c r="I79" s="4" t="str">
        <f t="shared" si="5"/>
        <v> </v>
      </c>
      <c r="J79" s="4">
        <v>0.0</v>
      </c>
      <c r="K79" s="4">
        <v>22.59</v>
      </c>
      <c r="L79" s="4">
        <f t="shared" si="6"/>
        <v>3</v>
      </c>
      <c r="M79" s="4">
        <f t="shared" si="7"/>
        <v>0</v>
      </c>
      <c r="N79" s="4">
        <f t="shared" si="8"/>
        <v>-9.69701</v>
      </c>
      <c r="O79" s="4">
        <f t="shared" si="9"/>
        <v>0</v>
      </c>
      <c r="P79" s="4">
        <f t="shared" si="10"/>
        <v>22.59</v>
      </c>
    </row>
    <row r="80" ht="15.75" customHeight="1">
      <c r="A80" s="4">
        <v>2007.0</v>
      </c>
      <c r="B80" s="4">
        <v>230.0</v>
      </c>
      <c r="C80" s="4">
        <v>14.57</v>
      </c>
      <c r="D80" s="4">
        <v>30.28</v>
      </c>
      <c r="E80" s="4">
        <f t="shared" si="1"/>
        <v>0</v>
      </c>
      <c r="F80" s="4">
        <f t="shared" si="2"/>
        <v>0</v>
      </c>
      <c r="G80" s="4">
        <f t="shared" si="3"/>
        <v>48.3389</v>
      </c>
      <c r="H80" s="4">
        <f t="shared" si="4"/>
        <v>44.47895</v>
      </c>
      <c r="I80" s="4" t="str">
        <f t="shared" si="5"/>
        <v> </v>
      </c>
      <c r="J80" s="4">
        <v>0.0</v>
      </c>
      <c r="K80" s="4">
        <v>22.0</v>
      </c>
      <c r="L80" s="4">
        <f t="shared" si="6"/>
        <v>3</v>
      </c>
      <c r="M80" s="4">
        <f t="shared" si="7"/>
        <v>0</v>
      </c>
      <c r="N80" s="4">
        <f t="shared" si="8"/>
        <v>-4.06188</v>
      </c>
      <c r="O80" s="4">
        <f t="shared" si="9"/>
        <v>0</v>
      </c>
      <c r="P80" s="4">
        <f t="shared" si="10"/>
        <v>22</v>
      </c>
    </row>
    <row r="81" ht="15.75" customHeight="1">
      <c r="A81" s="4">
        <v>2007.0</v>
      </c>
      <c r="B81" s="4">
        <v>231.0</v>
      </c>
      <c r="C81" s="4">
        <v>15.28</v>
      </c>
      <c r="D81" s="4">
        <v>23.7</v>
      </c>
      <c r="E81" s="4">
        <f t="shared" si="1"/>
        <v>0</v>
      </c>
      <c r="F81" s="4">
        <f t="shared" si="2"/>
        <v>0</v>
      </c>
      <c r="G81" s="4">
        <f t="shared" si="3"/>
        <v>49.0523</v>
      </c>
      <c r="H81" s="4">
        <f t="shared" si="4"/>
        <v>44.6166</v>
      </c>
      <c r="I81" s="4" t="str">
        <f t="shared" si="5"/>
        <v> </v>
      </c>
      <c r="J81" s="4">
        <v>0.0</v>
      </c>
      <c r="K81" s="4">
        <v>18.49</v>
      </c>
      <c r="L81" s="4">
        <f t="shared" si="6"/>
        <v>3</v>
      </c>
      <c r="M81" s="4">
        <f t="shared" si="7"/>
        <v>1</v>
      </c>
      <c r="N81" s="4">
        <f t="shared" si="8"/>
        <v>0.45742</v>
      </c>
      <c r="O81" s="4">
        <f t="shared" si="9"/>
        <v>0</v>
      </c>
      <c r="P81" s="4">
        <f t="shared" si="10"/>
        <v>18.49</v>
      </c>
    </row>
    <row r="82" ht="15.75" customHeight="1">
      <c r="A82" s="4">
        <v>2007.0</v>
      </c>
      <c r="B82" s="4">
        <v>232.0</v>
      </c>
      <c r="C82" s="4">
        <v>15.33</v>
      </c>
      <c r="D82" s="4">
        <v>25.86</v>
      </c>
      <c r="E82" s="4">
        <f t="shared" si="1"/>
        <v>1</v>
      </c>
      <c r="F82" s="4">
        <f t="shared" si="2"/>
        <v>0</v>
      </c>
      <c r="G82" s="4">
        <f t="shared" si="3"/>
        <v>53.65</v>
      </c>
      <c r="H82" s="4">
        <f t="shared" si="4"/>
        <v>50.4478</v>
      </c>
      <c r="I82" s="4" t="str">
        <f t="shared" si="5"/>
        <v> </v>
      </c>
      <c r="J82" s="4">
        <v>8.3</v>
      </c>
      <c r="K82" s="4">
        <v>20.01</v>
      </c>
      <c r="L82" s="4">
        <f t="shared" si="6"/>
        <v>8</v>
      </c>
      <c r="M82" s="4">
        <f t="shared" si="7"/>
        <v>0</v>
      </c>
      <c r="N82" s="4">
        <f t="shared" si="8"/>
        <v>-0.58579</v>
      </c>
      <c r="O82" s="4">
        <f t="shared" si="9"/>
        <v>8.3</v>
      </c>
      <c r="P82" s="4">
        <f t="shared" si="10"/>
        <v>20.01</v>
      </c>
    </row>
    <row r="83" ht="15.75" customHeight="1">
      <c r="A83" s="4">
        <v>2007.0</v>
      </c>
      <c r="B83" s="4">
        <v>233.0</v>
      </c>
      <c r="C83" s="4">
        <v>14.87</v>
      </c>
      <c r="D83" s="4">
        <v>33.43</v>
      </c>
      <c r="E83" s="4">
        <f t="shared" si="1"/>
        <v>0</v>
      </c>
      <c r="F83" s="4">
        <f t="shared" si="2"/>
        <v>0</v>
      </c>
      <c r="G83" s="4">
        <f t="shared" si="3"/>
        <v>52.1078</v>
      </c>
      <c r="H83" s="4">
        <f t="shared" si="4"/>
        <v>46.8409</v>
      </c>
      <c r="I83" s="4" t="str">
        <f t="shared" si="5"/>
        <v> </v>
      </c>
      <c r="J83" s="4">
        <v>0.0</v>
      </c>
      <c r="K83" s="4">
        <v>23.44</v>
      </c>
      <c r="L83" s="4">
        <f t="shared" si="6"/>
        <v>3</v>
      </c>
      <c r="M83" s="4">
        <f t="shared" si="7"/>
        <v>0</v>
      </c>
      <c r="N83" s="4">
        <f t="shared" si="8"/>
        <v>-3.4138</v>
      </c>
      <c r="O83" s="4">
        <f t="shared" si="9"/>
        <v>0</v>
      </c>
      <c r="P83" s="4">
        <f t="shared" si="10"/>
        <v>23.44</v>
      </c>
    </row>
    <row r="84" ht="15.75" customHeight="1">
      <c r="A84" s="4">
        <v>2007.0</v>
      </c>
      <c r="B84" s="4">
        <v>234.0</v>
      </c>
      <c r="C84" s="4">
        <v>17.86</v>
      </c>
      <c r="D84" s="4">
        <v>32.87</v>
      </c>
      <c r="E84" s="4">
        <f t="shared" si="1"/>
        <v>1</v>
      </c>
      <c r="F84" s="4">
        <f t="shared" si="2"/>
        <v>0</v>
      </c>
      <c r="G84" s="4">
        <f t="shared" si="3"/>
        <v>47.7763</v>
      </c>
      <c r="H84" s="4">
        <f t="shared" si="4"/>
        <v>42.97905</v>
      </c>
      <c r="I84" s="4" t="str">
        <f t="shared" si="5"/>
        <v> </v>
      </c>
      <c r="J84" s="4">
        <v>8.2</v>
      </c>
      <c r="K84" s="4">
        <v>24.44</v>
      </c>
      <c r="L84" s="4">
        <f t="shared" si="6"/>
        <v>8</v>
      </c>
      <c r="M84" s="4">
        <f t="shared" si="7"/>
        <v>0</v>
      </c>
      <c r="N84" s="4">
        <f t="shared" si="8"/>
        <v>-7.99275</v>
      </c>
      <c r="O84" s="4">
        <f t="shared" si="9"/>
        <v>8.2</v>
      </c>
      <c r="P84" s="4">
        <f t="shared" si="10"/>
        <v>24.44</v>
      </c>
    </row>
    <row r="85" ht="15.75" customHeight="1">
      <c r="A85" s="4">
        <v>2007.0</v>
      </c>
      <c r="B85" s="4">
        <v>235.0</v>
      </c>
      <c r="C85" s="4">
        <v>14.8</v>
      </c>
      <c r="D85" s="4">
        <v>33.03</v>
      </c>
      <c r="E85" s="4">
        <f t="shared" si="1"/>
        <v>0</v>
      </c>
      <c r="F85" s="4">
        <f t="shared" si="2"/>
        <v>0</v>
      </c>
      <c r="G85" s="4">
        <f t="shared" si="3"/>
        <v>38.9664</v>
      </c>
      <c r="H85" s="4">
        <f t="shared" si="4"/>
        <v>33.77595</v>
      </c>
      <c r="I85" s="4" t="str">
        <f t="shared" si="5"/>
        <v> </v>
      </c>
      <c r="J85" s="4">
        <v>0.0</v>
      </c>
      <c r="K85" s="4">
        <v>23.46</v>
      </c>
      <c r="L85" s="4">
        <f t="shared" si="6"/>
        <v>3</v>
      </c>
      <c r="M85" s="4">
        <f t="shared" si="7"/>
        <v>0</v>
      </c>
      <c r="N85" s="4">
        <f t="shared" si="8"/>
        <v>-10.17676</v>
      </c>
      <c r="O85" s="4">
        <f t="shared" si="9"/>
        <v>0</v>
      </c>
      <c r="P85" s="4">
        <f t="shared" si="10"/>
        <v>23.46</v>
      </c>
    </row>
    <row r="86" ht="15.75" customHeight="1">
      <c r="A86" s="4">
        <v>2007.0</v>
      </c>
      <c r="B86" s="4">
        <v>236.0</v>
      </c>
      <c r="C86" s="4">
        <v>15.5</v>
      </c>
      <c r="D86" s="4">
        <v>32.46</v>
      </c>
      <c r="E86" s="4">
        <f t="shared" si="1"/>
        <v>0</v>
      </c>
      <c r="F86" s="4">
        <f t="shared" si="2"/>
        <v>0</v>
      </c>
      <c r="G86" s="4">
        <f t="shared" si="3"/>
        <v>34.91621</v>
      </c>
      <c r="H86" s="4">
        <f t="shared" si="4"/>
        <v>29.23705</v>
      </c>
      <c r="I86" s="4" t="str">
        <f t="shared" si="5"/>
        <v> </v>
      </c>
      <c r="J86" s="4">
        <v>0.0</v>
      </c>
      <c r="K86" s="4">
        <v>24.22</v>
      </c>
      <c r="L86" s="4">
        <f t="shared" si="6"/>
        <v>3</v>
      </c>
      <c r="M86" s="4">
        <f t="shared" si="7"/>
        <v>0</v>
      </c>
      <c r="N86" s="4">
        <f t="shared" si="8"/>
        <v>-9.98012</v>
      </c>
      <c r="O86" s="4">
        <f t="shared" si="9"/>
        <v>0</v>
      </c>
      <c r="P86" s="4">
        <f t="shared" si="10"/>
        <v>24.22</v>
      </c>
    </row>
    <row r="87" ht="15.75" customHeight="1">
      <c r="A87" s="4">
        <v>2007.0</v>
      </c>
      <c r="B87" s="4">
        <v>237.0</v>
      </c>
      <c r="C87" s="4">
        <v>16.69</v>
      </c>
      <c r="D87" s="4">
        <v>26.76</v>
      </c>
      <c r="E87" s="4">
        <f t="shared" si="1"/>
        <v>0</v>
      </c>
      <c r="F87" s="4">
        <f t="shared" si="2"/>
        <v>0</v>
      </c>
      <c r="G87" s="4">
        <f t="shared" si="3"/>
        <v>27.62466</v>
      </c>
      <c r="H87" s="4">
        <f t="shared" si="4"/>
        <v>24.162015</v>
      </c>
      <c r="I87" s="4" t="str">
        <f t="shared" si="5"/>
        <v> </v>
      </c>
      <c r="J87" s="4">
        <v>0.0</v>
      </c>
      <c r="K87" s="4">
        <v>22.46</v>
      </c>
      <c r="L87" s="4">
        <f t="shared" si="6"/>
        <v>3</v>
      </c>
      <c r="M87" s="4">
        <f t="shared" si="7"/>
        <v>0</v>
      </c>
      <c r="N87" s="4">
        <f t="shared" si="8"/>
        <v>-6.03835</v>
      </c>
      <c r="O87" s="4">
        <f t="shared" si="9"/>
        <v>0</v>
      </c>
      <c r="P87" s="4">
        <f t="shared" si="10"/>
        <v>22.46</v>
      </c>
    </row>
    <row r="88" ht="15.75" customHeight="1">
      <c r="A88" s="4">
        <v>2007.0</v>
      </c>
      <c r="B88" s="4">
        <v>238.0</v>
      </c>
      <c r="C88" s="4">
        <v>14.33</v>
      </c>
      <c r="D88" s="4">
        <v>21.15</v>
      </c>
      <c r="E88" s="4">
        <f t="shared" si="1"/>
        <v>0</v>
      </c>
      <c r="J88" s="4">
        <v>0.0</v>
      </c>
      <c r="K88" s="4">
        <v>17.68</v>
      </c>
      <c r="L88" s="4">
        <f t="shared" si="6"/>
        <v>3</v>
      </c>
      <c r="O88" s="4">
        <f t="shared" si="9"/>
        <v>0</v>
      </c>
      <c r="P88" s="4">
        <f t="shared" si="10"/>
        <v>17.68</v>
      </c>
    </row>
    <row r="89" ht="15.75" customHeight="1">
      <c r="A89" s="4">
        <v>2007.0</v>
      </c>
      <c r="B89" s="4">
        <v>239.0</v>
      </c>
      <c r="C89" s="4">
        <v>8.74</v>
      </c>
      <c r="D89" s="4">
        <v>19.61</v>
      </c>
      <c r="E89" s="4">
        <f t="shared" si="1"/>
        <v>1</v>
      </c>
      <c r="J89" s="4">
        <v>0.1</v>
      </c>
      <c r="K89" s="4">
        <v>15.2</v>
      </c>
      <c r="L89" s="4">
        <f t="shared" si="6"/>
        <v>8</v>
      </c>
      <c r="O89" s="4">
        <f t="shared" si="9"/>
        <v>0.1</v>
      </c>
      <c r="P89" s="4">
        <f t="shared" si="10"/>
        <v>15.2</v>
      </c>
    </row>
    <row r="90" ht="15.75" customHeight="1">
      <c r="A90" s="4">
        <v>2007.0</v>
      </c>
      <c r="B90" s="4">
        <v>240.0</v>
      </c>
      <c r="C90" s="4">
        <v>5.911</v>
      </c>
      <c r="D90" s="4">
        <v>19.65</v>
      </c>
      <c r="E90" s="4">
        <f t="shared" si="1"/>
        <v>0</v>
      </c>
      <c r="J90" s="4">
        <v>0.0</v>
      </c>
      <c r="K90" s="4">
        <v>13.26</v>
      </c>
      <c r="L90" s="4">
        <f t="shared" si="6"/>
        <v>3</v>
      </c>
      <c r="O90" s="4">
        <f t="shared" si="9"/>
        <v>0</v>
      </c>
      <c r="P90" s="4">
        <f t="shared" si="10"/>
        <v>13.26</v>
      </c>
    </row>
    <row r="91" ht="15.75" customHeight="1">
      <c r="A91" s="4">
        <v>2007.0</v>
      </c>
      <c r="B91" s="4">
        <v>241.0</v>
      </c>
      <c r="C91" s="4">
        <v>7.3</v>
      </c>
      <c r="D91" s="4">
        <v>17.56</v>
      </c>
      <c r="E91" s="4">
        <f t="shared" si="1"/>
        <v>0</v>
      </c>
      <c r="J91" s="4">
        <v>0.0</v>
      </c>
      <c r="K91" s="4">
        <v>12.48</v>
      </c>
      <c r="L91" s="4">
        <f t="shared" si="6"/>
        <v>3</v>
      </c>
      <c r="O91" s="4">
        <f t="shared" si="9"/>
        <v>0</v>
      </c>
      <c r="P91" s="4">
        <f t="shared" si="10"/>
        <v>12.48</v>
      </c>
    </row>
    <row r="92" ht="15.75" customHeight="1">
      <c r="A92" s="4">
        <v>2007.0</v>
      </c>
      <c r="B92" s="4">
        <v>242.0</v>
      </c>
      <c r="C92" s="4">
        <v>6.34</v>
      </c>
      <c r="D92" s="4">
        <v>16.49</v>
      </c>
      <c r="E92" s="4">
        <f t="shared" si="1"/>
        <v>1</v>
      </c>
      <c r="J92" s="4">
        <v>0.1</v>
      </c>
      <c r="K92" s="4">
        <v>11.01</v>
      </c>
      <c r="L92" s="4">
        <f t="shared" si="6"/>
        <v>8</v>
      </c>
      <c r="O92" s="4">
        <f t="shared" si="9"/>
        <v>0.1</v>
      </c>
      <c r="P92" s="4">
        <f t="shared" si="10"/>
        <v>11.01</v>
      </c>
    </row>
    <row r="93" ht="15.75" customHeight="1">
      <c r="A93" s="4">
        <v>2007.0</v>
      </c>
      <c r="B93" s="4">
        <v>243.0</v>
      </c>
      <c r="C93" s="4">
        <v>5.873</v>
      </c>
      <c r="D93" s="4">
        <v>13.43</v>
      </c>
      <c r="E93" s="4">
        <f t="shared" si="1"/>
        <v>1</v>
      </c>
      <c r="J93" s="4">
        <v>1.8</v>
      </c>
      <c r="K93" s="4">
        <v>9.42</v>
      </c>
      <c r="L93" s="4">
        <f t="shared" si="6"/>
        <v>8</v>
      </c>
      <c r="O93" s="4">
        <f t="shared" si="9"/>
        <v>0</v>
      </c>
      <c r="P93" s="4">
        <f t="shared" si="10"/>
        <v>0</v>
      </c>
    </row>
    <row r="94" ht="15.75" customHeight="1"/>
    <row r="95" ht="15.75" customHeight="1"/>
    <row r="96" ht="15.75" customHeight="1">
      <c r="O96" s="4">
        <f>SUM(O2:O93)</f>
        <v>109.3</v>
      </c>
      <c r="P96" s="4">
        <f>SUMIF(P2:P93,"&gt;0")/10</f>
        <v>163.671</v>
      </c>
    </row>
    <row r="97" ht="15.75" customHeight="1"/>
    <row r="98" ht="15.75" customHeight="1">
      <c r="I98" s="4">
        <f>SUM(I2:I87)</f>
        <v>22.78533</v>
      </c>
      <c r="O98" s="4" t="s">
        <v>15</v>
      </c>
      <c r="P98" s="4">
        <f>O96/P96</f>
        <v>0.6678030928</v>
      </c>
    </row>
    <row r="99" ht="15.75" customHeight="1">
      <c r="I99" s="4">
        <f>SUM(I2:I31)</f>
        <v>0.32095</v>
      </c>
      <c r="O99" s="4" t="s">
        <v>16</v>
      </c>
      <c r="P99" s="4">
        <f>SUM(O2:O31)/(SUM(P2:P31)/10)</f>
        <v>0.2695041124</v>
      </c>
    </row>
    <row r="100" ht="15.75" customHeight="1">
      <c r="I100" s="4">
        <f>SUM(I32:I62)</f>
        <v>18.22768</v>
      </c>
      <c r="O100" s="4" t="s">
        <v>17</v>
      </c>
      <c r="P100" s="4">
        <f>SUM(O33:O62)/(SUM(P33:P62)/10)</f>
        <v>0.9665510268</v>
      </c>
    </row>
    <row r="101" ht="15.75" customHeight="1">
      <c r="I101" s="4">
        <f>SUM(I63:I93)</f>
        <v>4.2367</v>
      </c>
      <c r="O101" s="4" t="s">
        <v>18</v>
      </c>
      <c r="P101" s="4">
        <f>SUM(O63:O93)/(SUM(P63:P93)/10)</f>
        <v>0.7430650139</v>
      </c>
    </row>
    <row r="102" ht="15.75" customHeight="1">
      <c r="I102" s="4">
        <f>SUMIF(I2:I87,"&gt;0")</f>
        <v>22.78533</v>
      </c>
    </row>
    <row r="103" ht="15.75" customHeight="1">
      <c r="I103" s="4">
        <f>SUMIF(I2:I31,"&gt;0")</f>
        <v>0.32095</v>
      </c>
    </row>
    <row r="104" ht="15.75" customHeight="1">
      <c r="I104" s="4">
        <f>SUMIF(I32:I62,"&gt;0")</f>
        <v>18.22768</v>
      </c>
      <c r="P104" s="4">
        <f>SUM(O16:O35)/(SUM(P16:P35)/10)</f>
        <v>0.5339791661</v>
      </c>
    </row>
    <row r="105" ht="15.75" customHeight="1">
      <c r="I105" s="4">
        <f>SUMIF(I63:I87,"&gt;0")</f>
        <v>4.2367</v>
      </c>
      <c r="P105" s="4">
        <f>SUM(O36:O55)/(SUM(P36:P55)/10)</f>
        <v>0.7886435331</v>
      </c>
    </row>
    <row r="106" ht="15.75" customHeight="1">
      <c r="P106" s="4">
        <f>SUM(O56:O77)/(SUM(P56:P77)/10)</f>
        <v>1.075373461</v>
      </c>
    </row>
    <row r="107" ht="15.75" customHeight="1">
      <c r="P107" s="4">
        <f>SUM(O16:O77)/(SUM(P16:P77)/10)</f>
        <v>0.8159079763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2008.0</v>
      </c>
      <c r="B2" s="9">
        <v>153.0</v>
      </c>
      <c r="C2" s="4">
        <v>3.849</v>
      </c>
      <c r="D2" s="4">
        <v>14.77</v>
      </c>
      <c r="E2" s="4">
        <f t="shared" ref="E2:E93" si="1">IF(J2&gt;0,1,0)</f>
        <v>0</v>
      </c>
      <c r="F2" s="4">
        <f t="shared" ref="F2:F87" si="2">IF(H2&gt;G2,1,0)</f>
        <v>1</v>
      </c>
      <c r="G2" s="4">
        <f t="shared" ref="G2:G87" si="3"> 0.75 * D2 + 0.41 * D3 + 0.41 * D4 + 0.27 * D5 + 0.74 *D6 + 0.3 *C2 - 0.07 * C3 - 0.16 * C4 + 0.06 * C5 + 0.01 * C6 + 2.88 * E2 + 1.98 * E3 + 1.98 * E4 + 1.79 * E5 + 0.53 * E6-32.47</f>
        <v>16.25338</v>
      </c>
      <c r="H2" s="4">
        <f t="shared" ref="H2:H87" si="4">0.63 * D2 + 0.37 * D3 + 0.49 * D4 + 0.22 * D5 + 0.65 * D6 + 0.24 *C2 - 0.06 * C3- 0.15 * C4 - 0.135 * C5 + 0.15 * C6 + 4.88 * E2 + 3.55 * E3 + 3.34 *E4 + 2.5 * E5 + 2.29 *E6-31.34</f>
        <v>16.65135</v>
      </c>
      <c r="I2" s="4">
        <f t="shared" ref="I2:I87" si="5">IF((H2-G2)&gt;0,H2-G2," ")</f>
        <v>0.39797</v>
      </c>
      <c r="J2" s="4">
        <v>0.0</v>
      </c>
      <c r="K2" s="4">
        <v>18.1</v>
      </c>
      <c r="L2" s="4">
        <f t="shared" ref="L2:L93" si="6">IF(E2&gt;0,8,3)</f>
        <v>3</v>
      </c>
      <c r="M2" s="4">
        <f t="shared" ref="M2:M87" si="7">IF(N2&gt;=0,1,0)</f>
        <v>0</v>
      </c>
      <c r="N2" s="4">
        <f t="shared" ref="N2:N87" si="8">-0.216*D2-0.191*D3-0.119*D4+0.004*C2-0.171*C3+0.628*C4-0.479*L2+0.513*L3+0.046*L4+5.947*E2+6.699*E3+4.328*E4-1.788</f>
        <v>-0.41603</v>
      </c>
      <c r="O2" s="4">
        <f t="shared" ref="O2:O93" si="9">IF(K2&gt;10,J2,0)</f>
        <v>0</v>
      </c>
      <c r="P2" s="4">
        <f t="shared" ref="P2:P93" si="10">IF(K2&gt;10,K2,0)</f>
        <v>18.1</v>
      </c>
    </row>
    <row r="3">
      <c r="A3" s="4">
        <v>2008.0</v>
      </c>
      <c r="B3" s="9">
        <v>154.0</v>
      </c>
      <c r="C3" s="4">
        <v>2.476</v>
      </c>
      <c r="D3" s="4">
        <v>19.05</v>
      </c>
      <c r="E3" s="4">
        <f t="shared" si="1"/>
        <v>0</v>
      </c>
      <c r="F3" s="4">
        <f t="shared" si="2"/>
        <v>0</v>
      </c>
      <c r="G3" s="4">
        <f t="shared" si="3"/>
        <v>22.46009</v>
      </c>
      <c r="H3" s="4">
        <f t="shared" si="4"/>
        <v>22.08629</v>
      </c>
      <c r="I3" s="4" t="str">
        <f t="shared" si="5"/>
        <v> </v>
      </c>
      <c r="J3" s="4">
        <v>0.0</v>
      </c>
      <c r="K3" s="4">
        <v>11.934375000000001</v>
      </c>
      <c r="L3" s="4">
        <f t="shared" si="6"/>
        <v>3</v>
      </c>
      <c r="M3" s="4">
        <f t="shared" si="7"/>
        <v>1</v>
      </c>
      <c r="N3" s="4">
        <f t="shared" si="8"/>
        <v>7.322014</v>
      </c>
      <c r="O3" s="4">
        <f t="shared" si="9"/>
        <v>0</v>
      </c>
      <c r="P3" s="4">
        <f t="shared" si="10"/>
        <v>11.934375</v>
      </c>
    </row>
    <row r="4">
      <c r="A4" s="4">
        <v>2008.0</v>
      </c>
      <c r="B4" s="9">
        <v>155.0</v>
      </c>
      <c r="C4" s="4">
        <v>9.57</v>
      </c>
      <c r="D4" s="4">
        <v>18.48</v>
      </c>
      <c r="E4" s="4">
        <f t="shared" si="1"/>
        <v>1</v>
      </c>
      <c r="F4" s="4">
        <f t="shared" si="2"/>
        <v>1</v>
      </c>
      <c r="G4" s="4">
        <f t="shared" si="3"/>
        <v>21.48341</v>
      </c>
      <c r="H4" s="4">
        <f t="shared" si="4"/>
        <v>22.859235</v>
      </c>
      <c r="I4" s="4">
        <f t="shared" si="5"/>
        <v>1.375825</v>
      </c>
      <c r="J4" s="4">
        <v>11.6</v>
      </c>
      <c r="K4" s="4">
        <v>12.052916666666668</v>
      </c>
      <c r="L4" s="4">
        <f t="shared" si="6"/>
        <v>8</v>
      </c>
      <c r="M4" s="4">
        <f t="shared" si="7"/>
        <v>1</v>
      </c>
      <c r="N4" s="4">
        <f t="shared" si="8"/>
        <v>9.47669</v>
      </c>
      <c r="O4" s="4">
        <f t="shared" si="9"/>
        <v>11.6</v>
      </c>
      <c r="P4" s="4">
        <f t="shared" si="10"/>
        <v>12.05291667</v>
      </c>
    </row>
    <row r="5">
      <c r="A5" s="4">
        <v>2008.0</v>
      </c>
      <c r="B5" s="9">
        <v>156.0</v>
      </c>
      <c r="C5" s="4">
        <v>10.33</v>
      </c>
      <c r="D5" s="4">
        <v>18.22</v>
      </c>
      <c r="E5" s="4">
        <f t="shared" si="1"/>
        <v>1</v>
      </c>
      <c r="F5" s="4">
        <f t="shared" si="2"/>
        <v>0</v>
      </c>
      <c r="G5" s="4">
        <f t="shared" si="3"/>
        <v>18.97769</v>
      </c>
      <c r="H5" s="4">
        <f t="shared" si="4"/>
        <v>18.960055</v>
      </c>
      <c r="I5" s="4" t="str">
        <f t="shared" si="5"/>
        <v> </v>
      </c>
      <c r="J5" s="4">
        <v>8.9</v>
      </c>
      <c r="K5" s="4">
        <v>12.929166666666667</v>
      </c>
      <c r="L5" s="4">
        <f t="shared" si="6"/>
        <v>8</v>
      </c>
      <c r="M5" s="4">
        <f t="shared" si="7"/>
        <v>1</v>
      </c>
      <c r="N5" s="4">
        <f t="shared" si="8"/>
        <v>3.435082</v>
      </c>
      <c r="O5" s="4">
        <f t="shared" si="9"/>
        <v>8.9</v>
      </c>
      <c r="P5" s="4">
        <f t="shared" si="10"/>
        <v>12.92916667</v>
      </c>
    </row>
    <row r="6">
      <c r="A6" s="4">
        <v>2008.0</v>
      </c>
      <c r="B6" s="9">
        <v>157.0</v>
      </c>
      <c r="C6" s="4">
        <v>7.84</v>
      </c>
      <c r="D6" s="4">
        <v>17.42</v>
      </c>
      <c r="E6" s="4">
        <f t="shared" si="1"/>
        <v>1</v>
      </c>
      <c r="F6" s="4">
        <f t="shared" si="2"/>
        <v>0</v>
      </c>
      <c r="G6" s="4">
        <f t="shared" si="3"/>
        <v>20.63456</v>
      </c>
      <c r="H6" s="4">
        <f t="shared" si="4"/>
        <v>19.669775</v>
      </c>
      <c r="I6" s="4" t="str">
        <f t="shared" si="5"/>
        <v> </v>
      </c>
      <c r="J6" s="4">
        <v>0.1</v>
      </c>
      <c r="K6" s="4">
        <v>13.288333333333334</v>
      </c>
      <c r="L6" s="4">
        <f t="shared" si="6"/>
        <v>8</v>
      </c>
      <c r="M6" s="4">
        <f t="shared" si="7"/>
        <v>0</v>
      </c>
      <c r="N6" s="4">
        <f t="shared" si="8"/>
        <v>-5.138303</v>
      </c>
      <c r="O6" s="4">
        <f t="shared" si="9"/>
        <v>0.1</v>
      </c>
      <c r="P6" s="4">
        <f t="shared" si="10"/>
        <v>13.28833333</v>
      </c>
    </row>
    <row r="7">
      <c r="A7" s="4">
        <v>2008.0</v>
      </c>
      <c r="B7" s="9">
        <v>158.0</v>
      </c>
      <c r="C7" s="4">
        <v>5.309</v>
      </c>
      <c r="D7" s="4">
        <v>21.89</v>
      </c>
      <c r="E7" s="4">
        <f t="shared" si="1"/>
        <v>0</v>
      </c>
      <c r="F7" s="4">
        <f t="shared" si="2"/>
        <v>0</v>
      </c>
      <c r="G7" s="4">
        <f t="shared" si="3"/>
        <v>18.66365</v>
      </c>
      <c r="H7" s="4">
        <f t="shared" si="4"/>
        <v>16.418215</v>
      </c>
      <c r="I7" s="4" t="str">
        <f t="shared" si="5"/>
        <v> </v>
      </c>
      <c r="J7" s="4">
        <v>0.0</v>
      </c>
      <c r="K7" s="4">
        <v>14.426083333333336</v>
      </c>
      <c r="L7" s="4">
        <f t="shared" si="6"/>
        <v>3</v>
      </c>
      <c r="M7" s="4">
        <f t="shared" si="7"/>
        <v>0</v>
      </c>
      <c r="N7" s="4">
        <f t="shared" si="8"/>
        <v>-11.615983</v>
      </c>
      <c r="O7" s="4">
        <f t="shared" si="9"/>
        <v>0</v>
      </c>
      <c r="P7" s="4">
        <f t="shared" si="10"/>
        <v>14.42608333</v>
      </c>
    </row>
    <row r="8">
      <c r="A8" s="4">
        <v>2008.0</v>
      </c>
      <c r="B8" s="9">
        <v>159.0</v>
      </c>
      <c r="C8" s="4">
        <v>5.607</v>
      </c>
      <c r="D8" s="4">
        <v>15.49</v>
      </c>
      <c r="E8" s="4">
        <f t="shared" si="1"/>
        <v>0</v>
      </c>
      <c r="F8" s="4">
        <f t="shared" si="2"/>
        <v>0</v>
      </c>
      <c r="G8" s="4">
        <f t="shared" si="3"/>
        <v>21.11713</v>
      </c>
      <c r="H8" s="4">
        <f t="shared" si="4"/>
        <v>18.30367</v>
      </c>
      <c r="I8" s="4" t="str">
        <f t="shared" si="5"/>
        <v> </v>
      </c>
      <c r="J8" s="4">
        <v>0.0</v>
      </c>
      <c r="K8" s="4">
        <v>11.759416666666668</v>
      </c>
      <c r="L8" s="4">
        <f t="shared" si="6"/>
        <v>3</v>
      </c>
      <c r="M8" s="4">
        <f t="shared" si="7"/>
        <v>0</v>
      </c>
      <c r="N8" s="4">
        <f t="shared" si="8"/>
        <v>-6.642023</v>
      </c>
      <c r="O8" s="4">
        <f t="shared" si="9"/>
        <v>0</v>
      </c>
      <c r="P8" s="4">
        <f t="shared" si="10"/>
        <v>11.75941667</v>
      </c>
    </row>
    <row r="9">
      <c r="A9" s="4">
        <v>2008.0</v>
      </c>
      <c r="B9" s="9">
        <v>160.0</v>
      </c>
      <c r="C9" s="4">
        <v>0.411</v>
      </c>
      <c r="D9" s="4">
        <v>14.3</v>
      </c>
      <c r="E9" s="4">
        <f t="shared" si="1"/>
        <v>0</v>
      </c>
      <c r="F9" s="4">
        <f t="shared" si="2"/>
        <v>0</v>
      </c>
      <c r="G9" s="4">
        <f t="shared" si="3"/>
        <v>20.39265</v>
      </c>
      <c r="H9" s="4">
        <f t="shared" si="4"/>
        <v>20.33199</v>
      </c>
      <c r="I9" s="4" t="str">
        <f t="shared" si="5"/>
        <v> </v>
      </c>
      <c r="J9" s="4">
        <v>0.0</v>
      </c>
      <c r="K9" s="4">
        <v>8.2735</v>
      </c>
      <c r="L9" s="4">
        <f t="shared" si="6"/>
        <v>3</v>
      </c>
      <c r="M9" s="4">
        <f t="shared" si="7"/>
        <v>0</v>
      </c>
      <c r="N9" s="4">
        <f t="shared" si="8"/>
        <v>-2.097611</v>
      </c>
      <c r="O9" s="4">
        <f t="shared" si="9"/>
        <v>0</v>
      </c>
      <c r="P9" s="4">
        <f t="shared" si="10"/>
        <v>0</v>
      </c>
    </row>
    <row r="10">
      <c r="A10" s="4">
        <v>2008.0</v>
      </c>
      <c r="B10" s="9">
        <v>161.0</v>
      </c>
      <c r="C10" s="4">
        <v>5.945</v>
      </c>
      <c r="D10" s="4">
        <v>22.71</v>
      </c>
      <c r="E10" s="4">
        <f t="shared" si="1"/>
        <v>0</v>
      </c>
      <c r="F10" s="4">
        <f t="shared" si="2"/>
        <v>0</v>
      </c>
      <c r="G10" s="4">
        <f t="shared" si="3"/>
        <v>30.6679</v>
      </c>
      <c r="H10" s="4">
        <f t="shared" si="4"/>
        <v>28.6801</v>
      </c>
      <c r="I10" s="4" t="str">
        <f t="shared" si="5"/>
        <v> </v>
      </c>
      <c r="J10" s="4">
        <v>0.0</v>
      </c>
      <c r="K10" s="4">
        <v>15.120791666666664</v>
      </c>
      <c r="L10" s="4">
        <f t="shared" si="6"/>
        <v>3</v>
      </c>
      <c r="M10" s="4">
        <f t="shared" si="7"/>
        <v>0</v>
      </c>
      <c r="N10" s="4">
        <f t="shared" si="8"/>
        <v>-0.00546</v>
      </c>
      <c r="O10" s="4">
        <f t="shared" si="9"/>
        <v>0</v>
      </c>
      <c r="P10" s="4">
        <f t="shared" si="10"/>
        <v>15.12079167</v>
      </c>
    </row>
    <row r="11">
      <c r="A11" s="4">
        <v>2008.0</v>
      </c>
      <c r="B11" s="9">
        <v>162.0</v>
      </c>
      <c r="C11" s="4">
        <v>8.96</v>
      </c>
      <c r="D11" s="4">
        <v>19.27</v>
      </c>
      <c r="E11" s="4">
        <f t="shared" si="1"/>
        <v>1</v>
      </c>
      <c r="F11" s="4">
        <f t="shared" si="2"/>
        <v>0</v>
      </c>
      <c r="G11" s="4">
        <f t="shared" si="3"/>
        <v>31.8103</v>
      </c>
      <c r="H11" s="4">
        <f t="shared" si="4"/>
        <v>30.0283</v>
      </c>
      <c r="I11" s="4" t="str">
        <f t="shared" si="5"/>
        <v> </v>
      </c>
      <c r="J11" s="4">
        <v>0.3</v>
      </c>
      <c r="K11" s="4">
        <v>13.417083333333336</v>
      </c>
      <c r="L11" s="4">
        <f t="shared" si="6"/>
        <v>8</v>
      </c>
      <c r="M11" s="4">
        <f t="shared" si="7"/>
        <v>1</v>
      </c>
      <c r="N11" s="4">
        <f t="shared" si="8"/>
        <v>0.67251</v>
      </c>
      <c r="O11" s="4">
        <f t="shared" si="9"/>
        <v>0.3</v>
      </c>
      <c r="P11" s="4">
        <f t="shared" si="10"/>
        <v>13.41708333</v>
      </c>
    </row>
    <row r="12">
      <c r="A12" s="4">
        <v>2008.0</v>
      </c>
      <c r="B12" s="9">
        <v>163.0</v>
      </c>
      <c r="C12" s="4">
        <v>8.51</v>
      </c>
      <c r="D12" s="4">
        <v>24.97</v>
      </c>
      <c r="E12" s="4">
        <f t="shared" si="1"/>
        <v>0</v>
      </c>
      <c r="F12" s="4">
        <f t="shared" si="2"/>
        <v>0</v>
      </c>
      <c r="G12" s="4">
        <f t="shared" si="3"/>
        <v>32.654</v>
      </c>
      <c r="H12" s="4">
        <f t="shared" si="4"/>
        <v>31.6053</v>
      </c>
      <c r="I12" s="4" t="str">
        <f t="shared" si="5"/>
        <v> </v>
      </c>
      <c r="J12" s="4">
        <v>0.0</v>
      </c>
      <c r="K12" s="4">
        <v>13.0</v>
      </c>
      <c r="L12" s="4">
        <f t="shared" si="6"/>
        <v>3</v>
      </c>
      <c r="M12" s="4">
        <f t="shared" si="7"/>
        <v>1</v>
      </c>
      <c r="N12" s="4">
        <f t="shared" si="8"/>
        <v>1.18036</v>
      </c>
      <c r="O12" s="4">
        <f t="shared" si="9"/>
        <v>0</v>
      </c>
      <c r="P12" s="4">
        <f t="shared" si="10"/>
        <v>13</v>
      </c>
    </row>
    <row r="13">
      <c r="A13" s="4">
        <v>2008.0</v>
      </c>
      <c r="B13" s="9">
        <v>164.0</v>
      </c>
      <c r="C13" s="4">
        <v>11.4</v>
      </c>
      <c r="D13" s="4">
        <v>22.67</v>
      </c>
      <c r="E13" s="4">
        <f t="shared" si="1"/>
        <v>1</v>
      </c>
      <c r="F13" s="4">
        <f t="shared" si="2"/>
        <v>0</v>
      </c>
      <c r="G13" s="4">
        <f t="shared" si="3"/>
        <v>33.7163</v>
      </c>
      <c r="H13" s="4">
        <f t="shared" si="4"/>
        <v>31.01375</v>
      </c>
      <c r="I13" s="4" t="str">
        <f t="shared" si="5"/>
        <v> </v>
      </c>
      <c r="J13" s="4">
        <v>0.2</v>
      </c>
      <c r="K13" s="4">
        <v>17.258333333333336</v>
      </c>
      <c r="L13" s="4">
        <f t="shared" si="6"/>
        <v>8</v>
      </c>
      <c r="M13" s="4">
        <f t="shared" si="7"/>
        <v>0</v>
      </c>
      <c r="N13" s="4">
        <f t="shared" si="8"/>
        <v>-6.19115</v>
      </c>
      <c r="O13" s="4">
        <f t="shared" si="9"/>
        <v>0.2</v>
      </c>
      <c r="P13" s="4">
        <f t="shared" si="10"/>
        <v>17.25833333</v>
      </c>
    </row>
    <row r="14">
      <c r="A14" s="4">
        <v>2008.0</v>
      </c>
      <c r="B14" s="9">
        <v>165.0</v>
      </c>
      <c r="C14" s="4">
        <v>12.6</v>
      </c>
      <c r="D14" s="4">
        <v>23.61</v>
      </c>
      <c r="E14" s="4">
        <f t="shared" si="1"/>
        <v>0</v>
      </c>
      <c r="F14" s="4">
        <f t="shared" si="2"/>
        <v>0</v>
      </c>
      <c r="G14" s="4">
        <f t="shared" si="3"/>
        <v>31.4253</v>
      </c>
      <c r="H14" s="4">
        <f t="shared" si="4"/>
        <v>29.6152</v>
      </c>
      <c r="I14" s="4" t="str">
        <f t="shared" si="5"/>
        <v> </v>
      </c>
      <c r="J14" s="4">
        <v>0.0</v>
      </c>
      <c r="K14" s="4">
        <v>17.32166666666667</v>
      </c>
      <c r="L14" s="4">
        <f t="shared" si="6"/>
        <v>3</v>
      </c>
      <c r="M14" s="4">
        <f t="shared" si="7"/>
        <v>0</v>
      </c>
      <c r="N14" s="4">
        <f t="shared" si="8"/>
        <v>-1.85887</v>
      </c>
      <c r="O14" s="4">
        <f t="shared" si="9"/>
        <v>0</v>
      </c>
      <c r="P14" s="4">
        <f t="shared" si="10"/>
        <v>17.32166667</v>
      </c>
    </row>
    <row r="15">
      <c r="A15" s="4">
        <v>2008.0</v>
      </c>
      <c r="B15" s="9">
        <v>166.0</v>
      </c>
      <c r="C15" s="4">
        <v>9.88</v>
      </c>
      <c r="D15" s="4">
        <v>24.24</v>
      </c>
      <c r="E15" s="4">
        <f t="shared" si="1"/>
        <v>0</v>
      </c>
      <c r="F15" s="4">
        <f t="shared" si="2"/>
        <v>0</v>
      </c>
      <c r="G15" s="4">
        <f t="shared" si="3"/>
        <v>32.2243</v>
      </c>
      <c r="H15" s="4">
        <f t="shared" si="4"/>
        <v>30.6496</v>
      </c>
      <c r="I15" s="4" t="str">
        <f t="shared" si="5"/>
        <v> </v>
      </c>
      <c r="J15" s="4">
        <v>0.0</v>
      </c>
      <c r="K15" s="4">
        <v>18.381250000000005</v>
      </c>
      <c r="L15" s="4">
        <f t="shared" si="6"/>
        <v>3</v>
      </c>
      <c r="M15" s="4">
        <f t="shared" si="7"/>
        <v>1</v>
      </c>
      <c r="N15" s="4">
        <f t="shared" si="8"/>
        <v>0.58945</v>
      </c>
      <c r="O15" s="4">
        <f t="shared" si="9"/>
        <v>0</v>
      </c>
      <c r="P15" s="4">
        <f t="shared" si="10"/>
        <v>18.38125</v>
      </c>
    </row>
    <row r="16">
      <c r="A16" s="4">
        <v>2008.0</v>
      </c>
      <c r="B16" s="9">
        <v>167.0</v>
      </c>
      <c r="C16" s="4">
        <v>14.93</v>
      </c>
      <c r="D16" s="4">
        <v>24.17</v>
      </c>
      <c r="E16" s="4">
        <f t="shared" si="1"/>
        <v>1</v>
      </c>
      <c r="F16" s="4">
        <f t="shared" si="2"/>
        <v>0</v>
      </c>
      <c r="G16" s="4">
        <f t="shared" si="3"/>
        <v>34.7729</v>
      </c>
      <c r="H16" s="4">
        <f t="shared" si="4"/>
        <v>33.3564</v>
      </c>
      <c r="I16" s="4" t="str">
        <f t="shared" si="5"/>
        <v> </v>
      </c>
      <c r="J16" s="4">
        <v>11.3</v>
      </c>
      <c r="K16" s="4">
        <v>18.895416666666666</v>
      </c>
      <c r="L16" s="4">
        <f t="shared" si="6"/>
        <v>8</v>
      </c>
      <c r="M16" s="4">
        <f t="shared" si="7"/>
        <v>1</v>
      </c>
      <c r="N16" s="4">
        <f t="shared" si="8"/>
        <v>0.69999</v>
      </c>
      <c r="O16" s="4">
        <f t="shared" si="9"/>
        <v>11.3</v>
      </c>
      <c r="P16" s="4">
        <f t="shared" si="10"/>
        <v>18.89541667</v>
      </c>
    </row>
    <row r="17">
      <c r="A17" s="4">
        <v>2008.0</v>
      </c>
      <c r="B17" s="9">
        <v>168.0</v>
      </c>
      <c r="C17" s="4">
        <v>12.54</v>
      </c>
      <c r="D17" s="4">
        <v>22.15</v>
      </c>
      <c r="E17" s="4">
        <f t="shared" si="1"/>
        <v>0</v>
      </c>
      <c r="F17" s="4">
        <f t="shared" si="2"/>
        <v>0</v>
      </c>
      <c r="G17" s="4">
        <f t="shared" si="3"/>
        <v>31.6604</v>
      </c>
      <c r="H17" s="4">
        <f t="shared" si="4"/>
        <v>29.81075</v>
      </c>
      <c r="I17" s="4" t="str">
        <f t="shared" si="5"/>
        <v> </v>
      </c>
      <c r="J17" s="4">
        <v>0.0</v>
      </c>
      <c r="K17" s="4">
        <v>16.935416666666665</v>
      </c>
      <c r="L17" s="4">
        <f t="shared" si="6"/>
        <v>3</v>
      </c>
      <c r="M17" s="4">
        <f t="shared" si="7"/>
        <v>1</v>
      </c>
      <c r="N17" s="4">
        <f t="shared" si="8"/>
        <v>4.5121</v>
      </c>
      <c r="O17" s="4">
        <f t="shared" si="9"/>
        <v>0</v>
      </c>
      <c r="P17" s="4">
        <f t="shared" si="10"/>
        <v>16.93541667</v>
      </c>
    </row>
    <row r="18">
      <c r="A18" s="4">
        <v>2008.0</v>
      </c>
      <c r="B18" s="9">
        <v>169.0</v>
      </c>
      <c r="C18" s="4">
        <v>13.2</v>
      </c>
      <c r="D18" s="4">
        <v>21.98</v>
      </c>
      <c r="E18" s="4">
        <f t="shared" si="1"/>
        <v>1</v>
      </c>
      <c r="F18" s="4">
        <f t="shared" si="2"/>
        <v>0</v>
      </c>
      <c r="G18" s="4">
        <f t="shared" si="3"/>
        <v>34.4484</v>
      </c>
      <c r="H18" s="4">
        <f t="shared" si="4"/>
        <v>33.3214</v>
      </c>
      <c r="I18" s="4" t="str">
        <f t="shared" si="5"/>
        <v> </v>
      </c>
      <c r="J18" s="4">
        <v>3.3</v>
      </c>
      <c r="K18" s="4">
        <v>17.244583333333335</v>
      </c>
      <c r="L18" s="4">
        <f t="shared" si="6"/>
        <v>8</v>
      </c>
      <c r="M18" s="4">
        <f t="shared" si="7"/>
        <v>1</v>
      </c>
      <c r="N18" s="4">
        <f t="shared" si="8"/>
        <v>2.64575</v>
      </c>
      <c r="O18" s="4">
        <f t="shared" si="9"/>
        <v>3.3</v>
      </c>
      <c r="P18" s="4">
        <f t="shared" si="10"/>
        <v>17.24458333</v>
      </c>
    </row>
    <row r="19">
      <c r="A19" s="4">
        <v>2008.0</v>
      </c>
      <c r="B19" s="9">
        <v>170.0</v>
      </c>
      <c r="C19" s="4">
        <v>9.68</v>
      </c>
      <c r="D19" s="4">
        <v>22.28</v>
      </c>
      <c r="E19" s="4">
        <f t="shared" si="1"/>
        <v>1</v>
      </c>
      <c r="F19" s="4">
        <f t="shared" si="2"/>
        <v>0</v>
      </c>
      <c r="G19" s="4">
        <f t="shared" si="3"/>
        <v>26.7329</v>
      </c>
      <c r="H19" s="4">
        <f t="shared" si="4"/>
        <v>26.4738</v>
      </c>
      <c r="I19" s="4" t="str">
        <f t="shared" si="5"/>
        <v> </v>
      </c>
      <c r="J19" s="4">
        <v>2.4</v>
      </c>
      <c r="K19" s="4">
        <v>15.718749999999995</v>
      </c>
      <c r="L19" s="4">
        <f t="shared" si="6"/>
        <v>8</v>
      </c>
      <c r="M19" s="4">
        <f t="shared" si="7"/>
        <v>0</v>
      </c>
      <c r="N19" s="4">
        <f t="shared" si="8"/>
        <v>-6.37755</v>
      </c>
      <c r="O19" s="4">
        <f t="shared" si="9"/>
        <v>2.4</v>
      </c>
      <c r="P19" s="4">
        <f t="shared" si="10"/>
        <v>15.71875</v>
      </c>
    </row>
    <row r="20">
      <c r="A20" s="4">
        <v>2008.0</v>
      </c>
      <c r="B20" s="9">
        <v>171.0</v>
      </c>
      <c r="C20" s="4">
        <v>7.31</v>
      </c>
      <c r="D20" s="4">
        <v>21.91</v>
      </c>
      <c r="E20" s="4">
        <f t="shared" si="1"/>
        <v>0</v>
      </c>
      <c r="F20" s="4">
        <f t="shared" si="2"/>
        <v>0</v>
      </c>
      <c r="G20" s="4">
        <f t="shared" si="3"/>
        <v>26.8376</v>
      </c>
      <c r="H20" s="4">
        <f t="shared" si="4"/>
        <v>23.2076</v>
      </c>
      <c r="I20" s="4" t="str">
        <f t="shared" si="5"/>
        <v> </v>
      </c>
      <c r="J20" s="4">
        <v>0.0</v>
      </c>
      <c r="K20" s="4">
        <v>15.670000000000002</v>
      </c>
      <c r="L20" s="4">
        <f t="shared" si="6"/>
        <v>3</v>
      </c>
      <c r="M20" s="4">
        <f t="shared" si="7"/>
        <v>0</v>
      </c>
      <c r="N20" s="4">
        <f t="shared" si="8"/>
        <v>-8.54567</v>
      </c>
      <c r="O20" s="4">
        <f t="shared" si="9"/>
        <v>0</v>
      </c>
      <c r="P20" s="4">
        <f t="shared" si="10"/>
        <v>15.67</v>
      </c>
    </row>
    <row r="21" ht="15.75" customHeight="1">
      <c r="A21" s="4">
        <v>2008.0</v>
      </c>
      <c r="B21" s="9">
        <v>172.0</v>
      </c>
      <c r="C21" s="4">
        <v>7.44</v>
      </c>
      <c r="D21" s="4">
        <v>23.91</v>
      </c>
      <c r="E21" s="4">
        <f t="shared" si="1"/>
        <v>0</v>
      </c>
      <c r="F21" s="4">
        <f t="shared" si="2"/>
        <v>0</v>
      </c>
      <c r="G21" s="4">
        <f t="shared" si="3"/>
        <v>26.3609</v>
      </c>
      <c r="H21" s="4">
        <f t="shared" si="4"/>
        <v>23.92225</v>
      </c>
      <c r="I21" s="4" t="str">
        <f t="shared" si="5"/>
        <v> </v>
      </c>
      <c r="J21" s="4">
        <v>0.0</v>
      </c>
      <c r="K21" s="4">
        <v>16.482499999999998</v>
      </c>
      <c r="L21" s="4">
        <f t="shared" si="6"/>
        <v>3</v>
      </c>
      <c r="M21" s="4">
        <f t="shared" si="7"/>
        <v>0</v>
      </c>
      <c r="N21" s="4">
        <f t="shared" si="8"/>
        <v>-3.34335</v>
      </c>
      <c r="O21" s="4">
        <f t="shared" si="9"/>
        <v>0</v>
      </c>
      <c r="P21" s="4">
        <f t="shared" si="10"/>
        <v>16.4825</v>
      </c>
    </row>
    <row r="22" ht="15.75" customHeight="1">
      <c r="A22" s="4">
        <v>2008.0</v>
      </c>
      <c r="B22" s="9">
        <v>173.0</v>
      </c>
      <c r="C22" s="4">
        <v>10.34</v>
      </c>
      <c r="D22" s="4">
        <v>24.78</v>
      </c>
      <c r="E22" s="4">
        <f t="shared" si="1"/>
        <v>0</v>
      </c>
      <c r="F22" s="4">
        <f t="shared" si="2"/>
        <v>1</v>
      </c>
      <c r="G22" s="4">
        <f t="shared" si="3"/>
        <v>25.3679</v>
      </c>
      <c r="H22" s="4">
        <f t="shared" si="4"/>
        <v>25.6662</v>
      </c>
      <c r="I22" s="4">
        <f t="shared" si="5"/>
        <v>0.2983</v>
      </c>
      <c r="J22" s="4">
        <v>0.0</v>
      </c>
      <c r="K22" s="4">
        <v>18.26833333333333</v>
      </c>
      <c r="L22" s="4">
        <f t="shared" si="6"/>
        <v>3</v>
      </c>
      <c r="M22" s="4">
        <f t="shared" si="7"/>
        <v>1</v>
      </c>
      <c r="N22" s="4">
        <f t="shared" si="8"/>
        <v>0.9578</v>
      </c>
      <c r="O22" s="4">
        <f t="shared" si="9"/>
        <v>0</v>
      </c>
      <c r="P22" s="4">
        <f t="shared" si="10"/>
        <v>18.26833333</v>
      </c>
    </row>
    <row r="23" ht="15.75" customHeight="1">
      <c r="A23" s="4">
        <v>2008.0</v>
      </c>
      <c r="B23" s="9">
        <v>174.0</v>
      </c>
      <c r="C23" s="4">
        <v>11.4</v>
      </c>
      <c r="D23" s="4">
        <v>15.77</v>
      </c>
      <c r="E23" s="4">
        <f t="shared" si="1"/>
        <v>1</v>
      </c>
      <c r="F23" s="4">
        <f t="shared" si="2"/>
        <v>1</v>
      </c>
      <c r="G23" s="4">
        <f t="shared" si="3"/>
        <v>24.6132</v>
      </c>
      <c r="H23" s="4">
        <f t="shared" si="4"/>
        <v>24.9556</v>
      </c>
      <c r="I23" s="4">
        <f t="shared" si="5"/>
        <v>0.3424</v>
      </c>
      <c r="J23" s="4">
        <v>0.4</v>
      </c>
      <c r="K23" s="4">
        <v>14.154166666666667</v>
      </c>
      <c r="L23" s="4">
        <f t="shared" si="6"/>
        <v>8</v>
      </c>
      <c r="M23" s="4">
        <f t="shared" si="7"/>
        <v>0</v>
      </c>
      <c r="N23" s="4">
        <f t="shared" si="8"/>
        <v>-0.57415</v>
      </c>
      <c r="O23" s="4">
        <f t="shared" si="9"/>
        <v>0.4</v>
      </c>
      <c r="P23" s="4">
        <f t="shared" si="10"/>
        <v>14.15416667</v>
      </c>
    </row>
    <row r="24" ht="15.75" customHeight="1">
      <c r="A24" s="4">
        <v>2008.0</v>
      </c>
      <c r="B24" s="9">
        <v>175.0</v>
      </c>
      <c r="C24" s="4">
        <v>9.71</v>
      </c>
      <c r="D24" s="4">
        <v>21.71</v>
      </c>
      <c r="E24" s="4">
        <f t="shared" si="1"/>
        <v>0</v>
      </c>
      <c r="F24" s="4">
        <f t="shared" si="2"/>
        <v>0</v>
      </c>
      <c r="G24" s="4">
        <f t="shared" si="3"/>
        <v>26.6714</v>
      </c>
      <c r="H24" s="4">
        <f t="shared" si="4"/>
        <v>26.6614</v>
      </c>
      <c r="I24" s="4" t="str">
        <f t="shared" si="5"/>
        <v> </v>
      </c>
      <c r="J24" s="4">
        <v>0.0</v>
      </c>
      <c r="K24" s="4">
        <v>15.669166666666667</v>
      </c>
      <c r="L24" s="4">
        <f t="shared" si="6"/>
        <v>3</v>
      </c>
      <c r="M24" s="4">
        <f t="shared" si="7"/>
        <v>1</v>
      </c>
      <c r="N24" s="4">
        <f t="shared" si="8"/>
        <v>6.62199</v>
      </c>
      <c r="O24" s="4">
        <f t="shared" si="9"/>
        <v>0</v>
      </c>
      <c r="P24" s="4">
        <f t="shared" si="10"/>
        <v>15.66916667</v>
      </c>
    </row>
    <row r="25" ht="15.75" customHeight="1">
      <c r="A25" s="4">
        <v>2008.0</v>
      </c>
      <c r="B25" s="9">
        <v>176.0</v>
      </c>
      <c r="C25" s="4">
        <v>7.22</v>
      </c>
      <c r="D25" s="4">
        <v>21.03</v>
      </c>
      <c r="E25" s="4">
        <f t="shared" si="1"/>
        <v>1</v>
      </c>
      <c r="F25" s="4">
        <f t="shared" si="2"/>
        <v>1</v>
      </c>
      <c r="G25" s="4">
        <f t="shared" si="3"/>
        <v>27.9784</v>
      </c>
      <c r="H25" s="4">
        <f t="shared" si="4"/>
        <v>29.45195</v>
      </c>
      <c r="I25" s="4">
        <f t="shared" si="5"/>
        <v>1.47355</v>
      </c>
      <c r="J25" s="4">
        <v>4.5</v>
      </c>
      <c r="K25" s="4">
        <v>14.274166666666666</v>
      </c>
      <c r="L25" s="4">
        <f t="shared" si="6"/>
        <v>8</v>
      </c>
      <c r="M25" s="4">
        <f t="shared" si="7"/>
        <v>1</v>
      </c>
      <c r="N25" s="4">
        <f t="shared" si="8"/>
        <v>5.17945</v>
      </c>
      <c r="O25" s="4">
        <f t="shared" si="9"/>
        <v>4.5</v>
      </c>
      <c r="P25" s="4">
        <f t="shared" si="10"/>
        <v>14.27416667</v>
      </c>
    </row>
    <row r="26" ht="15.75" customHeight="1">
      <c r="A26" s="4">
        <v>2008.0</v>
      </c>
      <c r="B26" s="9">
        <v>177.0</v>
      </c>
      <c r="C26" s="4">
        <v>10.0</v>
      </c>
      <c r="D26" s="4">
        <v>17.06</v>
      </c>
      <c r="E26" s="4">
        <f t="shared" si="1"/>
        <v>1</v>
      </c>
      <c r="F26" s="4">
        <f t="shared" si="2"/>
        <v>1</v>
      </c>
      <c r="G26" s="4">
        <f t="shared" si="3"/>
        <v>24.4919</v>
      </c>
      <c r="H26" s="4">
        <f t="shared" si="4"/>
        <v>27.42785</v>
      </c>
      <c r="I26" s="4">
        <f t="shared" si="5"/>
        <v>2.93595</v>
      </c>
      <c r="J26" s="4">
        <v>1.0</v>
      </c>
      <c r="K26" s="4">
        <v>13.237083333333333</v>
      </c>
      <c r="L26" s="4">
        <f t="shared" si="6"/>
        <v>8</v>
      </c>
      <c r="M26" s="4">
        <f t="shared" si="7"/>
        <v>1</v>
      </c>
      <c r="N26" s="4">
        <f t="shared" si="8"/>
        <v>1.14798</v>
      </c>
      <c r="O26" s="4">
        <f t="shared" si="9"/>
        <v>1</v>
      </c>
      <c r="P26" s="4">
        <f t="shared" si="10"/>
        <v>13.23708333</v>
      </c>
    </row>
    <row r="27" ht="15.75" customHeight="1">
      <c r="A27" s="4">
        <v>2008.0</v>
      </c>
      <c r="B27" s="9">
        <v>178.0</v>
      </c>
      <c r="C27" s="4">
        <v>9.04</v>
      </c>
      <c r="D27" s="4">
        <v>19.19</v>
      </c>
      <c r="E27" s="4">
        <f t="shared" si="1"/>
        <v>0</v>
      </c>
      <c r="F27" s="4">
        <f t="shared" si="2"/>
        <v>1</v>
      </c>
      <c r="G27" s="4">
        <f t="shared" si="3"/>
        <v>28.6573</v>
      </c>
      <c r="H27" s="4">
        <f t="shared" si="4"/>
        <v>29.98465</v>
      </c>
      <c r="I27" s="4">
        <f t="shared" si="5"/>
        <v>1.32735</v>
      </c>
      <c r="J27" s="4">
        <v>0.0</v>
      </c>
      <c r="K27" s="4">
        <v>13.918333333333335</v>
      </c>
      <c r="L27" s="4">
        <f t="shared" si="6"/>
        <v>3</v>
      </c>
      <c r="M27" s="4">
        <f t="shared" si="7"/>
        <v>1</v>
      </c>
      <c r="N27" s="4">
        <f t="shared" si="8"/>
        <v>4.86832</v>
      </c>
      <c r="O27" s="4">
        <f t="shared" si="9"/>
        <v>0</v>
      </c>
      <c r="P27" s="4">
        <f t="shared" si="10"/>
        <v>13.91833333</v>
      </c>
    </row>
    <row r="28" ht="15.75" customHeight="1">
      <c r="A28" s="4">
        <v>2008.0</v>
      </c>
      <c r="B28" s="9">
        <v>179.0</v>
      </c>
      <c r="C28" s="4">
        <v>9.61</v>
      </c>
      <c r="D28" s="4">
        <v>21.79</v>
      </c>
      <c r="E28" s="4">
        <f t="shared" si="1"/>
        <v>1</v>
      </c>
      <c r="F28" s="4">
        <f t="shared" si="2"/>
        <v>0</v>
      </c>
      <c r="G28" s="4">
        <f t="shared" si="3"/>
        <v>33.9604</v>
      </c>
      <c r="H28" s="4">
        <f t="shared" si="4"/>
        <v>33.73185</v>
      </c>
      <c r="I28" s="4" t="str">
        <f t="shared" si="5"/>
        <v> </v>
      </c>
      <c r="J28" s="4">
        <v>1.3</v>
      </c>
      <c r="K28" s="4">
        <v>14.990833333333333</v>
      </c>
      <c r="L28" s="4">
        <f t="shared" si="6"/>
        <v>8</v>
      </c>
      <c r="M28" s="4">
        <f t="shared" si="7"/>
        <v>1</v>
      </c>
      <c r="N28" s="4">
        <f t="shared" si="8"/>
        <v>11.15576</v>
      </c>
      <c r="O28" s="4">
        <f t="shared" si="9"/>
        <v>1.3</v>
      </c>
      <c r="P28" s="4">
        <f t="shared" si="10"/>
        <v>14.99083333</v>
      </c>
    </row>
    <row r="29" ht="15.75" customHeight="1">
      <c r="A29" s="4">
        <v>2008.0</v>
      </c>
      <c r="B29" s="9">
        <v>180.0</v>
      </c>
      <c r="C29" s="4">
        <v>8.11</v>
      </c>
      <c r="D29" s="4">
        <v>21.72</v>
      </c>
      <c r="E29" s="4">
        <f t="shared" si="1"/>
        <v>1</v>
      </c>
      <c r="F29" s="4">
        <f t="shared" si="2"/>
        <v>1</v>
      </c>
      <c r="G29" s="4">
        <f t="shared" si="3"/>
        <v>31.9925</v>
      </c>
      <c r="H29" s="4">
        <f t="shared" si="4"/>
        <v>32.898</v>
      </c>
      <c r="I29" s="4">
        <f t="shared" si="5"/>
        <v>0.9055</v>
      </c>
      <c r="J29" s="4">
        <v>4.1</v>
      </c>
      <c r="K29" s="4">
        <v>15.228333333333333</v>
      </c>
      <c r="L29" s="4">
        <f t="shared" si="6"/>
        <v>8</v>
      </c>
      <c r="M29" s="4">
        <f t="shared" si="7"/>
        <v>1</v>
      </c>
      <c r="N29" s="4">
        <f t="shared" si="8"/>
        <v>11.29201</v>
      </c>
      <c r="O29" s="4">
        <f t="shared" si="9"/>
        <v>4.1</v>
      </c>
      <c r="P29" s="4">
        <f t="shared" si="10"/>
        <v>15.22833333</v>
      </c>
    </row>
    <row r="30" ht="15.75" customHeight="1">
      <c r="A30" s="4">
        <v>2008.0</v>
      </c>
      <c r="B30" s="9">
        <v>181.0</v>
      </c>
      <c r="C30" s="4">
        <v>12.11</v>
      </c>
      <c r="D30" s="4">
        <v>17.41</v>
      </c>
      <c r="E30" s="4">
        <f t="shared" si="1"/>
        <v>1</v>
      </c>
      <c r="F30" s="4">
        <f t="shared" si="2"/>
        <v>1</v>
      </c>
      <c r="G30" s="4">
        <f t="shared" si="3"/>
        <v>32.4664</v>
      </c>
      <c r="H30" s="4">
        <f t="shared" si="4"/>
        <v>33.24465</v>
      </c>
      <c r="I30" s="4">
        <f t="shared" si="5"/>
        <v>0.77825</v>
      </c>
      <c r="J30" s="4">
        <v>14.2</v>
      </c>
      <c r="K30" s="4">
        <v>16.6</v>
      </c>
      <c r="L30" s="4">
        <f t="shared" si="6"/>
        <v>8</v>
      </c>
      <c r="M30" s="4">
        <f t="shared" si="7"/>
        <v>1</v>
      </c>
      <c r="N30" s="4">
        <f t="shared" si="8"/>
        <v>4.08851</v>
      </c>
      <c r="O30" s="4">
        <f t="shared" si="9"/>
        <v>14.2</v>
      </c>
      <c r="P30" s="4">
        <f t="shared" si="10"/>
        <v>16.6</v>
      </c>
    </row>
    <row r="31" ht="15.75" customHeight="1">
      <c r="A31" s="4">
        <v>2008.0</v>
      </c>
      <c r="B31" s="9">
        <v>182.0</v>
      </c>
      <c r="C31" s="4">
        <v>12.97</v>
      </c>
      <c r="D31" s="4">
        <v>22.05</v>
      </c>
      <c r="E31" s="4">
        <f t="shared" si="1"/>
        <v>1</v>
      </c>
      <c r="F31" s="4">
        <f t="shared" si="2"/>
        <v>0</v>
      </c>
      <c r="G31" s="4">
        <f t="shared" si="3"/>
        <v>35.5234</v>
      </c>
      <c r="H31" s="4">
        <f t="shared" si="4"/>
        <v>34.42935</v>
      </c>
      <c r="I31" s="4" t="str">
        <f t="shared" si="5"/>
        <v> </v>
      </c>
      <c r="J31" s="4">
        <v>8.9</v>
      </c>
      <c r="K31" s="4">
        <v>15.498750000000001</v>
      </c>
      <c r="L31" s="4">
        <f t="shared" si="6"/>
        <v>8</v>
      </c>
      <c r="M31" s="4">
        <f t="shared" si="7"/>
        <v>0</v>
      </c>
      <c r="N31" s="4">
        <f t="shared" si="8"/>
        <v>-3.4072</v>
      </c>
      <c r="O31" s="4">
        <f t="shared" si="9"/>
        <v>8.9</v>
      </c>
      <c r="P31" s="4">
        <f t="shared" si="10"/>
        <v>15.49875</v>
      </c>
    </row>
    <row r="32" ht="15.75" customHeight="1">
      <c r="A32" s="4">
        <v>2008.0</v>
      </c>
      <c r="B32" s="9">
        <v>183.0</v>
      </c>
      <c r="C32" s="4">
        <v>9.38</v>
      </c>
      <c r="D32" s="4">
        <v>24.61</v>
      </c>
      <c r="E32" s="4">
        <f t="shared" si="1"/>
        <v>0</v>
      </c>
      <c r="F32" s="4">
        <f t="shared" si="2"/>
        <v>0</v>
      </c>
      <c r="G32" s="4">
        <f t="shared" si="3"/>
        <v>35.4759</v>
      </c>
      <c r="H32" s="4">
        <f t="shared" si="4"/>
        <v>34.24365</v>
      </c>
      <c r="I32" s="4" t="str">
        <f t="shared" si="5"/>
        <v> </v>
      </c>
      <c r="J32" s="4">
        <v>0.0</v>
      </c>
      <c r="K32" s="4">
        <v>17.858749999999997</v>
      </c>
      <c r="L32" s="4">
        <f t="shared" si="6"/>
        <v>3</v>
      </c>
      <c r="M32" s="4">
        <f t="shared" si="7"/>
        <v>0</v>
      </c>
      <c r="N32" s="4">
        <f t="shared" si="8"/>
        <v>-3.48314</v>
      </c>
      <c r="O32" s="4">
        <f t="shared" si="9"/>
        <v>0</v>
      </c>
      <c r="P32" s="4">
        <f t="shared" si="10"/>
        <v>17.85875</v>
      </c>
    </row>
    <row r="33" ht="15.75" customHeight="1">
      <c r="A33" s="4">
        <v>2008.0</v>
      </c>
      <c r="B33" s="9">
        <v>184.0</v>
      </c>
      <c r="C33" s="4">
        <v>13.61</v>
      </c>
      <c r="D33" s="4">
        <v>24.73</v>
      </c>
      <c r="E33" s="4">
        <f t="shared" si="1"/>
        <v>0</v>
      </c>
      <c r="F33" s="4">
        <f t="shared" si="2"/>
        <v>1</v>
      </c>
      <c r="G33" s="4">
        <f t="shared" si="3"/>
        <v>32.784</v>
      </c>
      <c r="H33" s="4">
        <f t="shared" si="4"/>
        <v>33.33355</v>
      </c>
      <c r="I33" s="4">
        <f t="shared" si="5"/>
        <v>0.54955</v>
      </c>
      <c r="J33" s="4">
        <v>0.0</v>
      </c>
      <c r="K33" s="4">
        <v>18.298333333333332</v>
      </c>
      <c r="L33" s="4">
        <f t="shared" si="6"/>
        <v>3</v>
      </c>
      <c r="M33" s="4">
        <f t="shared" si="7"/>
        <v>1</v>
      </c>
      <c r="N33" s="4">
        <f t="shared" si="8"/>
        <v>4.17672</v>
      </c>
      <c r="O33" s="4">
        <f t="shared" si="9"/>
        <v>0</v>
      </c>
      <c r="P33" s="4">
        <f t="shared" si="10"/>
        <v>18.29833333</v>
      </c>
    </row>
    <row r="34" ht="15.75" customHeight="1">
      <c r="A34" s="4">
        <v>2008.0</v>
      </c>
      <c r="B34" s="9">
        <v>185.0</v>
      </c>
      <c r="C34" s="4">
        <v>14.03</v>
      </c>
      <c r="D34" s="4">
        <v>25.0</v>
      </c>
      <c r="E34" s="4">
        <f t="shared" si="1"/>
        <v>1</v>
      </c>
      <c r="F34" s="4">
        <f t="shared" si="2"/>
        <v>1</v>
      </c>
      <c r="G34" s="4">
        <f t="shared" si="3"/>
        <v>37.1804</v>
      </c>
      <c r="H34" s="4">
        <f t="shared" si="4"/>
        <v>37.53605</v>
      </c>
      <c r="I34" s="4">
        <f t="shared" si="5"/>
        <v>0.35565</v>
      </c>
      <c r="J34" s="4">
        <v>3.5</v>
      </c>
      <c r="K34" s="4">
        <v>18.697083333333328</v>
      </c>
      <c r="L34" s="4">
        <f t="shared" si="6"/>
        <v>8</v>
      </c>
      <c r="M34" s="4">
        <f t="shared" si="7"/>
        <v>1</v>
      </c>
      <c r="N34" s="4">
        <f t="shared" si="8"/>
        <v>8.43942</v>
      </c>
      <c r="O34" s="4">
        <f t="shared" si="9"/>
        <v>3.5</v>
      </c>
      <c r="P34" s="4">
        <f t="shared" si="10"/>
        <v>18.69708333</v>
      </c>
    </row>
    <row r="35" ht="15.75" customHeight="1">
      <c r="A35" s="4">
        <v>2008.0</v>
      </c>
      <c r="B35" s="9">
        <v>186.0</v>
      </c>
      <c r="C35" s="4">
        <v>11.37</v>
      </c>
      <c r="D35" s="4">
        <v>23.33</v>
      </c>
      <c r="E35" s="4">
        <f t="shared" si="1"/>
        <v>1</v>
      </c>
      <c r="F35" s="4">
        <f t="shared" si="2"/>
        <v>1</v>
      </c>
      <c r="G35" s="4">
        <f t="shared" si="3"/>
        <v>34.9988</v>
      </c>
      <c r="H35" s="4">
        <f t="shared" si="4"/>
        <v>36.74115</v>
      </c>
      <c r="I35" s="4">
        <f t="shared" si="5"/>
        <v>1.74235</v>
      </c>
      <c r="J35" s="4">
        <v>3.0</v>
      </c>
      <c r="K35" s="4">
        <v>17.044999999999998</v>
      </c>
      <c r="L35" s="4">
        <f t="shared" si="6"/>
        <v>8</v>
      </c>
      <c r="M35" s="4">
        <f t="shared" si="7"/>
        <v>1</v>
      </c>
      <c r="N35" s="4">
        <f t="shared" si="8"/>
        <v>9.49688</v>
      </c>
      <c r="O35" s="4">
        <f t="shared" si="9"/>
        <v>3</v>
      </c>
      <c r="P35" s="4">
        <f t="shared" si="10"/>
        <v>17.045</v>
      </c>
    </row>
    <row r="36" ht="15.75" customHeight="1">
      <c r="A36" s="4">
        <v>2008.0</v>
      </c>
      <c r="B36" s="9">
        <v>187.0</v>
      </c>
      <c r="C36" s="4">
        <v>11.57</v>
      </c>
      <c r="D36" s="4">
        <v>24.44</v>
      </c>
      <c r="E36" s="4">
        <f t="shared" si="1"/>
        <v>1</v>
      </c>
      <c r="F36" s="4">
        <f t="shared" si="2"/>
        <v>1</v>
      </c>
      <c r="G36" s="4">
        <f t="shared" si="3"/>
        <v>32.5401</v>
      </c>
      <c r="H36" s="4">
        <f t="shared" si="4"/>
        <v>33.51975</v>
      </c>
      <c r="I36" s="4">
        <f t="shared" si="5"/>
        <v>0.97965</v>
      </c>
      <c r="J36" s="4">
        <v>2.9</v>
      </c>
      <c r="K36" s="4">
        <v>17.80166666666667</v>
      </c>
      <c r="L36" s="4">
        <f t="shared" si="6"/>
        <v>8</v>
      </c>
      <c r="M36" s="4">
        <f t="shared" si="7"/>
        <v>1</v>
      </c>
      <c r="N36" s="4">
        <f t="shared" si="8"/>
        <v>3.6736</v>
      </c>
      <c r="O36" s="4">
        <f t="shared" si="9"/>
        <v>2.9</v>
      </c>
      <c r="P36" s="4">
        <f t="shared" si="10"/>
        <v>17.80166667</v>
      </c>
    </row>
    <row r="37" ht="15.75" customHeight="1">
      <c r="A37" s="4">
        <v>2008.0</v>
      </c>
      <c r="B37" s="9">
        <v>188.0</v>
      </c>
      <c r="C37" s="4">
        <v>11.51</v>
      </c>
      <c r="D37" s="4">
        <v>16.11</v>
      </c>
      <c r="E37" s="4">
        <f t="shared" si="1"/>
        <v>1</v>
      </c>
      <c r="F37" s="4">
        <f t="shared" si="2"/>
        <v>0</v>
      </c>
      <c r="G37" s="4">
        <f t="shared" si="3"/>
        <v>31.1565</v>
      </c>
      <c r="H37" s="4">
        <f t="shared" si="4"/>
        <v>30.5964</v>
      </c>
      <c r="I37" s="4" t="str">
        <f t="shared" si="5"/>
        <v> </v>
      </c>
      <c r="J37" s="4">
        <v>22.9</v>
      </c>
      <c r="K37" s="4">
        <v>14.497500000000002</v>
      </c>
      <c r="L37" s="4">
        <f t="shared" si="6"/>
        <v>8</v>
      </c>
      <c r="M37" s="4">
        <f t="shared" si="7"/>
        <v>1</v>
      </c>
      <c r="N37" s="4">
        <f t="shared" si="8"/>
        <v>2.87432</v>
      </c>
      <c r="O37" s="4">
        <f t="shared" si="9"/>
        <v>22.9</v>
      </c>
      <c r="P37" s="4">
        <f t="shared" si="10"/>
        <v>14.4975</v>
      </c>
    </row>
    <row r="38" ht="15.75" customHeight="1">
      <c r="A38" s="4">
        <v>2008.0</v>
      </c>
      <c r="B38" s="9">
        <v>189.0</v>
      </c>
      <c r="C38" s="4">
        <v>8.37</v>
      </c>
      <c r="D38" s="4">
        <v>21.62</v>
      </c>
      <c r="E38" s="4">
        <f t="shared" si="1"/>
        <v>0</v>
      </c>
      <c r="F38" s="4">
        <f t="shared" si="2"/>
        <v>1</v>
      </c>
      <c r="G38" s="4">
        <f t="shared" si="3"/>
        <v>29.796</v>
      </c>
      <c r="H38" s="4">
        <f t="shared" si="4"/>
        <v>30.04125</v>
      </c>
      <c r="I38" s="4">
        <f t="shared" si="5"/>
        <v>0.24525</v>
      </c>
      <c r="J38" s="4">
        <v>0.0</v>
      </c>
      <c r="K38" s="4">
        <v>15.201666666666666</v>
      </c>
      <c r="L38" s="4">
        <f t="shared" si="6"/>
        <v>3</v>
      </c>
      <c r="M38" s="4">
        <f t="shared" si="7"/>
        <v>1</v>
      </c>
      <c r="N38" s="4">
        <f t="shared" si="8"/>
        <v>6.29517</v>
      </c>
      <c r="O38" s="4">
        <f t="shared" si="9"/>
        <v>0</v>
      </c>
      <c r="P38" s="4">
        <f t="shared" si="10"/>
        <v>15.20166667</v>
      </c>
    </row>
    <row r="39" ht="15.75" customHeight="1">
      <c r="A39" s="4">
        <v>2008.0</v>
      </c>
      <c r="B39" s="9">
        <v>190.0</v>
      </c>
      <c r="C39" s="4">
        <v>13.25</v>
      </c>
      <c r="D39" s="4">
        <v>25.33</v>
      </c>
      <c r="E39" s="4">
        <f t="shared" si="1"/>
        <v>1</v>
      </c>
      <c r="F39" s="4">
        <f t="shared" si="2"/>
        <v>1</v>
      </c>
      <c r="G39" s="4">
        <f t="shared" si="3"/>
        <v>39.0342</v>
      </c>
      <c r="H39" s="4">
        <f t="shared" si="4"/>
        <v>40.04875</v>
      </c>
      <c r="I39" s="4">
        <f t="shared" si="5"/>
        <v>1.01455</v>
      </c>
      <c r="J39" s="4">
        <v>0.5</v>
      </c>
      <c r="K39" s="4">
        <v>19.535833333333333</v>
      </c>
      <c r="L39" s="4">
        <f t="shared" si="6"/>
        <v>8</v>
      </c>
      <c r="M39" s="4">
        <f t="shared" si="7"/>
        <v>1</v>
      </c>
      <c r="N39" s="4">
        <f t="shared" si="8"/>
        <v>2.56741</v>
      </c>
      <c r="O39" s="4">
        <f t="shared" si="9"/>
        <v>0.5</v>
      </c>
      <c r="P39" s="4">
        <f t="shared" si="10"/>
        <v>19.53583333</v>
      </c>
    </row>
    <row r="40" ht="15.75" customHeight="1">
      <c r="A40" s="4">
        <v>2008.0</v>
      </c>
      <c r="B40" s="9">
        <v>191.0</v>
      </c>
      <c r="C40" s="4">
        <v>13.0</v>
      </c>
      <c r="D40" s="4">
        <v>20.19</v>
      </c>
      <c r="E40" s="4">
        <f t="shared" si="1"/>
        <v>1</v>
      </c>
      <c r="F40" s="4">
        <f t="shared" si="2"/>
        <v>0</v>
      </c>
      <c r="G40" s="4">
        <f t="shared" si="3"/>
        <v>38.9476</v>
      </c>
      <c r="H40" s="4">
        <f t="shared" si="4"/>
        <v>37.11625</v>
      </c>
      <c r="I40" s="4" t="str">
        <f t="shared" si="5"/>
        <v> </v>
      </c>
      <c r="J40" s="4">
        <v>0.2</v>
      </c>
      <c r="K40" s="4">
        <v>17.16541666666667</v>
      </c>
      <c r="L40" s="4">
        <f t="shared" si="6"/>
        <v>8</v>
      </c>
      <c r="M40" s="4">
        <f t="shared" si="7"/>
        <v>1</v>
      </c>
      <c r="N40" s="4">
        <f t="shared" si="8"/>
        <v>0.71106</v>
      </c>
      <c r="O40" s="4">
        <f t="shared" si="9"/>
        <v>0.2</v>
      </c>
      <c r="P40" s="4">
        <f t="shared" si="10"/>
        <v>17.16541667</v>
      </c>
    </row>
    <row r="41" ht="15.75" customHeight="1">
      <c r="A41" s="4">
        <v>2008.0</v>
      </c>
      <c r="B41" s="9">
        <v>192.0</v>
      </c>
      <c r="C41" s="4">
        <v>9.21</v>
      </c>
      <c r="D41" s="4">
        <v>25.1</v>
      </c>
      <c r="E41" s="4">
        <f t="shared" si="1"/>
        <v>0</v>
      </c>
      <c r="F41" s="4">
        <f t="shared" si="2"/>
        <v>0</v>
      </c>
      <c r="G41" s="4">
        <f t="shared" si="3"/>
        <v>40.1981</v>
      </c>
      <c r="H41" s="4">
        <f t="shared" si="4"/>
        <v>37.7764</v>
      </c>
      <c r="I41" s="4" t="str">
        <f t="shared" si="5"/>
        <v> </v>
      </c>
      <c r="J41" s="4">
        <v>0.0</v>
      </c>
      <c r="K41" s="4">
        <v>17.990416666666665</v>
      </c>
      <c r="L41" s="4">
        <f t="shared" si="6"/>
        <v>3</v>
      </c>
      <c r="M41" s="4">
        <f t="shared" si="7"/>
        <v>1</v>
      </c>
      <c r="N41" s="4">
        <f t="shared" si="8"/>
        <v>6.21837</v>
      </c>
      <c r="O41" s="4">
        <f t="shared" si="9"/>
        <v>0</v>
      </c>
      <c r="P41" s="4">
        <f t="shared" si="10"/>
        <v>17.99041667</v>
      </c>
    </row>
    <row r="42" ht="15.75" customHeight="1">
      <c r="A42" s="4">
        <v>2008.0</v>
      </c>
      <c r="B42" s="9">
        <v>193.0</v>
      </c>
      <c r="C42" s="4">
        <v>11.77</v>
      </c>
      <c r="D42" s="4">
        <v>21.55</v>
      </c>
      <c r="E42" s="4">
        <f t="shared" si="1"/>
        <v>1</v>
      </c>
      <c r="F42" s="4">
        <f t="shared" si="2"/>
        <v>0</v>
      </c>
      <c r="G42" s="4">
        <f t="shared" si="3"/>
        <v>42.7093</v>
      </c>
      <c r="H42" s="4">
        <f t="shared" si="4"/>
        <v>40.7372</v>
      </c>
      <c r="I42" s="4" t="str">
        <f t="shared" si="5"/>
        <v> </v>
      </c>
      <c r="J42" s="4">
        <v>16.6</v>
      </c>
      <c r="K42" s="4">
        <v>15.726666666666667</v>
      </c>
      <c r="L42" s="4">
        <f t="shared" si="6"/>
        <v>8</v>
      </c>
      <c r="M42" s="4">
        <f t="shared" si="7"/>
        <v>1</v>
      </c>
      <c r="N42" s="4">
        <f t="shared" si="8"/>
        <v>3.85006</v>
      </c>
      <c r="O42" s="4">
        <f t="shared" si="9"/>
        <v>16.6</v>
      </c>
      <c r="P42" s="4">
        <f t="shared" si="10"/>
        <v>15.72666667</v>
      </c>
    </row>
    <row r="43" ht="15.75" customHeight="1">
      <c r="A43" s="4">
        <v>2008.0</v>
      </c>
      <c r="B43" s="9">
        <v>194.0</v>
      </c>
      <c r="C43" s="4">
        <v>13.43</v>
      </c>
      <c r="D43" s="4">
        <v>25.01</v>
      </c>
      <c r="E43" s="4">
        <f t="shared" si="1"/>
        <v>1</v>
      </c>
      <c r="F43" s="4">
        <f t="shared" si="2"/>
        <v>0</v>
      </c>
      <c r="G43" s="4">
        <f t="shared" si="3"/>
        <v>46.0598</v>
      </c>
      <c r="H43" s="4">
        <f t="shared" si="4"/>
        <v>43.61085</v>
      </c>
      <c r="I43" s="4" t="str">
        <f t="shared" si="5"/>
        <v> </v>
      </c>
      <c r="J43" s="4">
        <v>0.1</v>
      </c>
      <c r="K43" s="4">
        <v>19.245416666666667</v>
      </c>
      <c r="L43" s="4">
        <f t="shared" si="6"/>
        <v>8</v>
      </c>
      <c r="M43" s="4">
        <f t="shared" si="7"/>
        <v>0</v>
      </c>
      <c r="N43" s="4">
        <f t="shared" si="8"/>
        <v>-4.48947</v>
      </c>
      <c r="O43" s="4">
        <f t="shared" si="9"/>
        <v>0.1</v>
      </c>
      <c r="P43" s="4">
        <f t="shared" si="10"/>
        <v>19.24541667</v>
      </c>
    </row>
    <row r="44" ht="15.75" customHeight="1">
      <c r="A44" s="4">
        <v>2008.0</v>
      </c>
      <c r="B44" s="9">
        <v>195.0</v>
      </c>
      <c r="C44" s="4">
        <v>12.28</v>
      </c>
      <c r="D44" s="4">
        <v>28.98</v>
      </c>
      <c r="E44" s="4">
        <f t="shared" si="1"/>
        <v>0</v>
      </c>
      <c r="F44" s="4">
        <f t="shared" si="2"/>
        <v>0</v>
      </c>
      <c r="G44" s="4">
        <f t="shared" si="3"/>
        <v>46.4429</v>
      </c>
      <c r="H44" s="4">
        <f t="shared" si="4"/>
        <v>40.35305</v>
      </c>
      <c r="I44" s="4" t="str">
        <f t="shared" si="5"/>
        <v> </v>
      </c>
      <c r="J44" s="4">
        <v>0.0</v>
      </c>
      <c r="K44" s="4">
        <v>21.292083333333334</v>
      </c>
      <c r="L44" s="4">
        <f t="shared" si="6"/>
        <v>3</v>
      </c>
      <c r="M44" s="4">
        <f t="shared" si="7"/>
        <v>0</v>
      </c>
      <c r="N44" s="4">
        <f t="shared" si="8"/>
        <v>-9.17966</v>
      </c>
      <c r="O44" s="4">
        <f t="shared" si="9"/>
        <v>0</v>
      </c>
      <c r="P44" s="4">
        <f t="shared" si="10"/>
        <v>21.29208333</v>
      </c>
    </row>
    <row r="45" ht="15.75" customHeight="1">
      <c r="A45" s="4">
        <v>2008.0</v>
      </c>
      <c r="B45" s="9">
        <v>196.0</v>
      </c>
      <c r="C45" s="4">
        <v>16.04</v>
      </c>
      <c r="D45" s="4">
        <v>30.11</v>
      </c>
      <c r="E45" s="4">
        <f t="shared" si="1"/>
        <v>0</v>
      </c>
      <c r="F45" s="4">
        <f t="shared" si="2"/>
        <v>0</v>
      </c>
      <c r="G45" s="4">
        <f t="shared" si="3"/>
        <v>45.9863</v>
      </c>
      <c r="H45" s="4">
        <f t="shared" si="4"/>
        <v>42.7575</v>
      </c>
      <c r="I45" s="4" t="str">
        <f t="shared" si="5"/>
        <v> </v>
      </c>
      <c r="J45" s="4">
        <v>0.0</v>
      </c>
      <c r="K45" s="4">
        <v>23.905</v>
      </c>
      <c r="L45" s="4">
        <f t="shared" si="6"/>
        <v>3</v>
      </c>
      <c r="M45" s="4">
        <f t="shared" si="7"/>
        <v>0</v>
      </c>
      <c r="N45" s="4">
        <f t="shared" si="8"/>
        <v>-4.67211</v>
      </c>
      <c r="O45" s="4">
        <f t="shared" si="9"/>
        <v>0</v>
      </c>
      <c r="P45" s="4">
        <f t="shared" si="10"/>
        <v>23.905</v>
      </c>
    </row>
    <row r="46" ht="15.75" customHeight="1">
      <c r="A46" s="4">
        <v>2008.0</v>
      </c>
      <c r="B46" s="9">
        <v>197.0</v>
      </c>
      <c r="C46" s="4">
        <v>16.93</v>
      </c>
      <c r="D46" s="4">
        <v>29.91</v>
      </c>
      <c r="E46" s="4">
        <f t="shared" si="1"/>
        <v>0</v>
      </c>
      <c r="F46" s="4">
        <f t="shared" si="2"/>
        <v>0</v>
      </c>
      <c r="G46" s="4">
        <f t="shared" si="3"/>
        <v>47.4585</v>
      </c>
      <c r="H46" s="4">
        <f t="shared" si="4"/>
        <v>44.76705</v>
      </c>
      <c r="I46" s="4" t="str">
        <f t="shared" si="5"/>
        <v> </v>
      </c>
      <c r="J46" s="4">
        <v>0.0</v>
      </c>
      <c r="K46" s="4">
        <v>24.020833333333332</v>
      </c>
      <c r="L46" s="4">
        <f t="shared" si="6"/>
        <v>3</v>
      </c>
      <c r="M46" s="4">
        <f t="shared" si="7"/>
        <v>0</v>
      </c>
      <c r="N46" s="4">
        <f t="shared" si="8"/>
        <v>-0.57778</v>
      </c>
      <c r="O46" s="4">
        <f t="shared" si="9"/>
        <v>0</v>
      </c>
      <c r="P46" s="4">
        <f t="shared" si="10"/>
        <v>24.02083333</v>
      </c>
    </row>
    <row r="47" ht="15.75" customHeight="1">
      <c r="A47" s="4">
        <v>2008.0</v>
      </c>
      <c r="B47" s="9">
        <v>198.0</v>
      </c>
      <c r="C47" s="4">
        <v>17.43</v>
      </c>
      <c r="D47" s="4">
        <v>30.09</v>
      </c>
      <c r="E47" s="4">
        <f t="shared" si="1"/>
        <v>1</v>
      </c>
      <c r="F47" s="4">
        <f t="shared" si="2"/>
        <v>0</v>
      </c>
      <c r="G47" s="4">
        <f t="shared" si="3"/>
        <v>47.956</v>
      </c>
      <c r="H47" s="4">
        <f t="shared" si="4"/>
        <v>46.8965</v>
      </c>
      <c r="I47" s="4" t="str">
        <f t="shared" si="5"/>
        <v> </v>
      </c>
      <c r="J47" s="4">
        <v>15.8</v>
      </c>
      <c r="K47" s="4">
        <v>21.88958333333333</v>
      </c>
      <c r="L47" s="4">
        <f t="shared" si="6"/>
        <v>8</v>
      </c>
      <c r="M47" s="4">
        <f t="shared" si="7"/>
        <v>0</v>
      </c>
      <c r="N47" s="4">
        <f t="shared" si="8"/>
        <v>-0.08514</v>
      </c>
      <c r="O47" s="4">
        <f t="shared" si="9"/>
        <v>15.8</v>
      </c>
      <c r="P47" s="4">
        <f t="shared" si="10"/>
        <v>21.88958333</v>
      </c>
    </row>
    <row r="48" ht="15.75" customHeight="1">
      <c r="A48" s="4">
        <v>2008.0</v>
      </c>
      <c r="B48" s="9">
        <v>199.0</v>
      </c>
      <c r="C48" s="4">
        <v>16.4</v>
      </c>
      <c r="D48" s="4">
        <v>29.18</v>
      </c>
      <c r="E48" s="4">
        <f t="shared" si="1"/>
        <v>0</v>
      </c>
      <c r="F48" s="4">
        <f t="shared" si="2"/>
        <v>0</v>
      </c>
      <c r="G48" s="4">
        <f t="shared" si="3"/>
        <v>43.7465</v>
      </c>
      <c r="H48" s="4">
        <f t="shared" si="4"/>
        <v>42.5234</v>
      </c>
      <c r="I48" s="4" t="str">
        <f t="shared" si="5"/>
        <v> </v>
      </c>
      <c r="J48" s="4">
        <v>0.0</v>
      </c>
      <c r="K48" s="4">
        <v>21.974999999999998</v>
      </c>
      <c r="L48" s="4">
        <f t="shared" si="6"/>
        <v>3</v>
      </c>
      <c r="M48" s="4">
        <f t="shared" si="7"/>
        <v>1</v>
      </c>
      <c r="N48" s="4">
        <f t="shared" si="8"/>
        <v>5.74954</v>
      </c>
      <c r="O48" s="4">
        <f t="shared" si="9"/>
        <v>0</v>
      </c>
      <c r="P48" s="4">
        <f t="shared" si="10"/>
        <v>21.975</v>
      </c>
    </row>
    <row r="49" ht="15.75" customHeight="1">
      <c r="A49" s="4">
        <v>2008.0</v>
      </c>
      <c r="B49" s="9">
        <v>200.0</v>
      </c>
      <c r="C49" s="4">
        <v>17.83</v>
      </c>
      <c r="D49" s="4">
        <v>25.52</v>
      </c>
      <c r="E49" s="4">
        <f t="shared" si="1"/>
        <v>1</v>
      </c>
      <c r="F49" s="4">
        <f t="shared" si="2"/>
        <v>1</v>
      </c>
      <c r="G49" s="4">
        <f t="shared" si="3"/>
        <v>45.2903</v>
      </c>
      <c r="H49" s="4">
        <f t="shared" si="4"/>
        <v>46.5021</v>
      </c>
      <c r="I49" s="4">
        <f t="shared" si="5"/>
        <v>1.2118</v>
      </c>
      <c r="J49" s="4">
        <v>6.3</v>
      </c>
      <c r="K49" s="4">
        <v>20.463749999999997</v>
      </c>
      <c r="L49" s="4">
        <f t="shared" si="6"/>
        <v>8</v>
      </c>
      <c r="M49" s="4">
        <f t="shared" si="7"/>
        <v>1</v>
      </c>
      <c r="N49" s="4">
        <f t="shared" si="8"/>
        <v>9.9911</v>
      </c>
      <c r="O49" s="4">
        <f t="shared" si="9"/>
        <v>6.3</v>
      </c>
      <c r="P49" s="4">
        <f t="shared" si="10"/>
        <v>20.46375</v>
      </c>
    </row>
    <row r="50" ht="15.75" customHeight="1">
      <c r="A50" s="4">
        <v>2008.0</v>
      </c>
      <c r="B50" s="9">
        <v>201.0</v>
      </c>
      <c r="C50" s="4">
        <v>17.16</v>
      </c>
      <c r="D50" s="4">
        <v>26.39</v>
      </c>
      <c r="E50" s="4">
        <f t="shared" si="1"/>
        <v>1</v>
      </c>
      <c r="F50" s="4">
        <f t="shared" si="2"/>
        <v>0</v>
      </c>
      <c r="G50" s="4">
        <f t="shared" si="3"/>
        <v>45.5277</v>
      </c>
      <c r="H50" s="4">
        <f t="shared" si="4"/>
        <v>44.60505</v>
      </c>
      <c r="I50" s="4" t="str">
        <f t="shared" si="5"/>
        <v> </v>
      </c>
      <c r="J50" s="4">
        <v>40.1</v>
      </c>
      <c r="K50" s="4">
        <v>20.37125</v>
      </c>
      <c r="L50" s="4">
        <f t="shared" si="6"/>
        <v>8</v>
      </c>
      <c r="M50" s="4">
        <f t="shared" si="7"/>
        <v>1</v>
      </c>
      <c r="N50" s="4">
        <f t="shared" si="8"/>
        <v>8.65531</v>
      </c>
      <c r="O50" s="4">
        <f t="shared" si="9"/>
        <v>40.1</v>
      </c>
      <c r="P50" s="4">
        <f t="shared" si="10"/>
        <v>20.37125</v>
      </c>
    </row>
    <row r="51" ht="15.75" customHeight="1">
      <c r="A51" s="4">
        <v>2008.0</v>
      </c>
      <c r="B51" s="9">
        <v>202.0</v>
      </c>
      <c r="C51" s="4">
        <v>16.86</v>
      </c>
      <c r="D51" s="4">
        <v>25.27</v>
      </c>
      <c r="E51" s="4">
        <f t="shared" si="1"/>
        <v>1</v>
      </c>
      <c r="F51" s="4">
        <f t="shared" si="2"/>
        <v>0</v>
      </c>
      <c r="G51" s="4">
        <f t="shared" si="3"/>
        <v>44.4351</v>
      </c>
      <c r="H51" s="4">
        <f t="shared" si="4"/>
        <v>43.68555</v>
      </c>
      <c r="I51" s="4" t="str">
        <f t="shared" si="5"/>
        <v> </v>
      </c>
      <c r="J51" s="4">
        <v>0.9</v>
      </c>
      <c r="K51" s="4">
        <v>20.21125</v>
      </c>
      <c r="L51" s="4">
        <f t="shared" si="6"/>
        <v>8</v>
      </c>
      <c r="M51" s="4">
        <f t="shared" si="7"/>
        <v>1</v>
      </c>
      <c r="N51" s="4">
        <f t="shared" si="8"/>
        <v>8.65244</v>
      </c>
      <c r="O51" s="4">
        <f t="shared" si="9"/>
        <v>0.9</v>
      </c>
      <c r="P51" s="4">
        <f t="shared" si="10"/>
        <v>20.21125</v>
      </c>
    </row>
    <row r="52" ht="15.75" customHeight="1">
      <c r="A52" s="4">
        <v>2008.0</v>
      </c>
      <c r="B52" s="9">
        <v>203.0</v>
      </c>
      <c r="C52" s="4">
        <v>14.4</v>
      </c>
      <c r="D52" s="4">
        <v>24.14</v>
      </c>
      <c r="E52" s="4">
        <f t="shared" si="1"/>
        <v>1</v>
      </c>
      <c r="F52" s="4">
        <f t="shared" si="2"/>
        <v>0</v>
      </c>
      <c r="G52" s="4">
        <f t="shared" si="3"/>
        <v>42.24</v>
      </c>
      <c r="H52" s="4">
        <f t="shared" si="4"/>
        <v>39.94765</v>
      </c>
      <c r="I52" s="4" t="str">
        <f t="shared" si="5"/>
        <v> </v>
      </c>
      <c r="J52" s="4">
        <v>0.1</v>
      </c>
      <c r="K52" s="4">
        <v>19.072916666666668</v>
      </c>
      <c r="L52" s="4">
        <f t="shared" si="6"/>
        <v>8</v>
      </c>
      <c r="M52" s="4">
        <f t="shared" si="7"/>
        <v>1</v>
      </c>
      <c r="N52" s="4">
        <f t="shared" si="8"/>
        <v>2.75096</v>
      </c>
      <c r="O52" s="4">
        <f t="shared" si="9"/>
        <v>0.1</v>
      </c>
      <c r="P52" s="4">
        <f t="shared" si="10"/>
        <v>19.07291667</v>
      </c>
    </row>
    <row r="53" ht="15.75" customHeight="1">
      <c r="A53" s="4">
        <v>2008.0</v>
      </c>
      <c r="B53" s="9">
        <v>204.0</v>
      </c>
      <c r="C53" s="4">
        <v>13.37</v>
      </c>
      <c r="D53" s="4">
        <v>26.1</v>
      </c>
      <c r="E53" s="4">
        <f t="shared" si="1"/>
        <v>1</v>
      </c>
      <c r="F53" s="4">
        <f t="shared" si="2"/>
        <v>0</v>
      </c>
      <c r="G53" s="4">
        <f t="shared" si="3"/>
        <v>40.142</v>
      </c>
      <c r="H53" s="4">
        <f t="shared" si="4"/>
        <v>36.40565</v>
      </c>
      <c r="I53" s="4" t="str">
        <f t="shared" si="5"/>
        <v> </v>
      </c>
      <c r="J53" s="4">
        <v>0.3</v>
      </c>
      <c r="K53" s="4">
        <v>19.326666666666664</v>
      </c>
      <c r="L53" s="4">
        <f t="shared" si="6"/>
        <v>8</v>
      </c>
      <c r="M53" s="4">
        <f t="shared" si="7"/>
        <v>0</v>
      </c>
      <c r="N53" s="4">
        <f t="shared" si="8"/>
        <v>-5.52015</v>
      </c>
      <c r="O53" s="4">
        <f t="shared" si="9"/>
        <v>0.3</v>
      </c>
      <c r="P53" s="4">
        <f t="shared" si="10"/>
        <v>19.32666667</v>
      </c>
    </row>
    <row r="54" ht="15.75" customHeight="1">
      <c r="A54" s="4">
        <v>2008.0</v>
      </c>
      <c r="B54" s="9">
        <v>205.0</v>
      </c>
      <c r="C54" s="4">
        <v>11.27</v>
      </c>
      <c r="D54" s="4">
        <v>26.61</v>
      </c>
      <c r="E54" s="4">
        <f t="shared" si="1"/>
        <v>0</v>
      </c>
      <c r="F54" s="4">
        <f t="shared" si="2"/>
        <v>0</v>
      </c>
      <c r="G54" s="4">
        <f t="shared" si="3"/>
        <v>34.9235</v>
      </c>
      <c r="H54" s="4">
        <f t="shared" si="4"/>
        <v>29.17685</v>
      </c>
      <c r="I54" s="4" t="str">
        <f t="shared" si="5"/>
        <v> </v>
      </c>
      <c r="J54" s="4">
        <v>0.0</v>
      </c>
      <c r="K54" s="4">
        <v>19.317916666666665</v>
      </c>
      <c r="L54" s="4">
        <f t="shared" si="6"/>
        <v>3</v>
      </c>
      <c r="M54" s="4">
        <f t="shared" si="7"/>
        <v>0</v>
      </c>
      <c r="N54" s="4">
        <f t="shared" si="8"/>
        <v>-9.66344</v>
      </c>
      <c r="O54" s="4">
        <f t="shared" si="9"/>
        <v>0</v>
      </c>
      <c r="P54" s="4">
        <f t="shared" si="10"/>
        <v>19.31791667</v>
      </c>
    </row>
    <row r="55" ht="15.75" customHeight="1">
      <c r="A55" s="4">
        <v>2008.0</v>
      </c>
      <c r="B55" s="9">
        <v>206.0</v>
      </c>
      <c r="C55" s="4">
        <v>13.35</v>
      </c>
      <c r="D55" s="4">
        <v>27.85</v>
      </c>
      <c r="E55" s="4">
        <f t="shared" si="1"/>
        <v>0</v>
      </c>
      <c r="F55" s="4">
        <f t="shared" si="2"/>
        <v>0</v>
      </c>
      <c r="G55" s="4">
        <f t="shared" si="3"/>
        <v>30.2251</v>
      </c>
      <c r="H55" s="4">
        <f t="shared" si="4"/>
        <v>26.7325</v>
      </c>
      <c r="I55" s="4" t="str">
        <f t="shared" si="5"/>
        <v> </v>
      </c>
      <c r="J55" s="4">
        <v>0.0</v>
      </c>
      <c r="K55" s="4">
        <v>20.52625</v>
      </c>
      <c r="L55" s="4">
        <f t="shared" si="6"/>
        <v>3</v>
      </c>
      <c r="M55" s="4">
        <f t="shared" si="7"/>
        <v>0</v>
      </c>
      <c r="N55" s="4">
        <f t="shared" si="8"/>
        <v>-9.53963</v>
      </c>
      <c r="O55" s="4">
        <f t="shared" si="9"/>
        <v>0</v>
      </c>
      <c r="P55" s="4">
        <f t="shared" si="10"/>
        <v>20.52625</v>
      </c>
    </row>
    <row r="56" ht="15.75" customHeight="1">
      <c r="A56" s="4">
        <v>2008.0</v>
      </c>
      <c r="B56" s="9">
        <v>207.0</v>
      </c>
      <c r="C56" s="4">
        <v>13.41</v>
      </c>
      <c r="D56" s="4">
        <v>27.16</v>
      </c>
      <c r="E56" s="4">
        <f t="shared" si="1"/>
        <v>0</v>
      </c>
      <c r="F56" s="4">
        <f t="shared" si="2"/>
        <v>0</v>
      </c>
      <c r="G56" s="4">
        <f t="shared" si="3"/>
        <v>28.8114</v>
      </c>
      <c r="H56" s="4">
        <f t="shared" si="4"/>
        <v>24.5118</v>
      </c>
      <c r="I56" s="4" t="str">
        <f t="shared" si="5"/>
        <v> </v>
      </c>
      <c r="J56" s="4">
        <v>0.0</v>
      </c>
      <c r="K56" s="4">
        <v>20.39666666666667</v>
      </c>
      <c r="L56" s="4">
        <f t="shared" si="6"/>
        <v>3</v>
      </c>
      <c r="M56" s="4">
        <f t="shared" si="7"/>
        <v>0</v>
      </c>
      <c r="N56" s="4">
        <f t="shared" si="8"/>
        <v>-10.0214</v>
      </c>
      <c r="O56" s="4">
        <f t="shared" si="9"/>
        <v>0</v>
      </c>
      <c r="P56" s="4">
        <f t="shared" si="10"/>
        <v>20.39666667</v>
      </c>
    </row>
    <row r="57" ht="15.75" customHeight="1">
      <c r="A57" s="4">
        <v>2008.0</v>
      </c>
      <c r="B57" s="9">
        <v>208.0</v>
      </c>
      <c r="C57" s="4">
        <v>13.41</v>
      </c>
      <c r="D57" s="4">
        <v>24.96</v>
      </c>
      <c r="E57" s="4">
        <f t="shared" si="1"/>
        <v>0</v>
      </c>
      <c r="F57" s="4">
        <f t="shared" si="2"/>
        <v>0</v>
      </c>
      <c r="G57" s="4">
        <f t="shared" si="3"/>
        <v>24.2623</v>
      </c>
      <c r="H57" s="4">
        <f t="shared" si="4"/>
        <v>22.709</v>
      </c>
      <c r="I57" s="4" t="str">
        <f t="shared" si="5"/>
        <v> </v>
      </c>
      <c r="J57" s="4">
        <v>0.0</v>
      </c>
      <c r="K57" s="4">
        <v>19.135416666666668</v>
      </c>
      <c r="L57" s="4">
        <f t="shared" si="6"/>
        <v>3</v>
      </c>
      <c r="M57" s="4">
        <f t="shared" si="7"/>
        <v>0</v>
      </c>
      <c r="N57" s="4">
        <f t="shared" si="8"/>
        <v>-4.28997</v>
      </c>
      <c r="O57" s="4">
        <f t="shared" si="9"/>
        <v>0</v>
      </c>
      <c r="P57" s="4">
        <f t="shared" si="10"/>
        <v>19.13541667</v>
      </c>
    </row>
    <row r="58" ht="15.75" customHeight="1">
      <c r="A58" s="4">
        <v>2008.0</v>
      </c>
      <c r="B58" s="9">
        <v>209.0</v>
      </c>
      <c r="C58" s="4">
        <v>11.34</v>
      </c>
      <c r="D58" s="4">
        <v>22.87</v>
      </c>
      <c r="E58" s="4">
        <f t="shared" si="1"/>
        <v>0</v>
      </c>
      <c r="F58" s="4">
        <f t="shared" si="2"/>
        <v>0</v>
      </c>
      <c r="G58" s="4">
        <f t="shared" si="3"/>
        <v>24.1964</v>
      </c>
      <c r="H58" s="4">
        <f t="shared" si="4"/>
        <v>23.51525</v>
      </c>
      <c r="I58" s="4" t="str">
        <f t="shared" si="5"/>
        <v> </v>
      </c>
      <c r="J58" s="4">
        <v>0.0</v>
      </c>
      <c r="K58" s="4">
        <v>16.5075</v>
      </c>
      <c r="L58" s="4">
        <f t="shared" si="6"/>
        <v>3</v>
      </c>
      <c r="M58" s="4">
        <f t="shared" si="7"/>
        <v>1</v>
      </c>
      <c r="N58" s="4">
        <f t="shared" si="8"/>
        <v>1.31469</v>
      </c>
      <c r="O58" s="4">
        <f t="shared" si="9"/>
        <v>0</v>
      </c>
      <c r="P58" s="4">
        <f t="shared" si="10"/>
        <v>16.5075</v>
      </c>
    </row>
    <row r="59" ht="15.75" customHeight="1">
      <c r="A59" s="4">
        <v>2008.0</v>
      </c>
      <c r="B59" s="9">
        <v>210.0</v>
      </c>
      <c r="C59" s="4">
        <v>10.0</v>
      </c>
      <c r="D59" s="4">
        <v>16.26</v>
      </c>
      <c r="E59" s="4">
        <f t="shared" si="1"/>
        <v>1</v>
      </c>
      <c r="F59" s="4">
        <f t="shared" si="2"/>
        <v>1</v>
      </c>
      <c r="G59" s="4">
        <f t="shared" si="3"/>
        <v>23.3728</v>
      </c>
      <c r="H59" s="4">
        <f t="shared" si="4"/>
        <v>24.9966</v>
      </c>
      <c r="I59" s="4">
        <f t="shared" si="5"/>
        <v>1.6238</v>
      </c>
      <c r="J59" s="4">
        <v>0.9</v>
      </c>
      <c r="K59" s="4">
        <v>12.6625</v>
      </c>
      <c r="L59" s="4">
        <f t="shared" si="6"/>
        <v>8</v>
      </c>
      <c r="M59" s="4">
        <f t="shared" si="7"/>
        <v>1</v>
      </c>
      <c r="N59" s="4">
        <f t="shared" si="8"/>
        <v>2.85803</v>
      </c>
      <c r="O59" s="4">
        <f t="shared" si="9"/>
        <v>0.9</v>
      </c>
      <c r="P59" s="4">
        <f t="shared" si="10"/>
        <v>12.6625</v>
      </c>
    </row>
    <row r="60" ht="15.75" customHeight="1">
      <c r="A60" s="4">
        <v>2008.0</v>
      </c>
      <c r="B60" s="9">
        <v>211.0</v>
      </c>
      <c r="C60" s="4">
        <v>8.64</v>
      </c>
      <c r="D60" s="4">
        <v>17.79</v>
      </c>
      <c r="E60" s="4">
        <f t="shared" si="1"/>
        <v>0</v>
      </c>
      <c r="F60" s="4">
        <f t="shared" si="2"/>
        <v>1</v>
      </c>
      <c r="G60" s="4">
        <f t="shared" si="3"/>
        <v>27.1457</v>
      </c>
      <c r="H60" s="4">
        <f t="shared" si="4"/>
        <v>28.79835</v>
      </c>
      <c r="I60" s="4">
        <f t="shared" si="5"/>
        <v>1.65265</v>
      </c>
      <c r="J60" s="4">
        <v>0.0</v>
      </c>
      <c r="K60" s="4">
        <v>12.400833333333333</v>
      </c>
      <c r="L60" s="4">
        <f t="shared" si="6"/>
        <v>3</v>
      </c>
      <c r="M60" s="4">
        <f t="shared" si="7"/>
        <v>1</v>
      </c>
      <c r="N60" s="4">
        <f t="shared" si="8"/>
        <v>6.92417</v>
      </c>
      <c r="O60" s="4">
        <f t="shared" si="9"/>
        <v>0</v>
      </c>
      <c r="P60" s="4">
        <f t="shared" si="10"/>
        <v>12.40083333</v>
      </c>
    </row>
    <row r="61" ht="15.75" customHeight="1">
      <c r="A61" s="4">
        <v>2008.0</v>
      </c>
      <c r="B61" s="9">
        <v>212.0</v>
      </c>
      <c r="C61" s="4">
        <v>10.57</v>
      </c>
      <c r="D61" s="4">
        <v>16.76</v>
      </c>
      <c r="E61" s="4">
        <f t="shared" si="1"/>
        <v>1</v>
      </c>
      <c r="F61" s="4">
        <f t="shared" si="2"/>
        <v>1</v>
      </c>
      <c r="G61" s="4">
        <f t="shared" si="3"/>
        <v>29.0076</v>
      </c>
      <c r="H61" s="4">
        <f t="shared" si="4"/>
        <v>32.8747</v>
      </c>
      <c r="I61" s="4">
        <f t="shared" si="5"/>
        <v>3.8671</v>
      </c>
      <c r="J61" s="4">
        <v>3.6</v>
      </c>
      <c r="K61" s="4">
        <v>12.724166666666667</v>
      </c>
      <c r="L61" s="4">
        <f t="shared" si="6"/>
        <v>8</v>
      </c>
      <c r="M61" s="4">
        <f t="shared" si="7"/>
        <v>1</v>
      </c>
      <c r="N61" s="4">
        <f t="shared" si="8"/>
        <v>9.26677</v>
      </c>
      <c r="O61" s="4">
        <f t="shared" si="9"/>
        <v>3.6</v>
      </c>
      <c r="P61" s="4">
        <f t="shared" si="10"/>
        <v>12.72416667</v>
      </c>
    </row>
    <row r="62" ht="15.75" customHeight="1">
      <c r="A62" s="4">
        <v>2008.0</v>
      </c>
      <c r="B62" s="9">
        <v>213.0</v>
      </c>
      <c r="C62" s="4">
        <v>9.28</v>
      </c>
      <c r="D62" s="4">
        <v>19.84</v>
      </c>
      <c r="E62" s="4">
        <f t="shared" si="1"/>
        <v>1</v>
      </c>
      <c r="F62" s="4">
        <f t="shared" si="2"/>
        <v>1</v>
      </c>
      <c r="G62" s="4">
        <f t="shared" si="3"/>
        <v>31.465</v>
      </c>
      <c r="H62" s="4">
        <f t="shared" si="4"/>
        <v>32.93215</v>
      </c>
      <c r="I62" s="4">
        <f t="shared" si="5"/>
        <v>1.46715</v>
      </c>
      <c r="J62" s="4">
        <v>2.5</v>
      </c>
      <c r="K62" s="4">
        <v>12.96333333333333</v>
      </c>
      <c r="L62" s="4">
        <f t="shared" si="6"/>
        <v>8</v>
      </c>
      <c r="M62" s="4">
        <f t="shared" si="7"/>
        <v>1</v>
      </c>
      <c r="N62" s="4">
        <f t="shared" si="8"/>
        <v>9.85678</v>
      </c>
      <c r="O62" s="4">
        <f t="shared" si="9"/>
        <v>2.5</v>
      </c>
      <c r="P62" s="4">
        <f t="shared" si="10"/>
        <v>12.96333333</v>
      </c>
    </row>
    <row r="63" ht="15.75" customHeight="1">
      <c r="A63" s="4">
        <v>2008.0</v>
      </c>
      <c r="B63" s="9">
        <v>214.0</v>
      </c>
      <c r="C63" s="4">
        <v>7.81</v>
      </c>
      <c r="D63" s="4">
        <v>21.09</v>
      </c>
      <c r="E63" s="4">
        <f t="shared" si="1"/>
        <v>1</v>
      </c>
      <c r="F63" s="4">
        <f t="shared" si="2"/>
        <v>1</v>
      </c>
      <c r="G63" s="4">
        <f t="shared" si="3"/>
        <v>28.6698</v>
      </c>
      <c r="H63" s="4">
        <f t="shared" si="4"/>
        <v>30.70905</v>
      </c>
      <c r="I63" s="4">
        <f t="shared" si="5"/>
        <v>2.03925</v>
      </c>
      <c r="J63" s="4">
        <v>0.7</v>
      </c>
      <c r="K63" s="4">
        <v>14.747916666666667</v>
      </c>
      <c r="L63" s="4">
        <f t="shared" si="6"/>
        <v>8</v>
      </c>
      <c r="M63" s="4">
        <f t="shared" si="7"/>
        <v>1</v>
      </c>
      <c r="N63" s="4">
        <f t="shared" si="8"/>
        <v>11.16637</v>
      </c>
      <c r="O63" s="4">
        <f t="shared" si="9"/>
        <v>0.7</v>
      </c>
      <c r="P63" s="4">
        <f t="shared" si="10"/>
        <v>14.74791667</v>
      </c>
    </row>
    <row r="64" ht="15.75" customHeight="1">
      <c r="A64" s="4">
        <v>2008.0</v>
      </c>
      <c r="B64" s="9">
        <v>215.0</v>
      </c>
      <c r="C64" s="4">
        <v>10.5</v>
      </c>
      <c r="D64" s="4">
        <v>24.8</v>
      </c>
      <c r="E64" s="4">
        <f t="shared" si="1"/>
        <v>1</v>
      </c>
      <c r="F64" s="4">
        <f t="shared" si="2"/>
        <v>0</v>
      </c>
      <c r="G64" s="4">
        <f t="shared" si="3"/>
        <v>25.2732</v>
      </c>
      <c r="H64" s="4">
        <f t="shared" si="4"/>
        <v>24.6654</v>
      </c>
      <c r="I64" s="4" t="str">
        <f t="shared" si="5"/>
        <v> </v>
      </c>
      <c r="J64" s="4">
        <v>1.2</v>
      </c>
      <c r="K64" s="4">
        <v>16.704583333333336</v>
      </c>
      <c r="L64" s="4">
        <f t="shared" si="6"/>
        <v>8</v>
      </c>
      <c r="M64" s="4">
        <f t="shared" si="7"/>
        <v>1</v>
      </c>
      <c r="N64" s="4">
        <f t="shared" si="8"/>
        <v>5.51312</v>
      </c>
      <c r="O64" s="4">
        <f t="shared" si="9"/>
        <v>1.2</v>
      </c>
      <c r="P64" s="4">
        <f t="shared" si="10"/>
        <v>16.70458333</v>
      </c>
    </row>
    <row r="65" ht="15.75" customHeight="1">
      <c r="A65" s="4">
        <v>2008.0</v>
      </c>
      <c r="B65" s="9">
        <v>216.0</v>
      </c>
      <c r="C65" s="4">
        <v>13.83</v>
      </c>
      <c r="D65" s="4">
        <v>19.23</v>
      </c>
      <c r="E65" s="4">
        <f t="shared" si="1"/>
        <v>1</v>
      </c>
      <c r="F65" s="4">
        <f t="shared" si="2"/>
        <v>1</v>
      </c>
      <c r="G65" s="4">
        <f t="shared" si="3"/>
        <v>19.55959</v>
      </c>
      <c r="H65" s="4">
        <f t="shared" si="4"/>
        <v>21.044</v>
      </c>
      <c r="I65" s="4">
        <f t="shared" si="5"/>
        <v>1.48441</v>
      </c>
      <c r="J65" s="4">
        <v>2.9</v>
      </c>
      <c r="K65" s="4">
        <v>16.48125</v>
      </c>
      <c r="L65" s="4">
        <f t="shared" si="6"/>
        <v>8</v>
      </c>
      <c r="M65" s="4">
        <f t="shared" si="7"/>
        <v>1</v>
      </c>
      <c r="N65" s="4">
        <f t="shared" si="8"/>
        <v>1.53156</v>
      </c>
      <c r="O65" s="4">
        <f t="shared" si="9"/>
        <v>2.9</v>
      </c>
      <c r="P65" s="4">
        <f t="shared" si="10"/>
        <v>16.48125</v>
      </c>
    </row>
    <row r="66" ht="15.75" customHeight="1">
      <c r="A66" s="4">
        <v>2008.0</v>
      </c>
      <c r="B66" s="9">
        <v>217.0</v>
      </c>
      <c r="C66" s="4">
        <v>12.73</v>
      </c>
      <c r="D66" s="4">
        <v>20.14</v>
      </c>
      <c r="E66" s="4">
        <f t="shared" si="1"/>
        <v>0</v>
      </c>
      <c r="F66" s="4">
        <f t="shared" si="2"/>
        <v>0</v>
      </c>
      <c r="G66" s="4">
        <f t="shared" si="3"/>
        <v>21.44922</v>
      </c>
      <c r="H66" s="4">
        <f t="shared" si="4"/>
        <v>19.226785</v>
      </c>
      <c r="I66" s="4" t="str">
        <f t="shared" si="5"/>
        <v> </v>
      </c>
      <c r="J66" s="4">
        <v>0.0</v>
      </c>
      <c r="K66" s="4">
        <v>16.612916666666667</v>
      </c>
      <c r="L66" s="4">
        <f t="shared" si="6"/>
        <v>3</v>
      </c>
      <c r="M66" s="4">
        <f t="shared" si="7"/>
        <v>1</v>
      </c>
      <c r="N66" s="4">
        <f t="shared" si="8"/>
        <v>0.47549</v>
      </c>
      <c r="O66" s="4">
        <f t="shared" si="9"/>
        <v>0</v>
      </c>
      <c r="P66" s="4">
        <f t="shared" si="10"/>
        <v>16.61291667</v>
      </c>
    </row>
    <row r="67" ht="15.75" customHeight="1">
      <c r="A67" s="4">
        <v>2008.0</v>
      </c>
      <c r="B67" s="9">
        <v>218.0</v>
      </c>
      <c r="C67" s="4">
        <v>11.74</v>
      </c>
      <c r="D67" s="4">
        <v>19.17</v>
      </c>
      <c r="E67" s="4">
        <f t="shared" si="1"/>
        <v>1</v>
      </c>
      <c r="F67" s="4">
        <f t="shared" si="2"/>
        <v>0</v>
      </c>
      <c r="G67" s="4">
        <f t="shared" si="3"/>
        <v>24.28114</v>
      </c>
      <c r="H67" s="4">
        <f t="shared" si="4"/>
        <v>23.80672</v>
      </c>
      <c r="I67" s="4" t="str">
        <f t="shared" si="5"/>
        <v> </v>
      </c>
      <c r="J67" s="4">
        <v>25.7</v>
      </c>
      <c r="K67" s="4">
        <v>13.872916666666667</v>
      </c>
      <c r="L67" s="4">
        <f t="shared" si="6"/>
        <v>8</v>
      </c>
      <c r="M67" s="4">
        <f t="shared" si="7"/>
        <v>1</v>
      </c>
      <c r="N67" s="4">
        <f t="shared" si="8"/>
        <v>0.210562</v>
      </c>
      <c r="O67" s="4">
        <f t="shared" si="9"/>
        <v>25.7</v>
      </c>
      <c r="P67" s="4">
        <f t="shared" si="10"/>
        <v>13.87291667</v>
      </c>
    </row>
    <row r="68" ht="15.75" customHeight="1">
      <c r="A68" s="4">
        <v>2008.0</v>
      </c>
      <c r="B68" s="9">
        <v>219.0</v>
      </c>
      <c r="C68" s="4">
        <v>6.97</v>
      </c>
      <c r="D68" s="4">
        <v>13.86</v>
      </c>
      <c r="E68" s="4">
        <f t="shared" si="1"/>
        <v>0</v>
      </c>
      <c r="F68" s="4">
        <f t="shared" si="2"/>
        <v>1</v>
      </c>
      <c r="G68" s="4">
        <f t="shared" si="3"/>
        <v>18.84129</v>
      </c>
      <c r="H68" s="4">
        <f t="shared" si="4"/>
        <v>19.27446</v>
      </c>
      <c r="I68" s="4">
        <f t="shared" si="5"/>
        <v>0.43317</v>
      </c>
      <c r="J68" s="4">
        <v>0.0</v>
      </c>
      <c r="K68" s="4">
        <v>12.048333333333332</v>
      </c>
      <c r="L68" s="4">
        <f t="shared" si="6"/>
        <v>3</v>
      </c>
      <c r="M68" s="4">
        <f t="shared" si="7"/>
        <v>1</v>
      </c>
      <c r="N68" s="4">
        <f t="shared" si="8"/>
        <v>1.453095</v>
      </c>
      <c r="O68" s="4">
        <f t="shared" si="9"/>
        <v>0</v>
      </c>
      <c r="P68" s="4">
        <f t="shared" si="10"/>
        <v>12.04833333</v>
      </c>
    </row>
    <row r="69" ht="15.75" customHeight="1">
      <c r="A69" s="4">
        <v>2008.0</v>
      </c>
      <c r="B69" s="9">
        <v>220.0</v>
      </c>
      <c r="C69" s="4">
        <v>5.209</v>
      </c>
      <c r="D69" s="4">
        <v>14.2</v>
      </c>
      <c r="E69" s="4">
        <f t="shared" si="1"/>
        <v>1</v>
      </c>
      <c r="F69" s="4">
        <f t="shared" si="2"/>
        <v>1</v>
      </c>
      <c r="G69" s="4">
        <f t="shared" si="3"/>
        <v>25.83094</v>
      </c>
      <c r="H69" s="4">
        <f t="shared" si="4"/>
        <v>26.69058</v>
      </c>
      <c r="I69" s="4">
        <f t="shared" si="5"/>
        <v>0.85964</v>
      </c>
      <c r="J69" s="4">
        <v>0.1</v>
      </c>
      <c r="K69" s="4">
        <v>9.837166666666667</v>
      </c>
      <c r="L69" s="4">
        <f t="shared" si="6"/>
        <v>8</v>
      </c>
      <c r="M69" s="4">
        <f t="shared" si="7"/>
        <v>0</v>
      </c>
      <c r="N69" s="4">
        <f t="shared" si="8"/>
        <v>-2.317702</v>
      </c>
      <c r="O69" s="4">
        <f t="shared" si="9"/>
        <v>0</v>
      </c>
      <c r="P69" s="4">
        <f t="shared" si="10"/>
        <v>0</v>
      </c>
    </row>
    <row r="70" ht="15.75" customHeight="1">
      <c r="A70" s="4">
        <v>2008.0</v>
      </c>
      <c r="B70" s="9">
        <v>221.0</v>
      </c>
      <c r="C70" s="4">
        <v>4.438</v>
      </c>
      <c r="D70" s="4">
        <v>20.85</v>
      </c>
      <c r="E70" s="4">
        <f t="shared" si="1"/>
        <v>0</v>
      </c>
      <c r="F70" s="4">
        <f t="shared" si="2"/>
        <v>0</v>
      </c>
      <c r="G70" s="4">
        <f t="shared" si="3"/>
        <v>30.6981</v>
      </c>
      <c r="H70" s="4">
        <f t="shared" si="4"/>
        <v>29.45937</v>
      </c>
      <c r="I70" s="4" t="str">
        <f t="shared" si="5"/>
        <v> </v>
      </c>
      <c r="J70" s="4">
        <v>0.0</v>
      </c>
      <c r="K70" s="4">
        <v>13.311124999999999</v>
      </c>
      <c r="L70" s="4">
        <f t="shared" si="6"/>
        <v>3</v>
      </c>
      <c r="M70" s="4">
        <f t="shared" si="7"/>
        <v>0</v>
      </c>
      <c r="N70" s="4">
        <f t="shared" si="8"/>
        <v>-1.604778</v>
      </c>
      <c r="O70" s="4">
        <f t="shared" si="9"/>
        <v>0</v>
      </c>
      <c r="P70" s="4">
        <f t="shared" si="10"/>
        <v>13.311125</v>
      </c>
    </row>
    <row r="71" ht="15.75" customHeight="1">
      <c r="A71" s="4">
        <v>2008.0</v>
      </c>
      <c r="B71" s="9">
        <v>222.0</v>
      </c>
      <c r="C71" s="4">
        <v>10.08</v>
      </c>
      <c r="D71" s="4">
        <v>24.07</v>
      </c>
      <c r="E71" s="4">
        <f t="shared" si="1"/>
        <v>0</v>
      </c>
      <c r="F71" s="4">
        <f t="shared" si="2"/>
        <v>0</v>
      </c>
      <c r="G71" s="4">
        <f t="shared" si="3"/>
        <v>38.3457</v>
      </c>
      <c r="H71" s="4">
        <f t="shared" si="4"/>
        <v>36.1844</v>
      </c>
      <c r="I71" s="4" t="str">
        <f t="shared" si="5"/>
        <v> </v>
      </c>
      <c r="J71" s="4">
        <v>0.0</v>
      </c>
      <c r="K71" s="4">
        <v>17.20916666666667</v>
      </c>
      <c r="L71" s="4">
        <f t="shared" si="6"/>
        <v>3</v>
      </c>
      <c r="M71" s="4">
        <f t="shared" si="7"/>
        <v>1</v>
      </c>
      <c r="N71" s="4">
        <f t="shared" si="8"/>
        <v>6.63649</v>
      </c>
      <c r="O71" s="4">
        <f t="shared" si="9"/>
        <v>0</v>
      </c>
      <c r="P71" s="4">
        <f t="shared" si="10"/>
        <v>17.20916667</v>
      </c>
    </row>
    <row r="72" ht="15.75" customHeight="1">
      <c r="A72" s="4">
        <v>2008.0</v>
      </c>
      <c r="B72" s="9">
        <v>223.0</v>
      </c>
      <c r="C72" s="4">
        <v>13.9</v>
      </c>
      <c r="D72" s="4">
        <v>21.32</v>
      </c>
      <c r="E72" s="4">
        <f t="shared" si="1"/>
        <v>1</v>
      </c>
      <c r="F72" s="4">
        <f t="shared" si="2"/>
        <v>1</v>
      </c>
      <c r="G72" s="4">
        <f t="shared" si="3"/>
        <v>42.0836</v>
      </c>
      <c r="H72" s="4">
        <f t="shared" si="4"/>
        <v>42.3184</v>
      </c>
      <c r="I72" s="4">
        <f t="shared" si="5"/>
        <v>0.2348</v>
      </c>
      <c r="J72" s="4">
        <v>4.1</v>
      </c>
      <c r="K72" s="4">
        <v>16.844166666666666</v>
      </c>
      <c r="L72" s="4">
        <f t="shared" si="6"/>
        <v>8</v>
      </c>
      <c r="M72" s="4">
        <f t="shared" si="7"/>
        <v>1</v>
      </c>
      <c r="N72" s="4">
        <f t="shared" si="8"/>
        <v>9.38303</v>
      </c>
      <c r="O72" s="4">
        <f t="shared" si="9"/>
        <v>4.1</v>
      </c>
      <c r="P72" s="4">
        <f t="shared" si="10"/>
        <v>16.84416667</v>
      </c>
    </row>
    <row r="73" ht="15.75" customHeight="1">
      <c r="A73" s="4">
        <v>2008.0</v>
      </c>
      <c r="B73" s="9">
        <v>224.0</v>
      </c>
      <c r="C73" s="4">
        <v>14.03</v>
      </c>
      <c r="D73" s="4">
        <v>23.87</v>
      </c>
      <c r="E73" s="4">
        <f t="shared" si="1"/>
        <v>1</v>
      </c>
      <c r="F73" s="4">
        <f t="shared" si="2"/>
        <v>0</v>
      </c>
      <c r="G73" s="4">
        <f t="shared" si="3"/>
        <v>44.6076</v>
      </c>
      <c r="H73" s="4">
        <f t="shared" si="4"/>
        <v>41.582</v>
      </c>
      <c r="I73" s="4" t="str">
        <f t="shared" si="5"/>
        <v> </v>
      </c>
      <c r="J73" s="4">
        <v>0.3</v>
      </c>
      <c r="K73" s="4">
        <v>18.284166666666668</v>
      </c>
      <c r="L73" s="4">
        <f t="shared" si="6"/>
        <v>8</v>
      </c>
      <c r="M73" s="4">
        <f t="shared" si="7"/>
        <v>1</v>
      </c>
      <c r="N73" s="4">
        <f t="shared" si="8"/>
        <v>2.7167</v>
      </c>
      <c r="O73" s="4">
        <f t="shared" si="9"/>
        <v>0.3</v>
      </c>
      <c r="P73" s="4">
        <f t="shared" si="10"/>
        <v>18.28416667</v>
      </c>
    </row>
    <row r="74" ht="15.75" customHeight="1">
      <c r="A74" s="4">
        <v>2008.0</v>
      </c>
      <c r="B74" s="9">
        <v>225.0</v>
      </c>
      <c r="C74" s="4">
        <v>12.88</v>
      </c>
      <c r="D74" s="4">
        <v>25.41</v>
      </c>
      <c r="E74" s="4">
        <f t="shared" si="1"/>
        <v>1</v>
      </c>
      <c r="F74" s="4">
        <f t="shared" si="2"/>
        <v>0</v>
      </c>
      <c r="G74" s="4">
        <f t="shared" si="3"/>
        <v>44.7282</v>
      </c>
      <c r="H74" s="4">
        <f t="shared" si="4"/>
        <v>42.6922</v>
      </c>
      <c r="I74" s="4" t="str">
        <f t="shared" si="5"/>
        <v> </v>
      </c>
      <c r="J74" s="4">
        <v>0.1</v>
      </c>
      <c r="K74" s="4">
        <v>17.96541666666667</v>
      </c>
      <c r="L74" s="4">
        <f t="shared" si="6"/>
        <v>8</v>
      </c>
      <c r="M74" s="4">
        <f t="shared" si="7"/>
        <v>0</v>
      </c>
      <c r="N74" s="4">
        <f t="shared" si="8"/>
        <v>-3.20532</v>
      </c>
      <c r="O74" s="4">
        <f t="shared" si="9"/>
        <v>0.1</v>
      </c>
      <c r="P74" s="4">
        <f t="shared" si="10"/>
        <v>17.96541667</v>
      </c>
    </row>
    <row r="75" ht="15.75" customHeight="1">
      <c r="A75" s="4">
        <v>2008.0</v>
      </c>
      <c r="B75" s="9">
        <v>226.0</v>
      </c>
      <c r="C75" s="4">
        <v>11.1</v>
      </c>
      <c r="D75" s="4">
        <v>28.29</v>
      </c>
      <c r="E75" s="4">
        <f t="shared" si="1"/>
        <v>0</v>
      </c>
      <c r="F75" s="4">
        <f t="shared" si="2"/>
        <v>0</v>
      </c>
      <c r="G75" s="4">
        <f t="shared" si="3"/>
        <v>48.3151</v>
      </c>
      <c r="H75" s="4">
        <f t="shared" si="4"/>
        <v>43.7645</v>
      </c>
      <c r="I75" s="4" t="str">
        <f t="shared" si="5"/>
        <v> </v>
      </c>
      <c r="J75" s="4">
        <v>0.0</v>
      </c>
      <c r="K75" s="4">
        <v>20.044583333333332</v>
      </c>
      <c r="L75" s="4">
        <f t="shared" si="6"/>
        <v>3</v>
      </c>
      <c r="M75" s="4">
        <f t="shared" si="7"/>
        <v>0</v>
      </c>
      <c r="N75" s="4">
        <f t="shared" si="8"/>
        <v>-10.6422</v>
      </c>
      <c r="O75" s="4">
        <f t="shared" si="9"/>
        <v>0</v>
      </c>
      <c r="P75" s="4">
        <f t="shared" si="10"/>
        <v>20.04458333</v>
      </c>
    </row>
    <row r="76" ht="15.75" customHeight="1">
      <c r="A76" s="4">
        <v>2008.0</v>
      </c>
      <c r="B76" s="9">
        <v>227.0</v>
      </c>
      <c r="C76" s="4">
        <v>17.6</v>
      </c>
      <c r="D76" s="4">
        <v>29.61</v>
      </c>
      <c r="E76" s="4">
        <f t="shared" si="1"/>
        <v>0</v>
      </c>
      <c r="F76" s="4">
        <f t="shared" si="2"/>
        <v>0</v>
      </c>
      <c r="G76" s="4">
        <f t="shared" si="3"/>
        <v>52.4185</v>
      </c>
      <c r="H76" s="4">
        <f t="shared" si="4"/>
        <v>47.7207</v>
      </c>
      <c r="I76" s="4" t="str">
        <f t="shared" si="5"/>
        <v> </v>
      </c>
      <c r="J76" s="4">
        <v>0.0</v>
      </c>
      <c r="K76" s="4">
        <v>22.823333333333334</v>
      </c>
      <c r="L76" s="4">
        <f t="shared" si="6"/>
        <v>3</v>
      </c>
      <c r="M76" s="4">
        <f t="shared" si="7"/>
        <v>0</v>
      </c>
      <c r="N76" s="4">
        <f t="shared" si="8"/>
        <v>-4.50863</v>
      </c>
      <c r="O76" s="4">
        <f t="shared" si="9"/>
        <v>0</v>
      </c>
      <c r="P76" s="4">
        <f t="shared" si="10"/>
        <v>22.82333333</v>
      </c>
    </row>
    <row r="77" ht="15.75" customHeight="1">
      <c r="A77" s="4">
        <v>2008.0</v>
      </c>
      <c r="B77" s="9">
        <v>228.0</v>
      </c>
      <c r="C77" s="4">
        <v>14.5</v>
      </c>
      <c r="D77" s="4">
        <v>29.15</v>
      </c>
      <c r="E77" s="4">
        <f t="shared" si="1"/>
        <v>0</v>
      </c>
      <c r="F77" s="4">
        <f t="shared" si="2"/>
        <v>0</v>
      </c>
      <c r="G77" s="4">
        <f t="shared" si="3"/>
        <v>46.7882</v>
      </c>
      <c r="H77" s="4">
        <f t="shared" si="4"/>
        <v>44.5645</v>
      </c>
      <c r="I77" s="4" t="str">
        <f t="shared" si="5"/>
        <v> </v>
      </c>
      <c r="J77" s="4">
        <v>0.0</v>
      </c>
      <c r="K77" s="4">
        <v>21.49</v>
      </c>
      <c r="L77" s="4">
        <f t="shared" si="6"/>
        <v>3</v>
      </c>
      <c r="M77" s="4">
        <f t="shared" si="7"/>
        <v>1</v>
      </c>
      <c r="N77" s="4">
        <f t="shared" si="8"/>
        <v>3.03623</v>
      </c>
      <c r="O77" s="4">
        <f t="shared" si="9"/>
        <v>0</v>
      </c>
      <c r="P77" s="4">
        <f t="shared" si="10"/>
        <v>21.49</v>
      </c>
    </row>
    <row r="78" ht="15.75" customHeight="1">
      <c r="A78" s="4">
        <v>2008.0</v>
      </c>
      <c r="B78" s="9">
        <v>229.0</v>
      </c>
      <c r="C78" s="4">
        <v>16.5</v>
      </c>
      <c r="D78" s="4">
        <v>29.48</v>
      </c>
      <c r="E78" s="4">
        <f t="shared" si="1"/>
        <v>1</v>
      </c>
      <c r="F78" s="4">
        <f t="shared" si="2"/>
        <v>0</v>
      </c>
      <c r="G78" s="4">
        <f t="shared" si="3"/>
        <v>50.229</v>
      </c>
      <c r="H78" s="4">
        <f t="shared" si="4"/>
        <v>49.866</v>
      </c>
      <c r="I78" s="4" t="str">
        <f t="shared" si="5"/>
        <v> </v>
      </c>
      <c r="J78" s="4">
        <v>0.8</v>
      </c>
      <c r="K78" s="4">
        <v>22.300833333333333</v>
      </c>
      <c r="L78" s="4">
        <f t="shared" si="6"/>
        <v>8</v>
      </c>
      <c r="M78" s="4">
        <f t="shared" si="7"/>
        <v>1</v>
      </c>
      <c r="N78" s="4">
        <f t="shared" si="8"/>
        <v>4.02121</v>
      </c>
      <c r="O78" s="4">
        <f t="shared" si="9"/>
        <v>0.8</v>
      </c>
      <c r="P78" s="4">
        <f t="shared" si="10"/>
        <v>22.30083333</v>
      </c>
    </row>
    <row r="79" ht="15.75" customHeight="1">
      <c r="A79" s="4">
        <v>2008.0</v>
      </c>
      <c r="B79" s="9">
        <v>230.0</v>
      </c>
      <c r="C79" s="4">
        <v>14.9</v>
      </c>
      <c r="D79" s="4">
        <v>32.81</v>
      </c>
      <c r="E79" s="4">
        <f t="shared" si="1"/>
        <v>1</v>
      </c>
      <c r="F79" s="4">
        <f t="shared" si="2"/>
        <v>0</v>
      </c>
      <c r="G79" s="4">
        <f t="shared" si="3"/>
        <v>49.9519</v>
      </c>
      <c r="H79" s="4">
        <f t="shared" si="4"/>
        <v>49.10935</v>
      </c>
      <c r="I79" s="4" t="str">
        <f t="shared" si="5"/>
        <v> </v>
      </c>
      <c r="J79" s="4">
        <v>0.1</v>
      </c>
      <c r="K79" s="4">
        <v>23.63416666666667</v>
      </c>
      <c r="L79" s="4">
        <f t="shared" si="6"/>
        <v>8</v>
      </c>
      <c r="M79" s="4">
        <f t="shared" si="7"/>
        <v>0</v>
      </c>
      <c r="N79" s="4">
        <f t="shared" si="8"/>
        <v>-4.31064</v>
      </c>
      <c r="O79" s="4">
        <f t="shared" si="9"/>
        <v>0.1</v>
      </c>
      <c r="P79" s="4">
        <f t="shared" si="10"/>
        <v>23.63416667</v>
      </c>
    </row>
    <row r="80" ht="15.75" customHeight="1">
      <c r="A80" s="4">
        <v>2008.0</v>
      </c>
      <c r="B80" s="9">
        <v>231.0</v>
      </c>
      <c r="C80" s="4">
        <v>18.5</v>
      </c>
      <c r="D80" s="4">
        <v>31.5</v>
      </c>
      <c r="E80" s="4">
        <f t="shared" si="1"/>
        <v>0</v>
      </c>
      <c r="F80" s="4">
        <f t="shared" si="2"/>
        <v>0</v>
      </c>
      <c r="G80" s="4">
        <f t="shared" si="3"/>
        <v>43.9889</v>
      </c>
      <c r="H80" s="4">
        <f t="shared" si="4"/>
        <v>41.4218</v>
      </c>
      <c r="I80" s="4" t="str">
        <f t="shared" si="5"/>
        <v> </v>
      </c>
      <c r="J80" s="4">
        <v>0.0</v>
      </c>
      <c r="K80" s="4">
        <v>24.69458333333333</v>
      </c>
      <c r="L80" s="4">
        <f t="shared" si="6"/>
        <v>3</v>
      </c>
      <c r="M80" s="4">
        <f t="shared" si="7"/>
        <v>1</v>
      </c>
      <c r="N80" s="4">
        <f t="shared" si="8"/>
        <v>2.25688</v>
      </c>
      <c r="O80" s="4">
        <f t="shared" si="9"/>
        <v>0</v>
      </c>
      <c r="P80" s="4">
        <f t="shared" si="10"/>
        <v>24.69458333</v>
      </c>
    </row>
    <row r="81" ht="15.75" customHeight="1">
      <c r="A81" s="4">
        <v>2008.0</v>
      </c>
      <c r="B81" s="9">
        <v>232.0</v>
      </c>
      <c r="C81" s="4">
        <v>12.8</v>
      </c>
      <c r="D81" s="4">
        <v>22.72</v>
      </c>
      <c r="E81" s="4">
        <f t="shared" si="1"/>
        <v>1</v>
      </c>
      <c r="F81" s="4">
        <f t="shared" si="2"/>
        <v>0</v>
      </c>
      <c r="G81" s="4">
        <f t="shared" si="3"/>
        <v>38.3732</v>
      </c>
      <c r="H81" s="4">
        <f t="shared" si="4"/>
        <v>37.90355</v>
      </c>
      <c r="I81" s="4" t="str">
        <f t="shared" si="5"/>
        <v> </v>
      </c>
      <c r="J81" s="4">
        <v>9.7</v>
      </c>
      <c r="K81" s="4">
        <v>18.449166666666667</v>
      </c>
      <c r="L81" s="4">
        <f t="shared" si="6"/>
        <v>8</v>
      </c>
      <c r="M81" s="4">
        <f t="shared" si="7"/>
        <v>1</v>
      </c>
      <c r="N81" s="4">
        <f t="shared" si="8"/>
        <v>9.20043</v>
      </c>
      <c r="O81" s="4">
        <f t="shared" si="9"/>
        <v>9.7</v>
      </c>
      <c r="P81" s="4">
        <f t="shared" si="10"/>
        <v>18.44916667</v>
      </c>
    </row>
    <row r="82" ht="15.75" customHeight="1">
      <c r="A82" s="4">
        <v>2008.0</v>
      </c>
      <c r="B82" s="9">
        <v>233.0</v>
      </c>
      <c r="C82" s="4">
        <v>10.05</v>
      </c>
      <c r="D82" s="4">
        <v>25.8</v>
      </c>
      <c r="E82" s="4">
        <f t="shared" si="1"/>
        <v>1</v>
      </c>
      <c r="F82" s="4">
        <f t="shared" si="2"/>
        <v>0</v>
      </c>
      <c r="G82" s="4">
        <f t="shared" si="3"/>
        <v>38.2403</v>
      </c>
      <c r="H82" s="4">
        <f t="shared" si="4"/>
        <v>36.2724</v>
      </c>
      <c r="I82" s="4" t="str">
        <f t="shared" si="5"/>
        <v> </v>
      </c>
      <c r="J82" s="4">
        <v>0.1</v>
      </c>
      <c r="K82" s="4">
        <v>17.959999999999997</v>
      </c>
      <c r="L82" s="4">
        <f t="shared" si="6"/>
        <v>8</v>
      </c>
      <c r="M82" s="4">
        <f t="shared" si="7"/>
        <v>1</v>
      </c>
      <c r="N82" s="4">
        <f t="shared" si="8"/>
        <v>4.61827</v>
      </c>
      <c r="O82" s="4">
        <f t="shared" si="9"/>
        <v>0.1</v>
      </c>
      <c r="P82" s="4">
        <f t="shared" si="10"/>
        <v>17.96</v>
      </c>
    </row>
    <row r="83" ht="15.75" customHeight="1">
      <c r="A83" s="4">
        <v>2008.0</v>
      </c>
      <c r="B83" s="9">
        <v>234.0</v>
      </c>
      <c r="C83" s="4">
        <v>12.78</v>
      </c>
      <c r="D83" s="4">
        <v>26.46</v>
      </c>
      <c r="E83" s="4">
        <f t="shared" si="1"/>
        <v>1</v>
      </c>
      <c r="F83" s="4">
        <f t="shared" si="2"/>
        <v>0</v>
      </c>
      <c r="G83" s="4">
        <f t="shared" si="3"/>
        <v>38.1524</v>
      </c>
      <c r="H83" s="4">
        <f t="shared" si="4"/>
        <v>35.7931</v>
      </c>
      <c r="I83" s="4" t="str">
        <f t="shared" si="5"/>
        <v> </v>
      </c>
      <c r="J83" s="4">
        <v>0.3</v>
      </c>
      <c r="K83" s="4">
        <v>19.660833333333333</v>
      </c>
      <c r="L83" s="4">
        <f t="shared" si="6"/>
        <v>8</v>
      </c>
      <c r="M83" s="4">
        <f t="shared" si="7"/>
        <v>0</v>
      </c>
      <c r="N83" s="4">
        <f t="shared" si="8"/>
        <v>-5.89932</v>
      </c>
      <c r="O83" s="4">
        <f t="shared" si="9"/>
        <v>0.3</v>
      </c>
      <c r="P83" s="4">
        <f t="shared" si="10"/>
        <v>19.66083333</v>
      </c>
    </row>
    <row r="84" ht="15.75" customHeight="1">
      <c r="A84" s="4">
        <v>2008.0</v>
      </c>
      <c r="B84" s="9">
        <v>235.0</v>
      </c>
      <c r="C84" s="4">
        <v>13.87</v>
      </c>
      <c r="D84" s="4">
        <v>21.75</v>
      </c>
      <c r="E84" s="4">
        <f t="shared" si="1"/>
        <v>0</v>
      </c>
      <c r="F84" s="4">
        <f t="shared" si="2"/>
        <v>0</v>
      </c>
      <c r="G84" s="4">
        <f t="shared" si="3"/>
        <v>27.2387</v>
      </c>
      <c r="H84" s="4">
        <f t="shared" si="4"/>
        <v>25.52205</v>
      </c>
      <c r="I84" s="4" t="str">
        <f t="shared" si="5"/>
        <v> </v>
      </c>
      <c r="J84" s="4">
        <v>0.0</v>
      </c>
      <c r="K84" s="4">
        <v>17.033333333333335</v>
      </c>
      <c r="L84" s="4">
        <f t="shared" si="6"/>
        <v>3</v>
      </c>
      <c r="M84" s="4">
        <f t="shared" si="7"/>
        <v>0</v>
      </c>
      <c r="N84" s="4">
        <f t="shared" si="8"/>
        <v>-7.45169</v>
      </c>
      <c r="O84" s="4">
        <f t="shared" si="9"/>
        <v>0</v>
      </c>
      <c r="P84" s="4">
        <f t="shared" si="10"/>
        <v>17.03333333</v>
      </c>
    </row>
    <row r="85" ht="15.75" customHeight="1">
      <c r="A85" s="4">
        <v>2008.0</v>
      </c>
      <c r="B85" s="9">
        <v>236.0</v>
      </c>
      <c r="C85" s="4">
        <v>11.34</v>
      </c>
      <c r="D85" s="4">
        <v>23.82</v>
      </c>
      <c r="E85" s="4">
        <f t="shared" si="1"/>
        <v>0</v>
      </c>
      <c r="F85" s="4">
        <f t="shared" si="2"/>
        <v>0</v>
      </c>
      <c r="G85" s="4">
        <f t="shared" si="3"/>
        <v>28.3246</v>
      </c>
      <c r="H85" s="4">
        <f t="shared" si="4"/>
        <v>28.02615</v>
      </c>
      <c r="I85" s="4" t="str">
        <f t="shared" si="5"/>
        <v> </v>
      </c>
      <c r="J85" s="4">
        <v>0.0</v>
      </c>
      <c r="K85" s="4">
        <v>17.37458333333333</v>
      </c>
      <c r="L85" s="4">
        <f t="shared" si="6"/>
        <v>3</v>
      </c>
      <c r="M85" s="4">
        <f t="shared" si="7"/>
        <v>0</v>
      </c>
      <c r="N85" s="4">
        <f t="shared" si="8"/>
        <v>-4.90515</v>
      </c>
      <c r="O85" s="4">
        <f t="shared" si="9"/>
        <v>0</v>
      </c>
      <c r="P85" s="4">
        <f t="shared" si="10"/>
        <v>17.37458333</v>
      </c>
    </row>
    <row r="86" ht="15.75" customHeight="1">
      <c r="A86" s="4">
        <v>2008.0</v>
      </c>
      <c r="B86" s="9">
        <v>237.0</v>
      </c>
      <c r="C86" s="4">
        <v>13.34</v>
      </c>
      <c r="D86" s="4">
        <v>26.47</v>
      </c>
      <c r="E86" s="4">
        <f t="shared" si="1"/>
        <v>0</v>
      </c>
      <c r="F86" s="4">
        <f t="shared" si="2"/>
        <v>0</v>
      </c>
      <c r="G86" s="4">
        <f t="shared" si="3"/>
        <v>30.8758</v>
      </c>
      <c r="H86" s="4">
        <f t="shared" si="4"/>
        <v>30.7917</v>
      </c>
      <c r="I86" s="4" t="str">
        <f t="shared" si="5"/>
        <v> </v>
      </c>
      <c r="J86" s="4">
        <v>0.0</v>
      </c>
      <c r="K86" s="4">
        <v>18.58791666666667</v>
      </c>
      <c r="L86" s="4">
        <f t="shared" si="6"/>
        <v>3</v>
      </c>
      <c r="M86" s="4">
        <f t="shared" si="7"/>
        <v>1</v>
      </c>
      <c r="N86" s="4">
        <f t="shared" si="8"/>
        <v>5.6611</v>
      </c>
      <c r="O86" s="4">
        <f t="shared" si="9"/>
        <v>0</v>
      </c>
      <c r="P86" s="4">
        <f t="shared" si="10"/>
        <v>18.58791667</v>
      </c>
    </row>
    <row r="87" ht="15.75" customHeight="1">
      <c r="A87" s="4">
        <v>2008.0</v>
      </c>
      <c r="B87" s="9">
        <v>238.0</v>
      </c>
      <c r="C87" s="4">
        <v>12.21</v>
      </c>
      <c r="D87" s="4">
        <v>26.44</v>
      </c>
      <c r="E87" s="4">
        <f t="shared" si="1"/>
        <v>1</v>
      </c>
      <c r="F87" s="4">
        <f t="shared" si="2"/>
        <v>1</v>
      </c>
      <c r="G87" s="4">
        <f t="shared" si="3"/>
        <v>29.0606</v>
      </c>
      <c r="H87" s="4">
        <f t="shared" si="4"/>
        <v>29.3236</v>
      </c>
      <c r="I87" s="4">
        <f t="shared" si="5"/>
        <v>0.263</v>
      </c>
      <c r="J87" s="4">
        <v>2.2</v>
      </c>
      <c r="K87" s="4">
        <v>18.186250000000005</v>
      </c>
      <c r="L87" s="4">
        <f t="shared" si="6"/>
        <v>8</v>
      </c>
      <c r="M87" s="4">
        <f t="shared" si="7"/>
        <v>1</v>
      </c>
      <c r="N87" s="4">
        <f t="shared" si="8"/>
        <v>10.43289</v>
      </c>
      <c r="O87" s="4">
        <f t="shared" si="9"/>
        <v>2.2</v>
      </c>
      <c r="P87" s="4">
        <f t="shared" si="10"/>
        <v>18.18625</v>
      </c>
    </row>
    <row r="88" ht="15.75" customHeight="1">
      <c r="A88" s="4">
        <v>2008.0</v>
      </c>
      <c r="B88" s="9">
        <v>239.0</v>
      </c>
      <c r="C88" s="4">
        <v>12.73</v>
      </c>
      <c r="D88" s="4">
        <v>15.17</v>
      </c>
      <c r="E88" s="4">
        <f t="shared" si="1"/>
        <v>1</v>
      </c>
      <c r="J88" s="4">
        <v>16.3</v>
      </c>
      <c r="K88" s="4">
        <v>13.524583333333334</v>
      </c>
      <c r="L88" s="4">
        <f t="shared" si="6"/>
        <v>8</v>
      </c>
      <c r="O88" s="4">
        <f t="shared" si="9"/>
        <v>16.3</v>
      </c>
      <c r="P88" s="4">
        <f t="shared" si="10"/>
        <v>13.52458333</v>
      </c>
    </row>
    <row r="89" ht="15.75" customHeight="1">
      <c r="A89" s="4">
        <v>2008.0</v>
      </c>
      <c r="B89" s="9">
        <v>240.0</v>
      </c>
      <c r="C89" s="4">
        <v>11.44</v>
      </c>
      <c r="D89" s="4">
        <v>15.47</v>
      </c>
      <c r="E89" s="4">
        <f t="shared" si="1"/>
        <v>1</v>
      </c>
      <c r="J89" s="4">
        <v>0.4</v>
      </c>
      <c r="K89" s="4">
        <v>13.205</v>
      </c>
      <c r="L89" s="4">
        <f t="shared" si="6"/>
        <v>8</v>
      </c>
      <c r="O89" s="4">
        <f t="shared" si="9"/>
        <v>0.4</v>
      </c>
      <c r="P89" s="4">
        <f t="shared" si="10"/>
        <v>13.205</v>
      </c>
    </row>
    <row r="90" ht="15.75" customHeight="1">
      <c r="A90" s="4">
        <v>2008.0</v>
      </c>
      <c r="B90" s="9">
        <v>241.0</v>
      </c>
      <c r="C90" s="4">
        <v>11.94</v>
      </c>
      <c r="D90" s="4">
        <v>19.0</v>
      </c>
      <c r="E90" s="4">
        <f t="shared" si="1"/>
        <v>1</v>
      </c>
      <c r="J90" s="4">
        <v>0.6</v>
      </c>
      <c r="K90" s="4">
        <v>15.485000000000001</v>
      </c>
      <c r="L90" s="4">
        <f t="shared" si="6"/>
        <v>8</v>
      </c>
      <c r="O90" s="4">
        <f t="shared" si="9"/>
        <v>0.6</v>
      </c>
      <c r="P90" s="4">
        <f t="shared" si="10"/>
        <v>15.485</v>
      </c>
    </row>
    <row r="91" ht="15.75" customHeight="1">
      <c r="A91" s="4">
        <v>2008.0</v>
      </c>
      <c r="B91" s="9">
        <v>242.0</v>
      </c>
      <c r="C91" s="4">
        <v>10.43</v>
      </c>
      <c r="D91" s="4">
        <v>18.4</v>
      </c>
      <c r="E91" s="4">
        <f t="shared" si="1"/>
        <v>0</v>
      </c>
      <c r="J91" s="4">
        <v>0.0</v>
      </c>
      <c r="K91" s="4">
        <v>15.786666666666664</v>
      </c>
      <c r="L91" s="4">
        <f t="shared" si="6"/>
        <v>3</v>
      </c>
      <c r="O91" s="4">
        <f t="shared" si="9"/>
        <v>0</v>
      </c>
      <c r="P91" s="4">
        <f t="shared" si="10"/>
        <v>15.78666667</v>
      </c>
    </row>
    <row r="92" ht="15.75" customHeight="1">
      <c r="A92" s="4">
        <v>2008.0</v>
      </c>
      <c r="B92" s="9">
        <v>243.0</v>
      </c>
      <c r="C92" s="4">
        <v>8.74</v>
      </c>
      <c r="D92" s="4">
        <v>12.54</v>
      </c>
      <c r="E92" s="4">
        <f t="shared" si="1"/>
        <v>1</v>
      </c>
      <c r="J92" s="4">
        <v>0.2</v>
      </c>
      <c r="K92" s="4">
        <v>10.430416666666668</v>
      </c>
      <c r="L92" s="4">
        <f t="shared" si="6"/>
        <v>8</v>
      </c>
      <c r="O92" s="4">
        <f t="shared" si="9"/>
        <v>0.2</v>
      </c>
      <c r="P92" s="4">
        <f t="shared" si="10"/>
        <v>10.43041667</v>
      </c>
    </row>
    <row r="93" ht="15.75" customHeight="1">
      <c r="A93" s="4">
        <v>2008.0</v>
      </c>
      <c r="B93" s="9">
        <v>244.0</v>
      </c>
      <c r="C93" s="4">
        <v>7.1</v>
      </c>
      <c r="D93" s="4">
        <v>12.68</v>
      </c>
      <c r="E93" s="4">
        <f t="shared" si="1"/>
        <v>1</v>
      </c>
      <c r="J93" s="4">
        <v>1.3</v>
      </c>
      <c r="K93" s="4">
        <v>9.132083333333332</v>
      </c>
      <c r="L93" s="4">
        <f t="shared" si="6"/>
        <v>8</v>
      </c>
      <c r="O93" s="4">
        <f t="shared" si="9"/>
        <v>0</v>
      </c>
      <c r="P93" s="4">
        <f t="shared" si="10"/>
        <v>0</v>
      </c>
    </row>
    <row r="94" ht="15.75" customHeight="1"/>
    <row r="95" ht="15.75" customHeight="1">
      <c r="H95" s="4" t="s">
        <v>15</v>
      </c>
    </row>
    <row r="96" ht="15.75" customHeight="1">
      <c r="O96" s="4">
        <f>SUM(O2:O93)</f>
        <v>258.4</v>
      </c>
      <c r="P96" s="4">
        <f>SUMIF(P2:P93,"&gt;0")/10</f>
        <v>151.4755125</v>
      </c>
    </row>
    <row r="97" ht="15.75" customHeight="1"/>
    <row r="98" ht="15.75" customHeight="1">
      <c r="I98" s="4">
        <f>SUM(I2:I87)</f>
        <v>29.858865</v>
      </c>
      <c r="O98" s="4" t="s">
        <v>15</v>
      </c>
      <c r="P98" s="4">
        <f>O96/P96</f>
        <v>1.70588629</v>
      </c>
    </row>
    <row r="99" ht="15.75" customHeight="1">
      <c r="I99" s="4">
        <f>SUM(I2:I31)</f>
        <v>9.835095</v>
      </c>
      <c r="O99" s="4" t="s">
        <v>16</v>
      </c>
      <c r="P99" s="4">
        <f>SUM(O2:O31)/(SUM(P2:P31)/10)</f>
        <v>1.64110597</v>
      </c>
    </row>
    <row r="100" ht="15.75" customHeight="1">
      <c r="I100" s="4">
        <f>SUM(I32:I62)</f>
        <v>14.7095</v>
      </c>
      <c r="O100" s="4" t="s">
        <v>17</v>
      </c>
      <c r="P100" s="4">
        <f>SUM(O33:O62)/(SUM(P33:P62)/10)</f>
        <v>2.183993586</v>
      </c>
    </row>
    <row r="101" ht="15.75" customHeight="1">
      <c r="I101" s="4">
        <f>SUM(I63:I93)</f>
        <v>5.31427</v>
      </c>
      <c r="O101" s="4" t="s">
        <v>18</v>
      </c>
      <c r="P101" s="4">
        <f>SUM(O63:O93)/(SUM(P63:P93)/10)</f>
        <v>1.301626199</v>
      </c>
    </row>
    <row r="102" ht="15.75" customHeight="1">
      <c r="I102" s="4">
        <f>SUMIF(I2:I87,"&gt;0")</f>
        <v>29.858865</v>
      </c>
    </row>
    <row r="103" ht="15.75" customHeight="1">
      <c r="I103" s="4">
        <f>SUMIF(I2:I31,"&gt;0")</f>
        <v>9.835095</v>
      </c>
    </row>
    <row r="104" ht="15.75" customHeight="1">
      <c r="I104" s="4">
        <f>SUMIF(I32:I62,"&gt;0")</f>
        <v>14.7095</v>
      </c>
      <c r="P104" s="4">
        <f>SUM(O16:O35)/(SUM(P16:P35)/10)</f>
        <v>1.783266859</v>
      </c>
    </row>
    <row r="105" ht="15.75" customHeight="1">
      <c r="I105" s="4">
        <f>SUMIF(I63:I87,"&gt;0")</f>
        <v>5.31427</v>
      </c>
      <c r="P105" s="4">
        <f>SUM(O36:O55)/(SUM(P36:P55)/10)</f>
        <v>2.739148712</v>
      </c>
    </row>
    <row r="106" ht="15.75" customHeight="1">
      <c r="P106" s="4">
        <f>SUM(O56:O77)/(SUM(P56:P77)/10)</f>
        <v>1.216579223</v>
      </c>
    </row>
    <row r="107" ht="15.75" customHeight="1">
      <c r="P107" s="4">
        <f>SUM(O16:O77)/(SUM(P16:P77)/10)</f>
        <v>1.95006406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20</v>
      </c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2009.0</v>
      </c>
      <c r="B2" s="4">
        <v>152.0</v>
      </c>
      <c r="C2" s="4">
        <v>8.47</v>
      </c>
      <c r="D2" s="4">
        <v>26.88</v>
      </c>
      <c r="E2" s="4">
        <f t="shared" ref="E2:E93" si="1">IF(J2&gt;0,1,0)</f>
        <v>0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30.13553</v>
      </c>
      <c r="H2" s="4">
        <f t="shared" ref="H2:H87" si="4">0.63 * D2 + 0.37 * D3 + 0.49 * D4 + 0.22 * D5 + 0.65 * D6 + 0.24 *C2 - 0.06 * C3- 0.15 * C4 - 0.135 * C5 + 0.15 * C6 + 4.88 * E2 + 3.55 * E3 + 3.34 *E4 + 2.5 * E5 + 2.29 *E6-31.34</f>
        <v>29.076</v>
      </c>
      <c r="I2" s="4" t="str">
        <f t="shared" ref="I2:I87" si="5">IF((H2-G2)&gt;0,H2-G2," ")</f>
        <v> </v>
      </c>
      <c r="J2" s="4">
        <v>0.0</v>
      </c>
      <c r="K2" s="4">
        <v>19.26</v>
      </c>
      <c r="L2" s="4">
        <f t="shared" ref="L2:L93" si="6">IF(E2&gt;0,8,3)</f>
        <v>3</v>
      </c>
      <c r="M2" s="4">
        <f t="shared" ref="M2:M87" si="7">IF(N2&gt;=0,1,0)</f>
        <v>1</v>
      </c>
      <c r="N2" s="4">
        <v>2.950673</v>
      </c>
      <c r="O2" s="4">
        <f t="shared" ref="O2:O93" si="8">IF(K2&gt;10,J2,0)</f>
        <v>0</v>
      </c>
      <c r="P2" s="4">
        <f t="shared" ref="P2:P93" si="9">IF(K2&gt;10,K2,0)</f>
        <v>19.26</v>
      </c>
    </row>
    <row r="3">
      <c r="A3" s="4">
        <v>2009.0</v>
      </c>
      <c r="B3" s="4">
        <v>153.0</v>
      </c>
      <c r="C3" s="4">
        <v>12.03</v>
      </c>
      <c r="D3" s="4">
        <v>24.67</v>
      </c>
      <c r="E3" s="4">
        <f t="shared" si="1"/>
        <v>0</v>
      </c>
      <c r="F3" s="4">
        <f t="shared" si="2"/>
        <v>1</v>
      </c>
      <c r="G3" s="4">
        <f t="shared" si="3"/>
        <v>26.38098</v>
      </c>
      <c r="H3" s="4">
        <f t="shared" si="4"/>
        <v>27.630745</v>
      </c>
      <c r="I3" s="4">
        <f t="shared" si="5"/>
        <v>1.249765</v>
      </c>
      <c r="J3" s="4">
        <v>0.0</v>
      </c>
      <c r="K3" s="4">
        <v>18.53</v>
      </c>
      <c r="L3" s="4">
        <f t="shared" si="6"/>
        <v>3</v>
      </c>
      <c r="M3" s="4">
        <f t="shared" si="7"/>
        <v>1</v>
      </c>
      <c r="N3" s="4">
        <v>0.5025369999999996</v>
      </c>
      <c r="O3" s="4">
        <f t="shared" si="8"/>
        <v>0</v>
      </c>
      <c r="P3" s="4">
        <f t="shared" si="9"/>
        <v>18.53</v>
      </c>
    </row>
    <row r="4">
      <c r="A4" s="4">
        <v>2009.0</v>
      </c>
      <c r="B4" s="4">
        <v>154.0</v>
      </c>
      <c r="C4" s="4">
        <v>13.05</v>
      </c>
      <c r="D4" s="4">
        <v>24.03</v>
      </c>
      <c r="E4" s="4">
        <f t="shared" si="1"/>
        <v>1</v>
      </c>
      <c r="F4" s="4">
        <f t="shared" si="2"/>
        <v>1</v>
      </c>
      <c r="G4" s="4">
        <f t="shared" si="3"/>
        <v>29.68923</v>
      </c>
      <c r="H4" s="4">
        <f t="shared" si="4"/>
        <v>32.35785</v>
      </c>
      <c r="I4" s="4">
        <f t="shared" si="5"/>
        <v>2.66862</v>
      </c>
      <c r="J4" s="4">
        <v>5.8</v>
      </c>
      <c r="K4" s="4">
        <v>18.12</v>
      </c>
      <c r="L4" s="4">
        <f t="shared" si="6"/>
        <v>8</v>
      </c>
      <c r="M4" s="4">
        <f t="shared" si="7"/>
        <v>0</v>
      </c>
      <c r="N4" s="4">
        <v>-2.140271000000001</v>
      </c>
      <c r="O4" s="4">
        <f t="shared" si="8"/>
        <v>5.8</v>
      </c>
      <c r="P4" s="4">
        <f t="shared" si="9"/>
        <v>18.12</v>
      </c>
    </row>
    <row r="5">
      <c r="A5" s="4">
        <v>2009.0</v>
      </c>
      <c r="B5" s="4">
        <v>155.0</v>
      </c>
      <c r="C5" s="4">
        <v>8.77</v>
      </c>
      <c r="D5" s="4">
        <v>17.05</v>
      </c>
      <c r="E5" s="4">
        <f t="shared" si="1"/>
        <v>1</v>
      </c>
      <c r="F5" s="4">
        <f t="shared" si="2"/>
        <v>1</v>
      </c>
      <c r="G5" s="4">
        <f t="shared" si="3"/>
        <v>24.45815</v>
      </c>
      <c r="H5" s="4">
        <f t="shared" si="4"/>
        <v>28.805235</v>
      </c>
      <c r="I5" s="4">
        <f t="shared" si="5"/>
        <v>4.347085</v>
      </c>
      <c r="J5" s="4">
        <v>0.3</v>
      </c>
      <c r="K5" s="4">
        <v>14.06</v>
      </c>
      <c r="L5" s="4">
        <f t="shared" si="6"/>
        <v>8</v>
      </c>
      <c r="M5" s="4">
        <f t="shared" si="7"/>
        <v>1</v>
      </c>
      <c r="N5" s="4">
        <v>1.4515699999999983</v>
      </c>
      <c r="O5" s="4">
        <f t="shared" si="8"/>
        <v>0.3</v>
      </c>
      <c r="P5" s="4">
        <f t="shared" si="9"/>
        <v>14.06</v>
      </c>
    </row>
    <row r="6">
      <c r="A6" s="4">
        <v>2009.0</v>
      </c>
      <c r="B6" s="4">
        <v>156.0</v>
      </c>
      <c r="C6" s="4">
        <v>5.133</v>
      </c>
      <c r="D6" s="4">
        <v>18.09</v>
      </c>
      <c r="E6" s="4">
        <f t="shared" si="1"/>
        <v>1</v>
      </c>
      <c r="F6" s="4">
        <f t="shared" si="2"/>
        <v>1</v>
      </c>
      <c r="G6" s="4">
        <f t="shared" si="3"/>
        <v>28.02359</v>
      </c>
      <c r="H6" s="4">
        <f t="shared" si="4"/>
        <v>30.68187</v>
      </c>
      <c r="I6" s="4">
        <f t="shared" si="5"/>
        <v>2.65828</v>
      </c>
      <c r="J6" s="4">
        <v>4.0</v>
      </c>
      <c r="K6" s="4">
        <v>11.64</v>
      </c>
      <c r="L6" s="4">
        <f t="shared" si="6"/>
        <v>8</v>
      </c>
      <c r="M6" s="4">
        <f t="shared" si="7"/>
        <v>1</v>
      </c>
      <c r="N6" s="4">
        <v>5.0221420000000006</v>
      </c>
      <c r="O6" s="4">
        <f t="shared" si="8"/>
        <v>4</v>
      </c>
      <c r="P6" s="4">
        <f t="shared" si="9"/>
        <v>11.64</v>
      </c>
    </row>
    <row r="7">
      <c r="A7" s="4">
        <v>2009.0</v>
      </c>
      <c r="B7" s="4">
        <v>157.0</v>
      </c>
      <c r="C7" s="4">
        <v>7.03</v>
      </c>
      <c r="D7" s="4">
        <v>14.42</v>
      </c>
      <c r="E7" s="4">
        <f t="shared" si="1"/>
        <v>1</v>
      </c>
      <c r="F7" s="4">
        <f t="shared" si="2"/>
        <v>1</v>
      </c>
      <c r="G7" s="4">
        <f t="shared" si="3"/>
        <v>31.18073</v>
      </c>
      <c r="H7" s="4">
        <f t="shared" si="4"/>
        <v>35.569365</v>
      </c>
      <c r="I7" s="4">
        <f t="shared" si="5"/>
        <v>4.388635</v>
      </c>
      <c r="J7" s="4">
        <v>0.2</v>
      </c>
      <c r="K7" s="4">
        <v>10.33</v>
      </c>
      <c r="L7" s="4">
        <f t="shared" si="6"/>
        <v>8</v>
      </c>
      <c r="M7" s="4">
        <f t="shared" si="7"/>
        <v>1</v>
      </c>
      <c r="N7" s="4">
        <v>10.496180000000003</v>
      </c>
      <c r="O7" s="4">
        <f t="shared" si="8"/>
        <v>0.2</v>
      </c>
      <c r="P7" s="4">
        <f t="shared" si="9"/>
        <v>10.33</v>
      </c>
    </row>
    <row r="8">
      <c r="A8" s="4">
        <v>2009.0</v>
      </c>
      <c r="B8" s="4">
        <v>158.0</v>
      </c>
      <c r="C8" s="4">
        <v>4.731</v>
      </c>
      <c r="D8" s="4">
        <v>18.55</v>
      </c>
      <c r="E8" s="4">
        <f t="shared" si="1"/>
        <v>1</v>
      </c>
      <c r="F8" s="4">
        <f t="shared" si="2"/>
        <v>1</v>
      </c>
      <c r="G8" s="4">
        <f t="shared" si="3"/>
        <v>38.6152</v>
      </c>
      <c r="H8" s="4">
        <f t="shared" si="4"/>
        <v>41.31019</v>
      </c>
      <c r="I8" s="4">
        <f t="shared" si="5"/>
        <v>2.69499</v>
      </c>
      <c r="J8" s="4">
        <v>4.7</v>
      </c>
      <c r="K8" s="4">
        <v>11.46</v>
      </c>
      <c r="L8" s="4">
        <f t="shared" si="6"/>
        <v>8</v>
      </c>
      <c r="M8" s="4">
        <f t="shared" si="7"/>
        <v>1</v>
      </c>
      <c r="N8" s="4">
        <v>10.084209999999999</v>
      </c>
      <c r="O8" s="4">
        <f t="shared" si="8"/>
        <v>4.7</v>
      </c>
      <c r="P8" s="4">
        <f t="shared" si="9"/>
        <v>11.46</v>
      </c>
    </row>
    <row r="9">
      <c r="A9" s="4">
        <v>2009.0</v>
      </c>
      <c r="B9" s="4">
        <v>159.0</v>
      </c>
      <c r="C9" s="4">
        <v>10.89</v>
      </c>
      <c r="D9" s="4">
        <v>20.41</v>
      </c>
      <c r="E9" s="4">
        <f t="shared" si="1"/>
        <v>1</v>
      </c>
      <c r="F9" s="4">
        <f t="shared" si="2"/>
        <v>1</v>
      </c>
      <c r="G9" s="4">
        <f t="shared" si="3"/>
        <v>43.90445</v>
      </c>
      <c r="H9" s="4">
        <f t="shared" si="4"/>
        <v>45.94665</v>
      </c>
      <c r="I9" s="4">
        <f t="shared" si="5"/>
        <v>2.0422</v>
      </c>
      <c r="J9" s="4">
        <v>0.3</v>
      </c>
      <c r="K9" s="4">
        <v>15.39</v>
      </c>
      <c r="L9" s="4">
        <f t="shared" si="6"/>
        <v>8</v>
      </c>
      <c r="M9" s="4">
        <f t="shared" si="7"/>
        <v>1</v>
      </c>
      <c r="N9" s="4">
        <v>10.10079</v>
      </c>
      <c r="O9" s="4">
        <f t="shared" si="8"/>
        <v>0.3</v>
      </c>
      <c r="P9" s="4">
        <f t="shared" si="9"/>
        <v>15.39</v>
      </c>
    </row>
    <row r="10">
      <c r="A10" s="4">
        <v>2009.0</v>
      </c>
      <c r="B10" s="4">
        <v>160.0</v>
      </c>
      <c r="C10" s="4">
        <v>6.305</v>
      </c>
      <c r="D10" s="4">
        <v>23.96</v>
      </c>
      <c r="E10" s="4">
        <f t="shared" si="1"/>
        <v>1</v>
      </c>
      <c r="F10" s="4">
        <f t="shared" si="2"/>
        <v>1</v>
      </c>
      <c r="G10" s="4">
        <f t="shared" si="3"/>
        <v>46.8321</v>
      </c>
      <c r="H10" s="4">
        <f t="shared" si="4"/>
        <v>48.89685</v>
      </c>
      <c r="I10" s="4">
        <f t="shared" si="5"/>
        <v>2.06475</v>
      </c>
      <c r="J10" s="4">
        <v>4.2</v>
      </c>
      <c r="K10" s="4">
        <v>15.6</v>
      </c>
      <c r="L10" s="4">
        <f t="shared" si="6"/>
        <v>8</v>
      </c>
      <c r="M10" s="4">
        <f t="shared" si="7"/>
        <v>1</v>
      </c>
      <c r="N10" s="4">
        <v>8.325400000000002</v>
      </c>
      <c r="O10" s="4">
        <f t="shared" si="8"/>
        <v>4.2</v>
      </c>
      <c r="P10" s="4">
        <f t="shared" si="9"/>
        <v>15.6</v>
      </c>
    </row>
    <row r="11">
      <c r="A11" s="4">
        <v>2009.0</v>
      </c>
      <c r="B11" s="4">
        <v>161.0</v>
      </c>
      <c r="C11" s="4">
        <v>13.62</v>
      </c>
      <c r="D11" s="4">
        <v>27.95</v>
      </c>
      <c r="E11" s="4">
        <f t="shared" si="1"/>
        <v>1</v>
      </c>
      <c r="F11" s="4">
        <f t="shared" si="2"/>
        <v>1</v>
      </c>
      <c r="G11" s="4">
        <f t="shared" si="3"/>
        <v>46.3116</v>
      </c>
      <c r="H11" s="4">
        <f t="shared" si="4"/>
        <v>47.3167</v>
      </c>
      <c r="I11" s="4">
        <f t="shared" si="5"/>
        <v>1.0051</v>
      </c>
      <c r="J11" s="4">
        <v>0.1</v>
      </c>
      <c r="K11" s="4">
        <v>19.61</v>
      </c>
      <c r="L11" s="4">
        <f t="shared" si="6"/>
        <v>8</v>
      </c>
      <c r="M11" s="4">
        <f t="shared" si="7"/>
        <v>1</v>
      </c>
      <c r="N11" s="4">
        <v>12.03988</v>
      </c>
      <c r="O11" s="4">
        <f t="shared" si="8"/>
        <v>0.1</v>
      </c>
      <c r="P11" s="4">
        <f t="shared" si="9"/>
        <v>19.61</v>
      </c>
    </row>
    <row r="12">
      <c r="A12" s="4">
        <v>2009.0</v>
      </c>
      <c r="B12" s="4">
        <v>162.0</v>
      </c>
      <c r="C12" s="4">
        <v>14.93</v>
      </c>
      <c r="D12" s="4">
        <v>29.27</v>
      </c>
      <c r="E12" s="4">
        <f t="shared" si="1"/>
        <v>1</v>
      </c>
      <c r="F12" s="4">
        <f t="shared" si="2"/>
        <v>0</v>
      </c>
      <c r="G12" s="4">
        <f t="shared" si="3"/>
        <v>44.7239</v>
      </c>
      <c r="H12" s="4">
        <f t="shared" si="4"/>
        <v>44.55655</v>
      </c>
      <c r="I12" s="4" t="str">
        <f t="shared" si="5"/>
        <v> </v>
      </c>
      <c r="J12" s="4">
        <v>3.6</v>
      </c>
      <c r="K12" s="4">
        <v>21.2</v>
      </c>
      <c r="L12" s="4">
        <f t="shared" si="6"/>
        <v>8</v>
      </c>
      <c r="M12" s="4">
        <f t="shared" si="7"/>
        <v>1</v>
      </c>
      <c r="N12" s="4">
        <v>8.843430000000001</v>
      </c>
      <c r="O12" s="4">
        <f t="shared" si="8"/>
        <v>3.6</v>
      </c>
      <c r="P12" s="4">
        <f t="shared" si="9"/>
        <v>21.2</v>
      </c>
    </row>
    <row r="13">
      <c r="A13" s="4">
        <v>2009.0</v>
      </c>
      <c r="B13" s="4">
        <v>163.0</v>
      </c>
      <c r="C13" s="4">
        <v>14.79</v>
      </c>
      <c r="D13" s="4">
        <v>28.42</v>
      </c>
      <c r="E13" s="4">
        <f t="shared" si="1"/>
        <v>1</v>
      </c>
      <c r="F13" s="4">
        <f t="shared" si="2"/>
        <v>0</v>
      </c>
      <c r="G13" s="4">
        <f t="shared" si="3"/>
        <v>42.0019</v>
      </c>
      <c r="H13" s="4">
        <f t="shared" si="4"/>
        <v>40.80715</v>
      </c>
      <c r="I13" s="4" t="str">
        <f t="shared" si="5"/>
        <v> </v>
      </c>
      <c r="J13" s="4">
        <v>1.0</v>
      </c>
      <c r="K13" s="4">
        <v>21.36</v>
      </c>
      <c r="L13" s="4">
        <f t="shared" si="6"/>
        <v>8</v>
      </c>
      <c r="M13" s="4">
        <f t="shared" si="7"/>
        <v>1</v>
      </c>
      <c r="N13" s="4">
        <v>9.936780000000002</v>
      </c>
      <c r="O13" s="4">
        <f t="shared" si="8"/>
        <v>1</v>
      </c>
      <c r="P13" s="4">
        <f t="shared" si="9"/>
        <v>21.36</v>
      </c>
    </row>
    <row r="14">
      <c r="A14" s="4">
        <v>2009.0</v>
      </c>
      <c r="B14" s="4">
        <v>164.0</v>
      </c>
      <c r="C14" s="4">
        <v>15.66</v>
      </c>
      <c r="D14" s="4">
        <v>28.98</v>
      </c>
      <c r="E14" s="4">
        <f t="shared" si="1"/>
        <v>1</v>
      </c>
      <c r="F14" s="4">
        <f t="shared" si="2"/>
        <v>0</v>
      </c>
      <c r="G14" s="4">
        <f t="shared" si="3"/>
        <v>34.6583</v>
      </c>
      <c r="H14" s="4">
        <f t="shared" si="4"/>
        <v>34.55075</v>
      </c>
      <c r="I14" s="4" t="str">
        <f t="shared" si="5"/>
        <v> </v>
      </c>
      <c r="J14" s="4">
        <v>2.5</v>
      </c>
      <c r="K14" s="4">
        <v>21.36</v>
      </c>
      <c r="L14" s="4">
        <f t="shared" si="6"/>
        <v>8</v>
      </c>
      <c r="M14" s="4">
        <f t="shared" si="7"/>
        <v>1</v>
      </c>
      <c r="N14" s="4">
        <v>8.982140000000001</v>
      </c>
      <c r="O14" s="4">
        <f t="shared" si="8"/>
        <v>2.5</v>
      </c>
      <c r="P14" s="4">
        <f t="shared" si="9"/>
        <v>21.36</v>
      </c>
    </row>
    <row r="15">
      <c r="A15" s="4">
        <v>2009.0</v>
      </c>
      <c r="B15" s="4">
        <v>165.0</v>
      </c>
      <c r="C15" s="4">
        <v>11.63</v>
      </c>
      <c r="D15" s="4">
        <v>20.88</v>
      </c>
      <c r="E15" s="4">
        <f t="shared" si="1"/>
        <v>1</v>
      </c>
      <c r="F15" s="4">
        <f t="shared" si="2"/>
        <v>0</v>
      </c>
      <c r="G15" s="4">
        <f t="shared" si="3"/>
        <v>26.60434</v>
      </c>
      <c r="H15" s="4">
        <f t="shared" si="4"/>
        <v>25.1701</v>
      </c>
      <c r="I15" s="4" t="str">
        <f t="shared" si="5"/>
        <v> </v>
      </c>
      <c r="J15" s="4">
        <v>0.1</v>
      </c>
      <c r="K15" s="4">
        <v>16.43</v>
      </c>
      <c r="L15" s="4">
        <f t="shared" si="6"/>
        <v>8</v>
      </c>
      <c r="M15" s="4">
        <f t="shared" si="7"/>
        <v>1</v>
      </c>
      <c r="N15" s="4">
        <v>3.124349999999999</v>
      </c>
      <c r="O15" s="4">
        <f t="shared" si="8"/>
        <v>0.1</v>
      </c>
      <c r="P15" s="4">
        <f t="shared" si="9"/>
        <v>16.43</v>
      </c>
    </row>
    <row r="16">
      <c r="A16" s="4">
        <v>2009.0</v>
      </c>
      <c r="B16" s="4">
        <v>166.0</v>
      </c>
      <c r="C16" s="4">
        <v>8.63</v>
      </c>
      <c r="D16" s="4">
        <v>21.24</v>
      </c>
      <c r="E16" s="4">
        <f t="shared" si="1"/>
        <v>0</v>
      </c>
      <c r="F16" s="4">
        <f t="shared" si="2"/>
        <v>0</v>
      </c>
      <c r="G16" s="4">
        <f t="shared" si="3"/>
        <v>22.59349</v>
      </c>
      <c r="H16" s="4">
        <f t="shared" si="4"/>
        <v>21.58221</v>
      </c>
      <c r="I16" s="4" t="str">
        <f t="shared" si="5"/>
        <v> </v>
      </c>
      <c r="J16" s="4">
        <v>0.0</v>
      </c>
      <c r="K16" s="4">
        <v>15.97</v>
      </c>
      <c r="L16" s="4">
        <f t="shared" si="6"/>
        <v>3</v>
      </c>
      <c r="M16" s="4">
        <f t="shared" si="7"/>
        <v>0</v>
      </c>
      <c r="N16" s="4">
        <v>-3.423709999999999</v>
      </c>
      <c r="O16" s="4">
        <f t="shared" si="8"/>
        <v>0</v>
      </c>
      <c r="P16" s="4">
        <f t="shared" si="9"/>
        <v>15.97</v>
      </c>
    </row>
    <row r="17">
      <c r="A17" s="4">
        <v>2009.0</v>
      </c>
      <c r="B17" s="4">
        <v>167.0</v>
      </c>
      <c r="C17" s="4">
        <v>8.57</v>
      </c>
      <c r="D17" s="4">
        <v>24.4</v>
      </c>
      <c r="E17" s="4">
        <f t="shared" si="1"/>
        <v>0</v>
      </c>
      <c r="F17" s="4">
        <f t="shared" si="2"/>
        <v>1</v>
      </c>
      <c r="G17" s="4">
        <f t="shared" si="3"/>
        <v>22.82736</v>
      </c>
      <c r="H17" s="4">
        <f t="shared" si="4"/>
        <v>23.218375</v>
      </c>
      <c r="I17" s="4">
        <f t="shared" si="5"/>
        <v>0.391015</v>
      </c>
      <c r="J17" s="4">
        <v>0.0</v>
      </c>
      <c r="K17" s="4">
        <v>16.99</v>
      </c>
      <c r="L17" s="4">
        <f t="shared" si="6"/>
        <v>3</v>
      </c>
      <c r="M17" s="4">
        <f t="shared" si="7"/>
        <v>0</v>
      </c>
      <c r="N17" s="4">
        <v>-8.339269999999999</v>
      </c>
      <c r="O17" s="4">
        <f t="shared" si="8"/>
        <v>0</v>
      </c>
      <c r="P17" s="4">
        <f t="shared" si="9"/>
        <v>16.99</v>
      </c>
    </row>
    <row r="18">
      <c r="A18" s="4">
        <v>2009.0</v>
      </c>
      <c r="B18" s="4">
        <v>168.0</v>
      </c>
      <c r="C18" s="4">
        <v>9.0</v>
      </c>
      <c r="D18" s="4">
        <v>17.62</v>
      </c>
      <c r="E18" s="4">
        <f t="shared" si="1"/>
        <v>1</v>
      </c>
      <c r="F18" s="4">
        <f t="shared" si="2"/>
        <v>1</v>
      </c>
      <c r="G18" s="4">
        <f t="shared" si="3"/>
        <v>21.95102</v>
      </c>
      <c r="H18" s="4">
        <f t="shared" si="4"/>
        <v>24.12551</v>
      </c>
      <c r="I18" s="4">
        <f t="shared" si="5"/>
        <v>2.17449</v>
      </c>
      <c r="J18" s="4">
        <v>1.9</v>
      </c>
      <c r="K18" s="4">
        <v>14.24</v>
      </c>
      <c r="L18" s="4">
        <f t="shared" si="6"/>
        <v>8</v>
      </c>
      <c r="M18" s="4">
        <f t="shared" si="7"/>
        <v>0</v>
      </c>
      <c r="N18" s="4">
        <v>-10.436359999999999</v>
      </c>
      <c r="O18" s="4">
        <f t="shared" si="8"/>
        <v>1.9</v>
      </c>
      <c r="P18" s="4">
        <f t="shared" si="9"/>
        <v>14.24</v>
      </c>
    </row>
    <row r="19">
      <c r="A19" s="4">
        <v>2009.0</v>
      </c>
      <c r="B19" s="4">
        <v>169.0</v>
      </c>
      <c r="C19" s="4">
        <v>6.364</v>
      </c>
      <c r="D19" s="4">
        <v>17.78</v>
      </c>
      <c r="E19" s="4">
        <f t="shared" si="1"/>
        <v>0</v>
      </c>
      <c r="F19" s="4">
        <f t="shared" si="2"/>
        <v>0</v>
      </c>
      <c r="G19" s="4">
        <f t="shared" si="3"/>
        <v>23.73835</v>
      </c>
      <c r="H19" s="4">
        <f t="shared" si="4"/>
        <v>22.94971</v>
      </c>
      <c r="I19" s="4" t="str">
        <f t="shared" si="5"/>
        <v> </v>
      </c>
      <c r="J19" s="4">
        <v>0.0</v>
      </c>
      <c r="K19" s="4">
        <v>11.97</v>
      </c>
      <c r="L19" s="4">
        <f t="shared" si="6"/>
        <v>3</v>
      </c>
      <c r="M19" s="4">
        <f t="shared" si="7"/>
        <v>0</v>
      </c>
      <c r="N19" s="4">
        <v>-7.276720000000001</v>
      </c>
      <c r="O19" s="4">
        <f t="shared" si="8"/>
        <v>0</v>
      </c>
      <c r="P19" s="4">
        <f t="shared" si="9"/>
        <v>11.97</v>
      </c>
    </row>
    <row r="20">
      <c r="A20" s="4">
        <v>2009.0</v>
      </c>
      <c r="B20" s="4">
        <v>170.0</v>
      </c>
      <c r="C20" s="4">
        <v>6.995</v>
      </c>
      <c r="D20" s="4">
        <v>18.37</v>
      </c>
      <c r="E20" s="4">
        <f t="shared" si="1"/>
        <v>1</v>
      </c>
      <c r="F20" s="4">
        <f t="shared" si="2"/>
        <v>1</v>
      </c>
      <c r="G20" s="4">
        <f t="shared" si="3"/>
        <v>27.7754</v>
      </c>
      <c r="H20" s="4">
        <f t="shared" si="4"/>
        <v>28.4912</v>
      </c>
      <c r="I20" s="4">
        <f t="shared" si="5"/>
        <v>0.7158</v>
      </c>
      <c r="J20" s="4">
        <v>5.5</v>
      </c>
      <c r="K20" s="4">
        <v>12.28</v>
      </c>
      <c r="L20" s="4">
        <f t="shared" si="6"/>
        <v>8</v>
      </c>
      <c r="M20" s="4">
        <f t="shared" si="7"/>
        <v>0</v>
      </c>
      <c r="N20" s="4">
        <v>-10.342890000000002</v>
      </c>
      <c r="O20" s="4">
        <f t="shared" si="8"/>
        <v>5.5</v>
      </c>
      <c r="P20" s="4">
        <f t="shared" si="9"/>
        <v>12.28</v>
      </c>
    </row>
    <row r="21" ht="15.75" customHeight="1">
      <c r="A21" s="4">
        <v>2009.0</v>
      </c>
      <c r="B21" s="4">
        <v>171.0</v>
      </c>
      <c r="C21" s="4">
        <v>10.76</v>
      </c>
      <c r="D21" s="4">
        <v>15.91</v>
      </c>
      <c r="E21" s="4">
        <f t="shared" si="1"/>
        <v>1</v>
      </c>
      <c r="F21" s="4">
        <f t="shared" si="2"/>
        <v>1</v>
      </c>
      <c r="G21" s="4">
        <f t="shared" si="3"/>
        <v>24.1789</v>
      </c>
      <c r="H21" s="4">
        <f t="shared" si="4"/>
        <v>26.0645</v>
      </c>
      <c r="I21" s="4">
        <f t="shared" si="5"/>
        <v>1.8856</v>
      </c>
      <c r="J21" s="4">
        <v>3.2</v>
      </c>
      <c r="K21" s="4">
        <v>13.02</v>
      </c>
      <c r="L21" s="4">
        <f t="shared" si="6"/>
        <v>8</v>
      </c>
      <c r="M21" s="4">
        <f t="shared" si="7"/>
        <v>0</v>
      </c>
      <c r="N21" s="4">
        <v>-10.28384</v>
      </c>
      <c r="O21" s="4">
        <f t="shared" si="8"/>
        <v>3.2</v>
      </c>
      <c r="P21" s="4">
        <f t="shared" si="9"/>
        <v>13.02</v>
      </c>
    </row>
    <row r="22" ht="15.75" customHeight="1">
      <c r="A22" s="4">
        <v>2009.0</v>
      </c>
      <c r="B22" s="4">
        <v>172.0</v>
      </c>
      <c r="C22" s="4">
        <v>10.39</v>
      </c>
      <c r="D22" s="4">
        <v>17.6</v>
      </c>
      <c r="E22" s="4">
        <f t="shared" si="1"/>
        <v>1</v>
      </c>
      <c r="F22" s="4">
        <f t="shared" si="2"/>
        <v>1</v>
      </c>
      <c r="G22" s="4">
        <f t="shared" si="3"/>
        <v>22.549</v>
      </c>
      <c r="H22" s="4">
        <f t="shared" si="4"/>
        <v>23.8397</v>
      </c>
      <c r="I22" s="4">
        <f t="shared" si="5"/>
        <v>1.2907</v>
      </c>
      <c r="J22" s="4">
        <v>0.6</v>
      </c>
      <c r="K22" s="4">
        <v>13.22</v>
      </c>
      <c r="L22" s="4">
        <f t="shared" si="6"/>
        <v>8</v>
      </c>
      <c r="M22" s="4">
        <f t="shared" si="7"/>
        <v>0</v>
      </c>
      <c r="N22" s="4">
        <v>-9.78983</v>
      </c>
      <c r="O22" s="4">
        <f t="shared" si="8"/>
        <v>0.6</v>
      </c>
      <c r="P22" s="4">
        <f t="shared" si="9"/>
        <v>13.22</v>
      </c>
    </row>
    <row r="23" ht="15.75" customHeight="1">
      <c r="A23" s="4">
        <v>2009.0</v>
      </c>
      <c r="B23" s="4">
        <v>173.0</v>
      </c>
      <c r="C23" s="4">
        <v>9.46</v>
      </c>
      <c r="D23" s="4">
        <v>24.19</v>
      </c>
      <c r="E23" s="4">
        <f t="shared" si="1"/>
        <v>0</v>
      </c>
      <c r="F23" s="4">
        <f t="shared" si="2"/>
        <v>0</v>
      </c>
      <c r="G23" s="4">
        <f t="shared" si="3"/>
        <v>27.0841</v>
      </c>
      <c r="H23" s="4">
        <f t="shared" si="4"/>
        <v>26.04685</v>
      </c>
      <c r="I23" s="4" t="str">
        <f t="shared" si="5"/>
        <v> </v>
      </c>
      <c r="J23" s="4">
        <v>0.0</v>
      </c>
      <c r="K23" s="4">
        <v>17.17</v>
      </c>
      <c r="L23" s="4">
        <f t="shared" si="6"/>
        <v>3</v>
      </c>
      <c r="M23" s="4">
        <f t="shared" si="7"/>
        <v>0</v>
      </c>
      <c r="N23" s="4">
        <v>-2.1520200000000003</v>
      </c>
      <c r="O23" s="4">
        <f t="shared" si="8"/>
        <v>0</v>
      </c>
      <c r="P23" s="4">
        <f t="shared" si="9"/>
        <v>17.17</v>
      </c>
    </row>
    <row r="24" ht="15.75" customHeight="1">
      <c r="A24" s="4">
        <v>2009.0</v>
      </c>
      <c r="B24" s="4">
        <v>174.0</v>
      </c>
      <c r="C24" s="4">
        <v>11.86</v>
      </c>
      <c r="D24" s="4">
        <v>25.66</v>
      </c>
      <c r="E24" s="4">
        <f t="shared" si="1"/>
        <v>0</v>
      </c>
      <c r="F24" s="4">
        <f t="shared" si="2"/>
        <v>0</v>
      </c>
      <c r="G24" s="4">
        <f t="shared" si="3"/>
        <v>32.2843</v>
      </c>
      <c r="H24" s="4">
        <f t="shared" si="4"/>
        <v>29.66895</v>
      </c>
      <c r="I24" s="4" t="str">
        <f t="shared" si="5"/>
        <v> </v>
      </c>
      <c r="J24" s="4">
        <v>0.0</v>
      </c>
      <c r="K24" s="4">
        <v>19.64</v>
      </c>
      <c r="L24" s="4">
        <f t="shared" si="6"/>
        <v>3</v>
      </c>
      <c r="M24" s="4">
        <f t="shared" si="7"/>
        <v>0</v>
      </c>
      <c r="N24" s="4">
        <v>-5.676580000000003</v>
      </c>
      <c r="O24" s="4">
        <f t="shared" si="8"/>
        <v>0</v>
      </c>
      <c r="P24" s="4">
        <f t="shared" si="9"/>
        <v>19.64</v>
      </c>
    </row>
    <row r="25" ht="15.75" customHeight="1">
      <c r="A25" s="4">
        <v>2009.0</v>
      </c>
      <c r="B25" s="4">
        <v>175.0</v>
      </c>
      <c r="C25" s="4">
        <v>12.72</v>
      </c>
      <c r="D25" s="4">
        <v>18.16</v>
      </c>
      <c r="E25" s="4">
        <f t="shared" si="1"/>
        <v>1</v>
      </c>
      <c r="F25" s="4">
        <f t="shared" si="2"/>
        <v>1</v>
      </c>
      <c r="G25" s="4">
        <f t="shared" si="3"/>
        <v>31.4148</v>
      </c>
      <c r="H25" s="4">
        <f t="shared" si="4"/>
        <v>32.05705</v>
      </c>
      <c r="I25" s="4">
        <f t="shared" si="5"/>
        <v>0.64225</v>
      </c>
      <c r="J25" s="4">
        <v>1.6</v>
      </c>
      <c r="K25" s="4">
        <v>15.58</v>
      </c>
      <c r="L25" s="4">
        <f t="shared" si="6"/>
        <v>8</v>
      </c>
      <c r="M25" s="4">
        <f t="shared" si="7"/>
        <v>0</v>
      </c>
      <c r="N25" s="4">
        <v>-1.0309399999999982</v>
      </c>
      <c r="O25" s="4">
        <f t="shared" si="8"/>
        <v>1.6</v>
      </c>
      <c r="P25" s="4">
        <f t="shared" si="9"/>
        <v>15.58</v>
      </c>
    </row>
    <row r="26" ht="15.75" customHeight="1">
      <c r="A26" s="4">
        <v>2009.0</v>
      </c>
      <c r="B26" s="4">
        <v>176.0</v>
      </c>
      <c r="C26" s="4">
        <v>12.23</v>
      </c>
      <c r="D26" s="4">
        <v>13.29</v>
      </c>
      <c r="E26" s="4">
        <f t="shared" si="1"/>
        <v>1</v>
      </c>
      <c r="F26" s="4">
        <f t="shared" si="2"/>
        <v>0</v>
      </c>
      <c r="G26" s="4">
        <f t="shared" si="3"/>
        <v>28.6677</v>
      </c>
      <c r="H26" s="4">
        <f t="shared" si="4"/>
        <v>28.02925</v>
      </c>
      <c r="I26" s="4" t="str">
        <f t="shared" si="5"/>
        <v> </v>
      </c>
      <c r="J26" s="4">
        <v>3.3</v>
      </c>
      <c r="K26" s="4">
        <v>12.77</v>
      </c>
      <c r="L26" s="4">
        <f t="shared" si="6"/>
        <v>8</v>
      </c>
      <c r="M26" s="4">
        <f t="shared" si="7"/>
        <v>0</v>
      </c>
      <c r="N26" s="4">
        <v>-1.303099999999999</v>
      </c>
      <c r="O26" s="4">
        <f t="shared" si="8"/>
        <v>3.3</v>
      </c>
      <c r="P26" s="4">
        <f t="shared" si="9"/>
        <v>12.77</v>
      </c>
    </row>
    <row r="27" ht="15.75" customHeight="1">
      <c r="A27" s="4">
        <v>2009.0</v>
      </c>
      <c r="B27" s="4">
        <v>177.0</v>
      </c>
      <c r="C27" s="4">
        <v>11.73</v>
      </c>
      <c r="D27" s="4">
        <v>19.91</v>
      </c>
      <c r="E27" s="4">
        <f t="shared" si="1"/>
        <v>1</v>
      </c>
      <c r="F27" s="4">
        <f t="shared" si="2"/>
        <v>0</v>
      </c>
      <c r="G27" s="4">
        <f t="shared" si="3"/>
        <v>31.257</v>
      </c>
      <c r="H27" s="4">
        <f t="shared" si="4"/>
        <v>27.9872</v>
      </c>
      <c r="I27" s="4" t="str">
        <f t="shared" si="5"/>
        <v> </v>
      </c>
      <c r="J27" s="4">
        <v>0.4</v>
      </c>
      <c r="K27" s="4">
        <v>15.06</v>
      </c>
      <c r="L27" s="4">
        <f t="shared" si="6"/>
        <v>8</v>
      </c>
      <c r="M27" s="4">
        <f t="shared" si="7"/>
        <v>1</v>
      </c>
      <c r="N27" s="4">
        <v>2.9043100000000006</v>
      </c>
      <c r="O27" s="4">
        <f t="shared" si="8"/>
        <v>0.4</v>
      </c>
      <c r="P27" s="4">
        <f t="shared" si="9"/>
        <v>15.06</v>
      </c>
    </row>
    <row r="28" ht="15.75" customHeight="1">
      <c r="A28" s="4">
        <v>2009.0</v>
      </c>
      <c r="B28" s="4">
        <v>178.0</v>
      </c>
      <c r="C28" s="4">
        <v>10.93</v>
      </c>
      <c r="D28" s="4">
        <v>26.98</v>
      </c>
      <c r="E28" s="4">
        <f t="shared" si="1"/>
        <v>0</v>
      </c>
      <c r="F28" s="4">
        <f t="shared" si="2"/>
        <v>0</v>
      </c>
      <c r="G28" s="4">
        <f t="shared" si="3"/>
        <v>32.73897</v>
      </c>
      <c r="H28" s="4">
        <f t="shared" si="4"/>
        <v>27.0474</v>
      </c>
      <c r="I28" s="4" t="str">
        <f t="shared" si="5"/>
        <v> </v>
      </c>
      <c r="J28" s="4">
        <v>0.0</v>
      </c>
      <c r="K28" s="4">
        <v>19.15</v>
      </c>
      <c r="L28" s="4">
        <f t="shared" si="6"/>
        <v>3</v>
      </c>
      <c r="M28" s="4">
        <f t="shared" si="7"/>
        <v>1</v>
      </c>
      <c r="N28" s="4">
        <v>8.93036</v>
      </c>
      <c r="O28" s="4">
        <f t="shared" si="8"/>
        <v>0</v>
      </c>
      <c r="P28" s="4">
        <f t="shared" si="9"/>
        <v>19.15</v>
      </c>
    </row>
    <row r="29" ht="15.75" customHeight="1">
      <c r="A29" s="4">
        <v>2009.0</v>
      </c>
      <c r="B29" s="4">
        <v>179.0</v>
      </c>
      <c r="C29" s="4">
        <v>15.81</v>
      </c>
      <c r="D29" s="4">
        <v>27.88</v>
      </c>
      <c r="E29" s="4">
        <f t="shared" si="1"/>
        <v>0</v>
      </c>
      <c r="F29" s="4">
        <f t="shared" si="2"/>
        <v>0</v>
      </c>
      <c r="G29" s="4">
        <f t="shared" si="3"/>
        <v>34.86922</v>
      </c>
      <c r="H29" s="4">
        <f t="shared" si="4"/>
        <v>31.325005</v>
      </c>
      <c r="I29" s="4" t="str">
        <f t="shared" si="5"/>
        <v> </v>
      </c>
      <c r="J29" s="4">
        <v>0.0</v>
      </c>
      <c r="K29" s="4">
        <v>22.17</v>
      </c>
      <c r="L29" s="4">
        <f t="shared" si="6"/>
        <v>3</v>
      </c>
      <c r="M29" s="4">
        <f t="shared" si="7"/>
        <v>1</v>
      </c>
      <c r="N29" s="4">
        <v>1.6218700000000006</v>
      </c>
      <c r="O29" s="4">
        <f t="shared" si="8"/>
        <v>0</v>
      </c>
      <c r="P29" s="4">
        <f t="shared" si="9"/>
        <v>22.17</v>
      </c>
    </row>
    <row r="30" ht="15.75" customHeight="1">
      <c r="A30" s="4">
        <v>2009.0</v>
      </c>
      <c r="B30" s="4">
        <v>180.0</v>
      </c>
      <c r="C30" s="4">
        <v>14.22</v>
      </c>
      <c r="D30" s="4">
        <v>23.47</v>
      </c>
      <c r="E30" s="4">
        <f t="shared" si="1"/>
        <v>0</v>
      </c>
      <c r="F30" s="4">
        <f t="shared" si="2"/>
        <v>0</v>
      </c>
      <c r="G30" s="4">
        <f t="shared" si="3"/>
        <v>32.99198</v>
      </c>
      <c r="H30" s="4">
        <f t="shared" si="4"/>
        <v>30.5896</v>
      </c>
      <c r="I30" s="4" t="str">
        <f t="shared" si="5"/>
        <v> </v>
      </c>
      <c r="J30" s="4">
        <v>0.0</v>
      </c>
      <c r="K30" s="4">
        <v>19.67</v>
      </c>
      <c r="L30" s="4">
        <f t="shared" si="6"/>
        <v>3</v>
      </c>
      <c r="M30" s="4">
        <f t="shared" si="7"/>
        <v>0</v>
      </c>
      <c r="N30" s="4">
        <v>-3.8553699999999997</v>
      </c>
      <c r="O30" s="4">
        <f t="shared" si="8"/>
        <v>0</v>
      </c>
      <c r="P30" s="4">
        <f t="shared" si="9"/>
        <v>19.67</v>
      </c>
    </row>
    <row r="31" ht="15.75" customHeight="1">
      <c r="A31" s="4">
        <v>2009.0</v>
      </c>
      <c r="B31" s="4">
        <v>181.0</v>
      </c>
      <c r="C31" s="4">
        <v>8.27</v>
      </c>
      <c r="D31" s="4">
        <v>21.52</v>
      </c>
      <c r="E31" s="4">
        <f t="shared" si="1"/>
        <v>0</v>
      </c>
      <c r="F31" s="4">
        <f t="shared" si="2"/>
        <v>0</v>
      </c>
      <c r="G31" s="4">
        <f t="shared" si="3"/>
        <v>26.21191</v>
      </c>
      <c r="H31" s="4">
        <f t="shared" si="4"/>
        <v>25.38508</v>
      </c>
      <c r="I31" s="4" t="str">
        <f t="shared" si="5"/>
        <v> </v>
      </c>
      <c r="J31" s="4">
        <v>0.0</v>
      </c>
      <c r="K31" s="4">
        <v>15.67</v>
      </c>
      <c r="L31" s="4">
        <f t="shared" si="6"/>
        <v>3</v>
      </c>
      <c r="M31" s="4">
        <f t="shared" si="7"/>
        <v>0</v>
      </c>
      <c r="N31" s="4">
        <v>-6.497210000000003</v>
      </c>
      <c r="O31" s="4">
        <f t="shared" si="8"/>
        <v>0</v>
      </c>
      <c r="P31" s="4">
        <f t="shared" si="9"/>
        <v>15.67</v>
      </c>
    </row>
    <row r="32" ht="15.75" customHeight="1">
      <c r="A32" s="4">
        <v>2009.0</v>
      </c>
      <c r="B32" s="4">
        <v>182.0</v>
      </c>
      <c r="C32" s="4">
        <v>6.037</v>
      </c>
      <c r="D32" s="4">
        <v>23.86</v>
      </c>
      <c r="E32" s="4">
        <f t="shared" si="1"/>
        <v>0</v>
      </c>
      <c r="F32" s="4">
        <f t="shared" si="2"/>
        <v>1</v>
      </c>
      <c r="G32" s="4">
        <f t="shared" si="3"/>
        <v>23.19621</v>
      </c>
      <c r="H32" s="4">
        <f t="shared" si="4"/>
        <v>25.13958</v>
      </c>
      <c r="I32" s="4">
        <f t="shared" si="5"/>
        <v>1.94337</v>
      </c>
      <c r="J32" s="4">
        <v>0.0</v>
      </c>
      <c r="K32" s="4">
        <v>15.94</v>
      </c>
      <c r="L32" s="4">
        <f t="shared" si="6"/>
        <v>3</v>
      </c>
      <c r="M32" s="4">
        <f t="shared" si="7"/>
        <v>0</v>
      </c>
      <c r="N32" s="4">
        <v>-8.519990000000002</v>
      </c>
      <c r="O32" s="4">
        <f t="shared" si="8"/>
        <v>0</v>
      </c>
      <c r="P32" s="4">
        <f t="shared" si="9"/>
        <v>15.94</v>
      </c>
    </row>
    <row r="33" ht="15.75" customHeight="1">
      <c r="A33" s="4">
        <v>2009.0</v>
      </c>
      <c r="B33" s="4">
        <v>183.0</v>
      </c>
      <c r="C33" s="4">
        <v>10.19</v>
      </c>
      <c r="D33" s="4">
        <v>24.49</v>
      </c>
      <c r="E33" s="4">
        <f t="shared" si="1"/>
        <v>1</v>
      </c>
      <c r="F33" s="4">
        <f t="shared" si="2"/>
        <v>1</v>
      </c>
      <c r="G33" s="4">
        <f t="shared" si="3"/>
        <v>26.70874</v>
      </c>
      <c r="H33" s="4">
        <f t="shared" si="4"/>
        <v>30.066215</v>
      </c>
      <c r="I33" s="4">
        <f t="shared" si="5"/>
        <v>3.357475</v>
      </c>
      <c r="J33" s="4">
        <v>6.4</v>
      </c>
      <c r="K33" s="4">
        <v>16.32</v>
      </c>
      <c r="L33" s="4">
        <f t="shared" si="6"/>
        <v>8</v>
      </c>
      <c r="M33" s="4">
        <f t="shared" si="7"/>
        <v>0</v>
      </c>
      <c r="N33" s="4">
        <v>-9.259229999999999</v>
      </c>
      <c r="O33" s="4">
        <f t="shared" si="8"/>
        <v>6.4</v>
      </c>
      <c r="P33" s="4">
        <f t="shared" si="9"/>
        <v>16.32</v>
      </c>
    </row>
    <row r="34" ht="15.75" customHeight="1">
      <c r="A34" s="4">
        <v>2009.0</v>
      </c>
      <c r="B34" s="4">
        <v>184.0</v>
      </c>
      <c r="C34" s="4">
        <v>12.42</v>
      </c>
      <c r="D34" s="4">
        <v>22.79</v>
      </c>
      <c r="E34" s="4">
        <f t="shared" si="1"/>
        <v>1</v>
      </c>
      <c r="F34" s="4">
        <f t="shared" si="2"/>
        <v>1</v>
      </c>
      <c r="G34" s="4">
        <f t="shared" si="3"/>
        <v>25.73883</v>
      </c>
      <c r="H34" s="4">
        <f t="shared" si="4"/>
        <v>26.13507</v>
      </c>
      <c r="I34" s="4">
        <f t="shared" si="5"/>
        <v>0.39624</v>
      </c>
      <c r="J34" s="4">
        <v>1.5</v>
      </c>
      <c r="K34" s="4">
        <v>16.21</v>
      </c>
      <c r="L34" s="4">
        <f t="shared" si="6"/>
        <v>8</v>
      </c>
      <c r="M34" s="4">
        <f t="shared" si="7"/>
        <v>0</v>
      </c>
      <c r="N34" s="4">
        <v>-9.549600000000002</v>
      </c>
      <c r="O34" s="4">
        <f t="shared" si="8"/>
        <v>1.5</v>
      </c>
      <c r="P34" s="4">
        <f t="shared" si="9"/>
        <v>16.21</v>
      </c>
    </row>
    <row r="35" ht="15.75" customHeight="1">
      <c r="A35" s="4">
        <v>2009.0</v>
      </c>
      <c r="B35" s="4">
        <v>185.0</v>
      </c>
      <c r="C35" s="4">
        <v>7.33</v>
      </c>
      <c r="D35" s="4">
        <v>14.89</v>
      </c>
      <c r="E35" s="4">
        <f t="shared" si="1"/>
        <v>1</v>
      </c>
      <c r="F35" s="4">
        <f t="shared" si="2"/>
        <v>1</v>
      </c>
      <c r="G35" s="4">
        <f t="shared" si="3"/>
        <v>18.62301</v>
      </c>
      <c r="H35" s="4">
        <f t="shared" si="4"/>
        <v>21.065205</v>
      </c>
      <c r="I35" s="4">
        <f t="shared" si="5"/>
        <v>2.442195</v>
      </c>
      <c r="J35" s="4">
        <v>0.1</v>
      </c>
      <c r="K35" s="4">
        <v>10.59</v>
      </c>
      <c r="L35" s="4">
        <f t="shared" si="6"/>
        <v>8</v>
      </c>
      <c r="M35" s="4">
        <f t="shared" si="7"/>
        <v>0</v>
      </c>
      <c r="N35" s="4">
        <v>-7.79791</v>
      </c>
      <c r="O35" s="4">
        <f t="shared" si="8"/>
        <v>0.1</v>
      </c>
      <c r="P35" s="4">
        <f t="shared" si="9"/>
        <v>10.59</v>
      </c>
    </row>
    <row r="36" ht="15.75" customHeight="1">
      <c r="A36" s="4">
        <v>2009.0</v>
      </c>
      <c r="B36" s="4">
        <v>186.0</v>
      </c>
      <c r="C36" s="4">
        <v>5.531</v>
      </c>
      <c r="D36" s="4">
        <v>11.46</v>
      </c>
      <c r="E36" s="4">
        <f t="shared" si="1"/>
        <v>1</v>
      </c>
      <c r="F36" s="4">
        <f t="shared" si="2"/>
        <v>1</v>
      </c>
      <c r="G36" s="4">
        <f t="shared" si="3"/>
        <v>21.72408</v>
      </c>
      <c r="H36" s="4">
        <f t="shared" si="4"/>
        <v>24.15341</v>
      </c>
      <c r="I36" s="4">
        <f t="shared" si="5"/>
        <v>2.42933</v>
      </c>
      <c r="J36" s="4">
        <v>6.9</v>
      </c>
      <c r="K36" s="4">
        <v>8.93</v>
      </c>
      <c r="L36" s="4">
        <f t="shared" si="6"/>
        <v>8</v>
      </c>
      <c r="M36" s="4">
        <f t="shared" si="7"/>
        <v>0</v>
      </c>
      <c r="N36" s="4">
        <v>-2.7649599999999968</v>
      </c>
      <c r="O36" s="4">
        <f t="shared" si="8"/>
        <v>0</v>
      </c>
      <c r="P36" s="4">
        <f t="shared" si="9"/>
        <v>0</v>
      </c>
    </row>
    <row r="37" ht="15.75" customHeight="1">
      <c r="A37" s="4">
        <v>2009.0</v>
      </c>
      <c r="B37" s="4">
        <v>187.0</v>
      </c>
      <c r="C37" s="4">
        <v>6.958</v>
      </c>
      <c r="D37" s="4">
        <v>15.8</v>
      </c>
      <c r="E37" s="4">
        <f t="shared" si="1"/>
        <v>1</v>
      </c>
      <c r="F37" s="4">
        <f t="shared" si="2"/>
        <v>1</v>
      </c>
      <c r="G37" s="4">
        <f t="shared" si="3"/>
        <v>23.09133</v>
      </c>
      <c r="H37" s="4">
        <f t="shared" si="4"/>
        <v>23.54161</v>
      </c>
      <c r="I37" s="4">
        <f t="shared" si="5"/>
        <v>0.45028</v>
      </c>
      <c r="J37" s="4">
        <v>1.4</v>
      </c>
      <c r="K37" s="4">
        <v>10.2</v>
      </c>
      <c r="L37" s="4">
        <f t="shared" si="6"/>
        <v>8</v>
      </c>
      <c r="M37" s="4">
        <f t="shared" si="7"/>
        <v>0</v>
      </c>
      <c r="N37" s="4">
        <v>-5.85141</v>
      </c>
      <c r="O37" s="4">
        <f t="shared" si="8"/>
        <v>1.4</v>
      </c>
      <c r="P37" s="4">
        <f t="shared" si="9"/>
        <v>10.2</v>
      </c>
    </row>
    <row r="38" ht="15.75" customHeight="1">
      <c r="A38" s="4">
        <v>2009.0</v>
      </c>
      <c r="B38" s="4">
        <v>188.0</v>
      </c>
      <c r="C38" s="4">
        <v>4.161</v>
      </c>
      <c r="D38" s="4">
        <v>19.77</v>
      </c>
      <c r="E38" s="4">
        <f t="shared" si="1"/>
        <v>0</v>
      </c>
      <c r="F38" s="4">
        <f t="shared" si="2"/>
        <v>0</v>
      </c>
      <c r="G38" s="4">
        <f t="shared" si="3"/>
        <v>29.0334</v>
      </c>
      <c r="H38" s="4">
        <f t="shared" si="4"/>
        <v>26.65959</v>
      </c>
      <c r="I38" s="4" t="str">
        <f t="shared" si="5"/>
        <v> </v>
      </c>
      <c r="J38" s="4">
        <v>0.0</v>
      </c>
      <c r="K38" s="4">
        <v>12.32</v>
      </c>
      <c r="L38" s="4">
        <f t="shared" si="6"/>
        <v>3</v>
      </c>
      <c r="M38" s="4">
        <f t="shared" si="7"/>
        <v>0</v>
      </c>
      <c r="N38" s="4">
        <v>-3.7673300000000003</v>
      </c>
      <c r="O38" s="4">
        <f t="shared" si="8"/>
        <v>0</v>
      </c>
      <c r="P38" s="4">
        <f t="shared" si="9"/>
        <v>12.32</v>
      </c>
    </row>
    <row r="39" ht="15.75" customHeight="1">
      <c r="A39" s="4">
        <v>2009.0</v>
      </c>
      <c r="B39" s="4">
        <v>189.0</v>
      </c>
      <c r="C39" s="4">
        <v>9.76</v>
      </c>
      <c r="D39" s="4">
        <v>20.98</v>
      </c>
      <c r="E39" s="4">
        <f t="shared" si="1"/>
        <v>0</v>
      </c>
      <c r="F39" s="4">
        <f t="shared" si="2"/>
        <v>0</v>
      </c>
      <c r="G39" s="4">
        <f t="shared" si="3"/>
        <v>33.5379</v>
      </c>
      <c r="H39" s="4">
        <f t="shared" si="4"/>
        <v>31.2189</v>
      </c>
      <c r="I39" s="4" t="str">
        <f t="shared" si="5"/>
        <v> </v>
      </c>
      <c r="J39" s="4">
        <v>0.0</v>
      </c>
      <c r="K39" s="4">
        <v>15.35</v>
      </c>
      <c r="L39" s="4">
        <f t="shared" si="6"/>
        <v>3</v>
      </c>
      <c r="M39" s="4">
        <f t="shared" si="7"/>
        <v>0</v>
      </c>
      <c r="N39" s="4">
        <v>-7.708220000000001</v>
      </c>
      <c r="O39" s="4">
        <f t="shared" si="8"/>
        <v>0</v>
      </c>
      <c r="P39" s="4">
        <f t="shared" si="9"/>
        <v>15.35</v>
      </c>
    </row>
    <row r="40" ht="15.75" customHeight="1">
      <c r="A40" s="4">
        <v>2009.0</v>
      </c>
      <c r="B40" s="4">
        <v>190.0</v>
      </c>
      <c r="C40" s="4">
        <v>13.19</v>
      </c>
      <c r="D40" s="4">
        <v>25.32</v>
      </c>
      <c r="E40" s="4">
        <f t="shared" si="1"/>
        <v>1</v>
      </c>
      <c r="F40" s="4">
        <f t="shared" si="2"/>
        <v>0</v>
      </c>
      <c r="G40" s="4">
        <f t="shared" si="3"/>
        <v>41.0808</v>
      </c>
      <c r="H40" s="4">
        <f t="shared" si="4"/>
        <v>39.0427</v>
      </c>
      <c r="I40" s="4" t="str">
        <f t="shared" si="5"/>
        <v> </v>
      </c>
      <c r="J40" s="4">
        <v>3.9</v>
      </c>
      <c r="K40" s="4">
        <v>17.62</v>
      </c>
      <c r="L40" s="4">
        <f t="shared" si="6"/>
        <v>8</v>
      </c>
      <c r="M40" s="4">
        <f t="shared" si="7"/>
        <v>0</v>
      </c>
      <c r="N40" s="4">
        <v>-0.6802099999999991</v>
      </c>
      <c r="O40" s="4">
        <f t="shared" si="8"/>
        <v>3.9</v>
      </c>
      <c r="P40" s="4">
        <f t="shared" si="9"/>
        <v>17.62</v>
      </c>
    </row>
    <row r="41" ht="15.75" customHeight="1">
      <c r="A41" s="4">
        <v>2009.0</v>
      </c>
      <c r="B41" s="4">
        <v>191.0</v>
      </c>
      <c r="C41" s="4">
        <v>11.83</v>
      </c>
      <c r="D41" s="4">
        <v>18.68</v>
      </c>
      <c r="E41" s="4">
        <f t="shared" si="1"/>
        <v>1</v>
      </c>
      <c r="F41" s="4">
        <f t="shared" si="2"/>
        <v>0</v>
      </c>
      <c r="G41" s="4">
        <f t="shared" si="3"/>
        <v>39.1709</v>
      </c>
      <c r="H41" s="4">
        <f t="shared" si="4"/>
        <v>38.47195</v>
      </c>
      <c r="I41" s="4" t="str">
        <f t="shared" si="5"/>
        <v> </v>
      </c>
      <c r="J41" s="4">
        <v>16.0</v>
      </c>
      <c r="K41" s="4">
        <v>16.25</v>
      </c>
      <c r="L41" s="4">
        <f t="shared" si="6"/>
        <v>8</v>
      </c>
      <c r="M41" s="4">
        <f t="shared" si="7"/>
        <v>1</v>
      </c>
      <c r="N41" s="4">
        <v>3.971580000000001</v>
      </c>
      <c r="O41" s="4">
        <f t="shared" si="8"/>
        <v>16</v>
      </c>
      <c r="P41" s="4">
        <f t="shared" si="9"/>
        <v>16.25</v>
      </c>
    </row>
    <row r="42" ht="15.75" customHeight="1">
      <c r="A42" s="4">
        <v>2009.0</v>
      </c>
      <c r="B42" s="4">
        <v>192.0</v>
      </c>
      <c r="C42" s="4">
        <v>9.0</v>
      </c>
      <c r="D42" s="4">
        <v>26.52</v>
      </c>
      <c r="E42" s="4">
        <f t="shared" si="1"/>
        <v>0</v>
      </c>
      <c r="F42" s="4">
        <f t="shared" si="2"/>
        <v>0</v>
      </c>
      <c r="G42" s="4">
        <f t="shared" si="3"/>
        <v>41.2649</v>
      </c>
      <c r="H42" s="4">
        <f t="shared" si="4"/>
        <v>37.3427</v>
      </c>
      <c r="I42" s="4" t="str">
        <f t="shared" si="5"/>
        <v> </v>
      </c>
      <c r="J42" s="4">
        <v>0.0</v>
      </c>
      <c r="K42" s="4">
        <v>18.46</v>
      </c>
      <c r="L42" s="4">
        <f t="shared" si="6"/>
        <v>3</v>
      </c>
      <c r="M42" s="4">
        <f t="shared" si="7"/>
        <v>1</v>
      </c>
      <c r="N42" s="4">
        <v>6.712289999999998</v>
      </c>
      <c r="O42" s="4">
        <f t="shared" si="8"/>
        <v>0</v>
      </c>
      <c r="P42" s="4">
        <f t="shared" si="9"/>
        <v>18.46</v>
      </c>
    </row>
    <row r="43" ht="15.75" customHeight="1">
      <c r="A43" s="4">
        <v>2009.0</v>
      </c>
      <c r="B43" s="4">
        <v>193.0</v>
      </c>
      <c r="C43" s="4">
        <v>11.06</v>
      </c>
      <c r="D43" s="4">
        <v>27.5</v>
      </c>
      <c r="E43" s="4">
        <f t="shared" si="1"/>
        <v>0</v>
      </c>
      <c r="F43" s="4">
        <f t="shared" si="2"/>
        <v>0</v>
      </c>
      <c r="G43" s="4">
        <f t="shared" si="3"/>
        <v>45.2698</v>
      </c>
      <c r="H43" s="4">
        <f t="shared" si="4"/>
        <v>40.9264</v>
      </c>
      <c r="I43" s="4" t="str">
        <f t="shared" si="5"/>
        <v> </v>
      </c>
      <c r="J43" s="4">
        <v>0.0</v>
      </c>
      <c r="K43" s="4">
        <v>19.75</v>
      </c>
      <c r="L43" s="4">
        <f t="shared" si="6"/>
        <v>3</v>
      </c>
      <c r="M43" s="4">
        <f t="shared" si="7"/>
        <v>1</v>
      </c>
      <c r="N43" s="4">
        <v>5.561429999999996</v>
      </c>
      <c r="O43" s="4">
        <f t="shared" si="8"/>
        <v>0</v>
      </c>
      <c r="P43" s="4">
        <f t="shared" si="9"/>
        <v>19.75</v>
      </c>
    </row>
    <row r="44" ht="15.75" customHeight="1">
      <c r="A44" s="4">
        <v>2009.0</v>
      </c>
      <c r="B44" s="4">
        <v>194.0</v>
      </c>
      <c r="C44" s="4">
        <v>11.63</v>
      </c>
      <c r="D44" s="4">
        <v>28.75</v>
      </c>
      <c r="E44" s="4">
        <f t="shared" si="1"/>
        <v>0</v>
      </c>
      <c r="F44" s="4">
        <f t="shared" si="2"/>
        <v>0</v>
      </c>
      <c r="G44" s="4">
        <f t="shared" si="3"/>
        <v>45.5398</v>
      </c>
      <c r="H44" s="4">
        <f t="shared" si="4"/>
        <v>42.3813</v>
      </c>
      <c r="I44" s="4" t="str">
        <f t="shared" si="5"/>
        <v> </v>
      </c>
      <c r="J44" s="4">
        <v>0.0</v>
      </c>
      <c r="K44" s="4">
        <v>21.16</v>
      </c>
      <c r="L44" s="4">
        <f t="shared" si="6"/>
        <v>3</v>
      </c>
      <c r="M44" s="4">
        <f t="shared" si="7"/>
        <v>1</v>
      </c>
      <c r="N44" s="4">
        <v>8.713390000000004</v>
      </c>
      <c r="O44" s="4">
        <f t="shared" si="8"/>
        <v>0</v>
      </c>
      <c r="P44" s="4">
        <f t="shared" si="9"/>
        <v>21.16</v>
      </c>
    </row>
    <row r="45" ht="15.75" customHeight="1">
      <c r="A45" s="4">
        <v>2009.0</v>
      </c>
      <c r="B45" s="4">
        <v>195.0</v>
      </c>
      <c r="C45" s="4">
        <v>17.42</v>
      </c>
      <c r="D45" s="4">
        <v>30.12</v>
      </c>
      <c r="E45" s="4">
        <f t="shared" si="1"/>
        <v>1</v>
      </c>
      <c r="F45" s="4">
        <f t="shared" si="2"/>
        <v>0</v>
      </c>
      <c r="G45" s="4">
        <f t="shared" si="3"/>
        <v>49.7587</v>
      </c>
      <c r="H45" s="4">
        <f t="shared" si="4"/>
        <v>46.64735</v>
      </c>
      <c r="I45" s="4" t="str">
        <f t="shared" si="5"/>
        <v> </v>
      </c>
      <c r="J45" s="4">
        <v>0.9</v>
      </c>
      <c r="K45" s="4">
        <v>22.91</v>
      </c>
      <c r="L45" s="4">
        <f t="shared" si="6"/>
        <v>8</v>
      </c>
      <c r="M45" s="4">
        <f t="shared" si="7"/>
        <v>1</v>
      </c>
      <c r="N45" s="4">
        <v>2.1672399999999987</v>
      </c>
      <c r="O45" s="4">
        <f t="shared" si="8"/>
        <v>0.9</v>
      </c>
      <c r="P45" s="4">
        <f t="shared" si="9"/>
        <v>22.91</v>
      </c>
    </row>
    <row r="46" ht="15.75" customHeight="1">
      <c r="A46" s="4">
        <v>2009.0</v>
      </c>
      <c r="B46" s="4">
        <v>196.0</v>
      </c>
      <c r="C46" s="4">
        <v>14.26</v>
      </c>
      <c r="D46" s="4">
        <v>25.78</v>
      </c>
      <c r="E46" s="4">
        <f t="shared" si="1"/>
        <v>1</v>
      </c>
      <c r="F46" s="4">
        <f t="shared" si="2"/>
        <v>0</v>
      </c>
      <c r="G46" s="4">
        <f t="shared" si="3"/>
        <v>45.3446</v>
      </c>
      <c r="H46" s="4">
        <f t="shared" si="4"/>
        <v>40.9109</v>
      </c>
      <c r="I46" s="4" t="str">
        <f t="shared" si="5"/>
        <v> </v>
      </c>
      <c r="J46" s="4">
        <v>0.2</v>
      </c>
      <c r="K46" s="4">
        <v>20.32</v>
      </c>
      <c r="L46" s="4">
        <f t="shared" si="6"/>
        <v>8</v>
      </c>
      <c r="M46" s="4">
        <f t="shared" si="7"/>
        <v>0</v>
      </c>
      <c r="N46" s="4">
        <v>-4.356690000000001</v>
      </c>
      <c r="O46" s="4">
        <f t="shared" si="8"/>
        <v>0.2</v>
      </c>
      <c r="P46" s="4">
        <f t="shared" si="9"/>
        <v>20.32</v>
      </c>
    </row>
    <row r="47" ht="15.75" customHeight="1">
      <c r="A47" s="4">
        <v>2009.0</v>
      </c>
      <c r="B47" s="4">
        <v>197.0</v>
      </c>
      <c r="C47" s="4">
        <v>11.16</v>
      </c>
      <c r="D47" s="4">
        <v>29.14</v>
      </c>
      <c r="E47" s="4">
        <f t="shared" si="1"/>
        <v>0</v>
      </c>
      <c r="F47" s="4">
        <f t="shared" si="2"/>
        <v>0</v>
      </c>
      <c r="G47" s="4">
        <f t="shared" si="3"/>
        <v>41.6425</v>
      </c>
      <c r="H47" s="4">
        <f t="shared" si="4"/>
        <v>37.21215</v>
      </c>
      <c r="I47" s="4" t="str">
        <f t="shared" si="5"/>
        <v> </v>
      </c>
      <c r="J47" s="4">
        <v>0.0</v>
      </c>
      <c r="K47" s="4">
        <v>20.68</v>
      </c>
      <c r="L47" s="4">
        <f t="shared" si="6"/>
        <v>3</v>
      </c>
      <c r="M47" s="4">
        <f t="shared" si="7"/>
        <v>0</v>
      </c>
      <c r="N47" s="4">
        <v>-1.9609900000000022</v>
      </c>
      <c r="O47" s="4">
        <f t="shared" si="8"/>
        <v>0</v>
      </c>
      <c r="P47" s="4">
        <f t="shared" si="9"/>
        <v>20.68</v>
      </c>
    </row>
    <row r="48" ht="15.75" customHeight="1">
      <c r="A48" s="4">
        <v>2009.0</v>
      </c>
      <c r="B48" s="4">
        <v>198.0</v>
      </c>
      <c r="C48" s="4">
        <v>13.79</v>
      </c>
      <c r="D48" s="4">
        <v>28.25</v>
      </c>
      <c r="E48" s="4">
        <f t="shared" si="1"/>
        <v>0</v>
      </c>
      <c r="F48" s="4">
        <f t="shared" si="2"/>
        <v>0</v>
      </c>
      <c r="G48" s="4">
        <f t="shared" si="3"/>
        <v>41.4105</v>
      </c>
      <c r="H48" s="4">
        <f t="shared" si="4"/>
        <v>38.42885</v>
      </c>
      <c r="I48" s="4" t="str">
        <f t="shared" si="5"/>
        <v> </v>
      </c>
      <c r="J48" s="4">
        <v>0.0</v>
      </c>
      <c r="K48" s="4">
        <v>21.55</v>
      </c>
      <c r="L48" s="4">
        <f t="shared" si="6"/>
        <v>3</v>
      </c>
      <c r="M48" s="4">
        <f t="shared" si="7"/>
        <v>1</v>
      </c>
      <c r="N48" s="4">
        <v>3.7641599999999986</v>
      </c>
      <c r="O48" s="4">
        <f t="shared" si="8"/>
        <v>0</v>
      </c>
      <c r="P48" s="4">
        <f t="shared" si="9"/>
        <v>21.55</v>
      </c>
    </row>
    <row r="49" ht="15.75" customHeight="1">
      <c r="A49" s="4">
        <v>2009.0</v>
      </c>
      <c r="B49" s="4">
        <v>199.0</v>
      </c>
      <c r="C49" s="4">
        <v>14.12</v>
      </c>
      <c r="D49" s="4">
        <v>28.68</v>
      </c>
      <c r="E49" s="4">
        <f t="shared" si="1"/>
        <v>0</v>
      </c>
      <c r="F49" s="4">
        <f t="shared" si="2"/>
        <v>0</v>
      </c>
      <c r="G49" s="4">
        <f t="shared" si="3"/>
        <v>40.9384</v>
      </c>
      <c r="H49" s="4">
        <f t="shared" si="4"/>
        <v>38.17775</v>
      </c>
      <c r="I49" s="4" t="str">
        <f t="shared" si="5"/>
        <v> </v>
      </c>
      <c r="J49" s="4">
        <v>0.0</v>
      </c>
      <c r="K49" s="4">
        <v>21.5</v>
      </c>
      <c r="L49" s="4">
        <f t="shared" si="6"/>
        <v>3</v>
      </c>
      <c r="M49" s="4">
        <f t="shared" si="7"/>
        <v>1</v>
      </c>
      <c r="N49" s="4">
        <v>9.113959999999999</v>
      </c>
      <c r="O49" s="4">
        <f t="shared" si="8"/>
        <v>0</v>
      </c>
      <c r="P49" s="4">
        <f t="shared" si="9"/>
        <v>21.5</v>
      </c>
    </row>
    <row r="50" ht="15.75" customHeight="1">
      <c r="A50" s="4">
        <v>2009.0</v>
      </c>
      <c r="B50" s="4">
        <v>200.0</v>
      </c>
      <c r="C50" s="4">
        <v>13.65</v>
      </c>
      <c r="D50" s="4">
        <v>29.8</v>
      </c>
      <c r="E50" s="4">
        <f t="shared" si="1"/>
        <v>0</v>
      </c>
      <c r="F50" s="4">
        <f t="shared" si="2"/>
        <v>0</v>
      </c>
      <c r="G50" s="4">
        <f t="shared" si="3"/>
        <v>41.2779</v>
      </c>
      <c r="H50" s="4">
        <f t="shared" si="4"/>
        <v>38.6314</v>
      </c>
      <c r="I50" s="4" t="str">
        <f t="shared" si="5"/>
        <v> </v>
      </c>
      <c r="J50" s="4">
        <v>0.0</v>
      </c>
      <c r="K50" s="4">
        <v>21.79</v>
      </c>
      <c r="L50" s="4">
        <f t="shared" si="6"/>
        <v>3</v>
      </c>
      <c r="M50" s="4">
        <f t="shared" si="7"/>
        <v>1</v>
      </c>
      <c r="N50" s="4">
        <v>11.214110000000002</v>
      </c>
      <c r="O50" s="4">
        <f t="shared" si="8"/>
        <v>0</v>
      </c>
      <c r="P50" s="4">
        <f t="shared" si="9"/>
        <v>21.79</v>
      </c>
    </row>
    <row r="51" ht="15.75" customHeight="1">
      <c r="A51" s="4">
        <v>2009.0</v>
      </c>
      <c r="B51" s="4">
        <v>201.0</v>
      </c>
      <c r="C51" s="4">
        <v>13.55</v>
      </c>
      <c r="D51" s="4">
        <v>26.03</v>
      </c>
      <c r="E51" s="4">
        <f t="shared" si="1"/>
        <v>1</v>
      </c>
      <c r="F51" s="4">
        <f t="shared" si="2"/>
        <v>0</v>
      </c>
      <c r="G51" s="4">
        <f t="shared" si="3"/>
        <v>40.5901</v>
      </c>
      <c r="H51" s="4">
        <f t="shared" si="4"/>
        <v>39.6126</v>
      </c>
      <c r="I51" s="4" t="str">
        <f t="shared" si="5"/>
        <v> </v>
      </c>
      <c r="J51" s="4">
        <v>5.0</v>
      </c>
      <c r="K51" s="4">
        <v>19.42</v>
      </c>
      <c r="L51" s="4">
        <f t="shared" si="6"/>
        <v>8</v>
      </c>
      <c r="M51" s="4">
        <f t="shared" si="7"/>
        <v>1</v>
      </c>
      <c r="N51" s="4">
        <v>8.023980000000002</v>
      </c>
      <c r="O51" s="4">
        <f t="shared" si="8"/>
        <v>5</v>
      </c>
      <c r="P51" s="4">
        <f t="shared" si="9"/>
        <v>19.42</v>
      </c>
    </row>
    <row r="52" ht="15.75" customHeight="1">
      <c r="A52" s="4">
        <v>2009.0</v>
      </c>
      <c r="B52" s="4">
        <v>202.0</v>
      </c>
      <c r="C52" s="4">
        <v>15.61</v>
      </c>
      <c r="D52" s="4">
        <v>23.56</v>
      </c>
      <c r="E52" s="4">
        <f t="shared" si="1"/>
        <v>1</v>
      </c>
      <c r="F52" s="4">
        <f t="shared" si="2"/>
        <v>1</v>
      </c>
      <c r="G52" s="4">
        <f t="shared" si="3"/>
        <v>38.6356</v>
      </c>
      <c r="H52" s="4">
        <f t="shared" si="4"/>
        <v>39.1254</v>
      </c>
      <c r="I52" s="4">
        <f t="shared" si="5"/>
        <v>0.4898</v>
      </c>
      <c r="J52" s="4">
        <v>3.3</v>
      </c>
      <c r="K52" s="4">
        <v>19.0</v>
      </c>
      <c r="L52" s="4">
        <f t="shared" si="6"/>
        <v>8</v>
      </c>
      <c r="M52" s="4">
        <f t="shared" si="7"/>
        <v>1</v>
      </c>
      <c r="N52" s="4">
        <v>1.9591400000000025</v>
      </c>
      <c r="O52" s="4">
        <f t="shared" si="8"/>
        <v>3.3</v>
      </c>
      <c r="P52" s="4">
        <f t="shared" si="9"/>
        <v>19</v>
      </c>
    </row>
    <row r="53" ht="15.75" customHeight="1">
      <c r="A53" s="4">
        <v>2009.0</v>
      </c>
      <c r="B53" s="4">
        <v>203.0</v>
      </c>
      <c r="C53" s="4">
        <v>11.4</v>
      </c>
      <c r="D53" s="4">
        <v>21.87</v>
      </c>
      <c r="E53" s="4">
        <f t="shared" si="1"/>
        <v>1</v>
      </c>
      <c r="F53" s="4">
        <f t="shared" si="2"/>
        <v>0</v>
      </c>
      <c r="G53" s="4">
        <f t="shared" si="3"/>
        <v>38.6378</v>
      </c>
      <c r="H53" s="4">
        <f t="shared" si="4"/>
        <v>36.0175</v>
      </c>
      <c r="I53" s="4" t="str">
        <f t="shared" si="5"/>
        <v> </v>
      </c>
      <c r="J53" s="4">
        <v>0.6</v>
      </c>
      <c r="K53" s="4">
        <v>15.67</v>
      </c>
      <c r="L53" s="4">
        <f t="shared" si="6"/>
        <v>8</v>
      </c>
      <c r="M53" s="4">
        <f t="shared" si="7"/>
        <v>0</v>
      </c>
      <c r="N53" s="4">
        <v>-1.2422499999999974</v>
      </c>
      <c r="O53" s="4">
        <f t="shared" si="8"/>
        <v>0.6</v>
      </c>
      <c r="P53" s="4">
        <f t="shared" si="9"/>
        <v>15.67</v>
      </c>
    </row>
    <row r="54" ht="15.75" customHeight="1">
      <c r="A54" s="4">
        <v>2009.0</v>
      </c>
      <c r="B54" s="4">
        <v>204.0</v>
      </c>
      <c r="C54" s="4">
        <v>9.62</v>
      </c>
      <c r="D54" s="4">
        <v>24.3</v>
      </c>
      <c r="E54" s="4">
        <f t="shared" si="1"/>
        <v>0</v>
      </c>
      <c r="F54" s="4">
        <f t="shared" si="2"/>
        <v>0</v>
      </c>
      <c r="G54" s="4">
        <f t="shared" si="3"/>
        <v>34.83</v>
      </c>
      <c r="H54" s="4">
        <f t="shared" si="4"/>
        <v>32.6248</v>
      </c>
      <c r="I54" s="4" t="str">
        <f t="shared" si="5"/>
        <v> </v>
      </c>
      <c r="J54" s="4">
        <v>0.0</v>
      </c>
      <c r="K54" s="4">
        <v>16.63</v>
      </c>
      <c r="L54" s="4">
        <f t="shared" si="6"/>
        <v>3</v>
      </c>
      <c r="M54" s="4">
        <f t="shared" si="7"/>
        <v>0</v>
      </c>
      <c r="N54" s="4">
        <v>-6.480110000000003</v>
      </c>
      <c r="O54" s="4">
        <f t="shared" si="8"/>
        <v>0</v>
      </c>
      <c r="P54" s="4">
        <f t="shared" si="9"/>
        <v>16.63</v>
      </c>
    </row>
    <row r="55" ht="15.75" customHeight="1">
      <c r="A55" s="4">
        <v>2009.0</v>
      </c>
      <c r="B55" s="4">
        <v>205.0</v>
      </c>
      <c r="C55" s="4">
        <v>9.34</v>
      </c>
      <c r="D55" s="4">
        <v>26.61</v>
      </c>
      <c r="E55" s="4">
        <f t="shared" si="1"/>
        <v>0</v>
      </c>
      <c r="F55" s="4">
        <f t="shared" si="2"/>
        <v>0</v>
      </c>
      <c r="G55" s="4">
        <f t="shared" si="3"/>
        <v>37.7414</v>
      </c>
      <c r="H55" s="4">
        <f t="shared" si="4"/>
        <v>34.30375</v>
      </c>
      <c r="I55" s="4" t="str">
        <f t="shared" si="5"/>
        <v> </v>
      </c>
      <c r="J55" s="4">
        <v>0.0</v>
      </c>
      <c r="K55" s="4">
        <v>18.85</v>
      </c>
      <c r="L55" s="4">
        <f t="shared" si="6"/>
        <v>3</v>
      </c>
      <c r="M55" s="4">
        <f t="shared" si="7"/>
        <v>0</v>
      </c>
      <c r="N55" s="4">
        <v>-8.874259999999998</v>
      </c>
      <c r="O55" s="4">
        <f t="shared" si="8"/>
        <v>0</v>
      </c>
      <c r="P55" s="4">
        <f t="shared" si="9"/>
        <v>18.85</v>
      </c>
    </row>
    <row r="56" ht="15.75" customHeight="1">
      <c r="A56" s="4">
        <v>2009.0</v>
      </c>
      <c r="B56" s="4">
        <v>206.0</v>
      </c>
      <c r="C56" s="4">
        <v>14.02</v>
      </c>
      <c r="D56" s="4">
        <v>25.52</v>
      </c>
      <c r="E56" s="4">
        <f t="shared" si="1"/>
        <v>1</v>
      </c>
      <c r="F56" s="4">
        <f t="shared" si="2"/>
        <v>0</v>
      </c>
      <c r="G56" s="4">
        <f t="shared" si="3"/>
        <v>39.8959</v>
      </c>
      <c r="H56" s="4">
        <f t="shared" si="4"/>
        <v>39.37515</v>
      </c>
      <c r="I56" s="4" t="str">
        <f t="shared" si="5"/>
        <v> </v>
      </c>
      <c r="J56" s="4">
        <v>0.3</v>
      </c>
      <c r="K56" s="4">
        <v>19.28</v>
      </c>
      <c r="L56" s="4">
        <f t="shared" si="6"/>
        <v>8</v>
      </c>
      <c r="M56" s="4">
        <f t="shared" si="7"/>
        <v>0</v>
      </c>
      <c r="N56" s="4">
        <v>-2.5135699999999996</v>
      </c>
      <c r="O56" s="4">
        <f t="shared" si="8"/>
        <v>0.3</v>
      </c>
      <c r="P56" s="4">
        <f t="shared" si="9"/>
        <v>19.28</v>
      </c>
    </row>
    <row r="57" ht="15.75" customHeight="1">
      <c r="A57" s="4">
        <v>2009.0</v>
      </c>
      <c r="B57" s="4">
        <v>207.0</v>
      </c>
      <c r="C57" s="4">
        <v>13.92</v>
      </c>
      <c r="D57" s="4">
        <v>27.08</v>
      </c>
      <c r="E57" s="4">
        <f t="shared" si="1"/>
        <v>0</v>
      </c>
      <c r="F57" s="4">
        <f t="shared" si="2"/>
        <v>0</v>
      </c>
      <c r="G57" s="4">
        <f t="shared" si="3"/>
        <v>40.1343</v>
      </c>
      <c r="H57" s="4">
        <f t="shared" si="4"/>
        <v>38.51925</v>
      </c>
      <c r="I57" s="4" t="str">
        <f t="shared" si="5"/>
        <v> </v>
      </c>
      <c r="J57" s="4">
        <v>0.0</v>
      </c>
      <c r="K57" s="4">
        <v>20.21</v>
      </c>
      <c r="L57" s="4">
        <f t="shared" si="6"/>
        <v>3</v>
      </c>
      <c r="M57" s="4">
        <f t="shared" si="7"/>
        <v>1</v>
      </c>
      <c r="N57" s="4">
        <v>0.8198699999999992</v>
      </c>
      <c r="O57" s="4">
        <f t="shared" si="8"/>
        <v>0</v>
      </c>
      <c r="P57" s="4">
        <f t="shared" si="9"/>
        <v>20.21</v>
      </c>
    </row>
    <row r="58" ht="15.75" customHeight="1">
      <c r="A58" s="4">
        <v>2009.0</v>
      </c>
      <c r="B58" s="4">
        <v>208.0</v>
      </c>
      <c r="C58" s="4">
        <v>13.95</v>
      </c>
      <c r="D58" s="4">
        <v>22.86</v>
      </c>
      <c r="E58" s="4">
        <f t="shared" si="1"/>
        <v>1</v>
      </c>
      <c r="F58" s="4">
        <f t="shared" si="2"/>
        <v>0</v>
      </c>
      <c r="G58" s="4">
        <f t="shared" si="3"/>
        <v>41.1306</v>
      </c>
      <c r="H58" s="4">
        <f t="shared" si="4"/>
        <v>39.14985</v>
      </c>
      <c r="I58" s="4" t="str">
        <f t="shared" si="5"/>
        <v> </v>
      </c>
      <c r="J58" s="4">
        <v>10.7</v>
      </c>
      <c r="K58" s="4">
        <v>18.68</v>
      </c>
      <c r="L58" s="4">
        <f t="shared" si="6"/>
        <v>8</v>
      </c>
      <c r="M58" s="4">
        <f t="shared" si="7"/>
        <v>1</v>
      </c>
      <c r="N58" s="4">
        <v>0.3196799999999975</v>
      </c>
      <c r="O58" s="4">
        <f t="shared" si="8"/>
        <v>10.7</v>
      </c>
      <c r="P58" s="4">
        <f t="shared" si="9"/>
        <v>18.68</v>
      </c>
    </row>
    <row r="59" ht="15.75" customHeight="1">
      <c r="A59" s="4">
        <v>2009.0</v>
      </c>
      <c r="B59" s="4">
        <v>209.0</v>
      </c>
      <c r="C59" s="4">
        <v>11.13</v>
      </c>
      <c r="D59" s="4">
        <v>24.6</v>
      </c>
      <c r="E59" s="4">
        <f t="shared" si="1"/>
        <v>0</v>
      </c>
      <c r="F59" s="4">
        <f t="shared" si="2"/>
        <v>0</v>
      </c>
      <c r="G59" s="4">
        <f t="shared" si="3"/>
        <v>40.1832</v>
      </c>
      <c r="H59" s="4">
        <f t="shared" si="4"/>
        <v>39.0868</v>
      </c>
      <c r="I59" s="4" t="str">
        <f t="shared" si="5"/>
        <v> </v>
      </c>
      <c r="J59" s="4">
        <v>0.0</v>
      </c>
      <c r="K59" s="4">
        <v>17.22</v>
      </c>
      <c r="L59" s="4">
        <f t="shared" si="6"/>
        <v>3</v>
      </c>
      <c r="M59" s="4">
        <f t="shared" si="7"/>
        <v>0</v>
      </c>
      <c r="N59" s="4">
        <v>-4.5996299999999986</v>
      </c>
      <c r="O59" s="4">
        <f t="shared" si="8"/>
        <v>0</v>
      </c>
      <c r="P59" s="4">
        <f t="shared" si="9"/>
        <v>17.22</v>
      </c>
    </row>
    <row r="60" ht="15.75" customHeight="1">
      <c r="A60" s="4">
        <v>2009.0</v>
      </c>
      <c r="B60" s="4">
        <v>210.0</v>
      </c>
      <c r="C60" s="4">
        <v>12.93</v>
      </c>
      <c r="D60" s="4">
        <v>25.57</v>
      </c>
      <c r="E60" s="4">
        <f t="shared" si="1"/>
        <v>1</v>
      </c>
      <c r="F60" s="4">
        <f t="shared" si="2"/>
        <v>1</v>
      </c>
      <c r="G60" s="4">
        <f t="shared" si="3"/>
        <v>41.7875</v>
      </c>
      <c r="H60" s="4">
        <f t="shared" si="4"/>
        <v>42.4982</v>
      </c>
      <c r="I60" s="4">
        <f t="shared" si="5"/>
        <v>0.7107</v>
      </c>
      <c r="J60" s="4">
        <v>0.1</v>
      </c>
      <c r="K60" s="4">
        <v>19.15</v>
      </c>
      <c r="L60" s="4">
        <f t="shared" si="6"/>
        <v>8</v>
      </c>
      <c r="M60" s="4">
        <f t="shared" si="7"/>
        <v>0</v>
      </c>
      <c r="N60" s="4">
        <v>-11.758170000000002</v>
      </c>
      <c r="O60" s="4">
        <f t="shared" si="8"/>
        <v>0.1</v>
      </c>
      <c r="P60" s="4">
        <f t="shared" si="9"/>
        <v>19.15</v>
      </c>
    </row>
    <row r="61" ht="15.75" customHeight="1">
      <c r="A61" s="4">
        <v>2009.0</v>
      </c>
      <c r="B61" s="4">
        <v>211.0</v>
      </c>
      <c r="C61" s="4">
        <v>15.29</v>
      </c>
      <c r="D61" s="4">
        <v>26.06</v>
      </c>
      <c r="E61" s="4">
        <f t="shared" si="1"/>
        <v>1</v>
      </c>
      <c r="F61" s="4">
        <f t="shared" si="2"/>
        <v>0</v>
      </c>
      <c r="G61" s="4">
        <f t="shared" si="3"/>
        <v>41.717</v>
      </c>
      <c r="H61" s="4">
        <f t="shared" si="4"/>
        <v>39.93605</v>
      </c>
      <c r="I61" s="4" t="str">
        <f t="shared" si="5"/>
        <v> </v>
      </c>
      <c r="J61" s="4">
        <v>1.0</v>
      </c>
      <c r="K61" s="4">
        <v>19.45</v>
      </c>
      <c r="L61" s="4">
        <f t="shared" si="6"/>
        <v>8</v>
      </c>
      <c r="M61" s="4">
        <f t="shared" si="7"/>
        <v>0</v>
      </c>
      <c r="N61" s="4">
        <v>-11.13339</v>
      </c>
      <c r="O61" s="4">
        <f t="shared" si="8"/>
        <v>1</v>
      </c>
      <c r="P61" s="4">
        <f t="shared" si="9"/>
        <v>19.45</v>
      </c>
    </row>
    <row r="62" ht="15.75" customHeight="1">
      <c r="A62" s="4">
        <v>2009.0</v>
      </c>
      <c r="B62" s="4">
        <v>212.0</v>
      </c>
      <c r="C62" s="4">
        <v>12.8</v>
      </c>
      <c r="D62" s="4">
        <v>26.78</v>
      </c>
      <c r="E62" s="4">
        <f t="shared" si="1"/>
        <v>0</v>
      </c>
      <c r="F62" s="4">
        <f t="shared" si="2"/>
        <v>0</v>
      </c>
      <c r="G62" s="4">
        <f t="shared" si="3"/>
        <v>33.8668</v>
      </c>
      <c r="H62" s="4">
        <f t="shared" si="4"/>
        <v>33.6745</v>
      </c>
      <c r="I62" s="4" t="str">
        <f t="shared" si="5"/>
        <v> </v>
      </c>
      <c r="J62" s="4">
        <v>0.0</v>
      </c>
      <c r="K62" s="4">
        <v>19.79</v>
      </c>
      <c r="L62" s="4">
        <f t="shared" si="6"/>
        <v>3</v>
      </c>
      <c r="M62" s="4">
        <f t="shared" si="7"/>
        <v>0</v>
      </c>
      <c r="N62" s="4">
        <v>-10.431259999999996</v>
      </c>
      <c r="O62" s="4">
        <f t="shared" si="8"/>
        <v>0</v>
      </c>
      <c r="P62" s="4">
        <f t="shared" si="9"/>
        <v>19.79</v>
      </c>
    </row>
    <row r="63" ht="15.75" customHeight="1">
      <c r="A63" s="4">
        <v>2009.0</v>
      </c>
      <c r="B63" s="4">
        <v>213.0</v>
      </c>
      <c r="C63" s="4">
        <v>12.0</v>
      </c>
      <c r="D63" s="4">
        <v>27.62</v>
      </c>
      <c r="E63" s="4">
        <f t="shared" si="1"/>
        <v>1</v>
      </c>
      <c r="F63" s="4">
        <f t="shared" si="2"/>
        <v>1</v>
      </c>
      <c r="G63" s="4">
        <f t="shared" si="3"/>
        <v>38.1803</v>
      </c>
      <c r="H63" s="4">
        <f t="shared" si="4"/>
        <v>38.62095</v>
      </c>
      <c r="I63" s="4">
        <f t="shared" si="5"/>
        <v>0.44065</v>
      </c>
      <c r="J63" s="4">
        <v>5.9</v>
      </c>
      <c r="K63" s="4">
        <v>19.24</v>
      </c>
      <c r="L63" s="4">
        <f t="shared" si="6"/>
        <v>8</v>
      </c>
      <c r="M63" s="4">
        <f t="shared" si="7"/>
        <v>0</v>
      </c>
      <c r="N63" s="4">
        <v>-12.371660000000004</v>
      </c>
      <c r="O63" s="4">
        <f t="shared" si="8"/>
        <v>5.9</v>
      </c>
      <c r="P63" s="4">
        <f t="shared" si="9"/>
        <v>19.24</v>
      </c>
    </row>
    <row r="64" ht="15.75" customHeight="1">
      <c r="A64" s="4">
        <v>2009.0</v>
      </c>
      <c r="B64" s="4">
        <v>214.0</v>
      </c>
      <c r="C64" s="4">
        <v>12.95</v>
      </c>
      <c r="D64" s="4">
        <v>23.2</v>
      </c>
      <c r="E64" s="4">
        <f t="shared" si="1"/>
        <v>1</v>
      </c>
      <c r="F64" s="4">
        <f t="shared" si="2"/>
        <v>0</v>
      </c>
      <c r="G64" s="4">
        <f t="shared" si="3"/>
        <v>33.0542</v>
      </c>
      <c r="H64" s="4">
        <f t="shared" si="4"/>
        <v>31.21875</v>
      </c>
      <c r="I64" s="4" t="str">
        <f t="shared" si="5"/>
        <v> </v>
      </c>
      <c r="J64" s="4">
        <v>9.8</v>
      </c>
      <c r="K64" s="4">
        <v>17.54</v>
      </c>
      <c r="L64" s="4">
        <f t="shared" si="6"/>
        <v>8</v>
      </c>
      <c r="M64" s="4">
        <f t="shared" si="7"/>
        <v>0</v>
      </c>
      <c r="N64" s="4">
        <v>-9.771289999999999</v>
      </c>
      <c r="O64" s="4">
        <f t="shared" si="8"/>
        <v>9.8</v>
      </c>
      <c r="P64" s="4">
        <f t="shared" si="9"/>
        <v>17.54</v>
      </c>
    </row>
    <row r="65" ht="15.75" customHeight="1">
      <c r="A65" s="4">
        <v>2009.0</v>
      </c>
      <c r="B65" s="4">
        <v>215.0</v>
      </c>
      <c r="C65" s="4">
        <v>10.02</v>
      </c>
      <c r="D65" s="4">
        <v>22.67</v>
      </c>
      <c r="E65" s="4">
        <f t="shared" si="1"/>
        <v>0</v>
      </c>
      <c r="F65" s="4">
        <f t="shared" si="2"/>
        <v>0</v>
      </c>
      <c r="G65" s="4">
        <f t="shared" si="3"/>
        <v>27.0466</v>
      </c>
      <c r="H65" s="4">
        <f t="shared" si="4"/>
        <v>26.05325</v>
      </c>
      <c r="I65" s="4" t="str">
        <f t="shared" si="5"/>
        <v> </v>
      </c>
      <c r="J65" s="4">
        <v>0.0</v>
      </c>
      <c r="K65" s="4">
        <v>16.35</v>
      </c>
      <c r="L65" s="4">
        <f t="shared" si="6"/>
        <v>3</v>
      </c>
      <c r="M65" s="4">
        <f t="shared" si="7"/>
        <v>0</v>
      </c>
      <c r="N65" s="4">
        <v>-1.721259999999999</v>
      </c>
      <c r="O65" s="4">
        <f t="shared" si="8"/>
        <v>0</v>
      </c>
      <c r="P65" s="4">
        <f t="shared" si="9"/>
        <v>16.35</v>
      </c>
    </row>
    <row r="66" ht="15.75" customHeight="1">
      <c r="A66" s="4">
        <v>2009.0</v>
      </c>
      <c r="B66" s="4">
        <v>216.0</v>
      </c>
      <c r="C66" s="4">
        <v>11.83</v>
      </c>
      <c r="D66" s="4">
        <v>17.78</v>
      </c>
      <c r="E66" s="4">
        <f t="shared" si="1"/>
        <v>1</v>
      </c>
      <c r="F66" s="4">
        <f t="shared" si="2"/>
        <v>1</v>
      </c>
      <c r="G66" s="4">
        <f t="shared" si="3"/>
        <v>27.66576</v>
      </c>
      <c r="H66" s="4">
        <f t="shared" si="4"/>
        <v>28.69845</v>
      </c>
      <c r="I66" s="4">
        <f t="shared" si="5"/>
        <v>1.03269</v>
      </c>
      <c r="J66" s="4">
        <v>0.9</v>
      </c>
      <c r="K66" s="4">
        <v>14.54</v>
      </c>
      <c r="L66" s="4">
        <f t="shared" si="6"/>
        <v>8</v>
      </c>
      <c r="M66" s="4">
        <f t="shared" si="7"/>
        <v>0</v>
      </c>
      <c r="N66" s="4">
        <v>-6.299980000000003</v>
      </c>
      <c r="O66" s="4">
        <f t="shared" si="8"/>
        <v>0.9</v>
      </c>
      <c r="P66" s="4">
        <f t="shared" si="9"/>
        <v>14.54</v>
      </c>
    </row>
    <row r="67" ht="15.75" customHeight="1">
      <c r="A67" s="4">
        <v>2009.0</v>
      </c>
      <c r="B67" s="4">
        <v>217.0</v>
      </c>
      <c r="C67" s="4">
        <v>10.59</v>
      </c>
      <c r="D67" s="4">
        <v>23.3</v>
      </c>
      <c r="E67" s="4">
        <f t="shared" si="1"/>
        <v>1</v>
      </c>
      <c r="F67" s="4">
        <f t="shared" si="2"/>
        <v>0</v>
      </c>
      <c r="G67" s="4">
        <f t="shared" si="3"/>
        <v>28.51029</v>
      </c>
      <c r="H67" s="4">
        <f t="shared" si="4"/>
        <v>26.60189</v>
      </c>
      <c r="I67" s="4" t="str">
        <f t="shared" si="5"/>
        <v> </v>
      </c>
      <c r="J67" s="4">
        <v>0.1</v>
      </c>
      <c r="K67" s="4">
        <v>16.12</v>
      </c>
      <c r="L67" s="4">
        <f t="shared" si="6"/>
        <v>8</v>
      </c>
      <c r="M67" s="4">
        <f t="shared" si="7"/>
        <v>0</v>
      </c>
      <c r="N67" s="4">
        <v>-3.3225700000000034</v>
      </c>
      <c r="O67" s="4">
        <f t="shared" si="8"/>
        <v>0.1</v>
      </c>
      <c r="P67" s="4">
        <f t="shared" si="9"/>
        <v>16.12</v>
      </c>
    </row>
    <row r="68" ht="15.75" customHeight="1">
      <c r="A68" s="4">
        <v>2009.0</v>
      </c>
      <c r="B68" s="4">
        <v>218.0</v>
      </c>
      <c r="C68" s="4">
        <v>7.43</v>
      </c>
      <c r="D68" s="4">
        <v>22.43</v>
      </c>
      <c r="E68" s="4">
        <f t="shared" si="1"/>
        <v>0</v>
      </c>
      <c r="F68" s="4">
        <f t="shared" si="2"/>
        <v>0</v>
      </c>
      <c r="G68" s="4">
        <f t="shared" si="3"/>
        <v>25.84737</v>
      </c>
      <c r="H68" s="4">
        <f t="shared" si="4"/>
        <v>22.527245</v>
      </c>
      <c r="I68" s="4" t="str">
        <f t="shared" si="5"/>
        <v> </v>
      </c>
      <c r="J68" s="4">
        <v>0.0</v>
      </c>
      <c r="K68" s="4">
        <v>14.7</v>
      </c>
      <c r="L68" s="4">
        <f t="shared" si="6"/>
        <v>3</v>
      </c>
      <c r="M68" s="4">
        <f t="shared" si="7"/>
        <v>0</v>
      </c>
      <c r="N68" s="4">
        <v>-11.53072</v>
      </c>
      <c r="O68" s="4">
        <f t="shared" si="8"/>
        <v>0</v>
      </c>
      <c r="P68" s="4">
        <f t="shared" si="9"/>
        <v>14.7</v>
      </c>
    </row>
    <row r="69" ht="15.75" customHeight="1">
      <c r="A69" s="4">
        <v>2009.0</v>
      </c>
      <c r="B69" s="4">
        <v>219.0</v>
      </c>
      <c r="C69" s="4">
        <v>8.87</v>
      </c>
      <c r="D69" s="4">
        <v>19.78</v>
      </c>
      <c r="E69" s="4">
        <f t="shared" si="1"/>
        <v>0</v>
      </c>
      <c r="F69" s="4">
        <f t="shared" si="2"/>
        <v>0</v>
      </c>
      <c r="G69" s="4">
        <f t="shared" si="3"/>
        <v>27.0215</v>
      </c>
      <c r="H69" s="4">
        <f t="shared" si="4"/>
        <v>24.530665</v>
      </c>
      <c r="I69" s="4" t="str">
        <f t="shared" si="5"/>
        <v> </v>
      </c>
      <c r="J69" s="4">
        <v>0.0</v>
      </c>
      <c r="K69" s="4">
        <v>13.83</v>
      </c>
      <c r="L69" s="4">
        <f t="shared" si="6"/>
        <v>3</v>
      </c>
      <c r="M69" s="4">
        <f t="shared" si="7"/>
        <v>0</v>
      </c>
      <c r="N69" s="4">
        <v>-11.48155</v>
      </c>
      <c r="O69" s="4">
        <f t="shared" si="8"/>
        <v>0</v>
      </c>
      <c r="P69" s="4">
        <f t="shared" si="9"/>
        <v>13.83</v>
      </c>
    </row>
    <row r="70" ht="15.75" customHeight="1">
      <c r="A70" s="4">
        <v>2009.0</v>
      </c>
      <c r="B70" s="4">
        <v>220.0</v>
      </c>
      <c r="C70" s="4">
        <v>6.636</v>
      </c>
      <c r="D70" s="4">
        <v>20.41</v>
      </c>
      <c r="E70" s="4">
        <f t="shared" si="1"/>
        <v>1</v>
      </c>
      <c r="F70" s="4">
        <f t="shared" si="2"/>
        <v>0</v>
      </c>
      <c r="G70" s="4">
        <f t="shared" si="3"/>
        <v>29.17379</v>
      </c>
      <c r="H70" s="4">
        <f t="shared" si="4"/>
        <v>27.01721</v>
      </c>
      <c r="I70" s="4" t="str">
        <f t="shared" si="5"/>
        <v> </v>
      </c>
      <c r="J70" s="4">
        <v>0.1</v>
      </c>
      <c r="K70" s="4">
        <v>12.85</v>
      </c>
      <c r="L70" s="4">
        <f t="shared" si="6"/>
        <v>8</v>
      </c>
      <c r="M70" s="4">
        <f t="shared" si="7"/>
        <v>0</v>
      </c>
      <c r="N70" s="4">
        <v>-10.891719999999998</v>
      </c>
      <c r="O70" s="4">
        <f t="shared" si="8"/>
        <v>0.1</v>
      </c>
      <c r="P70" s="4">
        <f t="shared" si="9"/>
        <v>12.85</v>
      </c>
    </row>
    <row r="71" ht="15.75" customHeight="1">
      <c r="A71" s="4">
        <v>2009.0</v>
      </c>
      <c r="B71" s="4">
        <v>221.0</v>
      </c>
      <c r="C71" s="4">
        <v>6.363</v>
      </c>
      <c r="D71" s="4">
        <v>19.35</v>
      </c>
      <c r="E71" s="4">
        <f t="shared" si="1"/>
        <v>0</v>
      </c>
      <c r="F71" s="4">
        <f t="shared" si="2"/>
        <v>0</v>
      </c>
      <c r="G71" s="4">
        <f t="shared" si="3"/>
        <v>27.50885</v>
      </c>
      <c r="H71" s="4">
        <f t="shared" si="4"/>
        <v>23.08542</v>
      </c>
      <c r="I71" s="4" t="str">
        <f t="shared" si="5"/>
        <v> </v>
      </c>
      <c r="J71" s="4">
        <v>0.0</v>
      </c>
      <c r="K71" s="4">
        <v>11.7</v>
      </c>
      <c r="L71" s="4">
        <f t="shared" si="6"/>
        <v>3</v>
      </c>
      <c r="M71" s="4">
        <f t="shared" si="7"/>
        <v>0</v>
      </c>
      <c r="N71" s="4">
        <v>-1.5081199999999997</v>
      </c>
      <c r="O71" s="4">
        <f t="shared" si="8"/>
        <v>0</v>
      </c>
      <c r="P71" s="4">
        <f t="shared" si="9"/>
        <v>11.7</v>
      </c>
    </row>
    <row r="72" ht="15.75" customHeight="1">
      <c r="A72" s="4">
        <v>2009.0</v>
      </c>
      <c r="B72" s="4">
        <v>222.0</v>
      </c>
      <c r="C72" s="4">
        <v>4.195</v>
      </c>
      <c r="D72" s="4">
        <v>22.76</v>
      </c>
      <c r="E72" s="4">
        <f t="shared" si="1"/>
        <v>0</v>
      </c>
      <c r="F72" s="4">
        <f t="shared" si="2"/>
        <v>0</v>
      </c>
      <c r="G72" s="4">
        <f t="shared" si="3"/>
        <v>24.1311</v>
      </c>
      <c r="H72" s="4">
        <f t="shared" si="4"/>
        <v>22.14705</v>
      </c>
      <c r="I72" s="4" t="str">
        <f t="shared" si="5"/>
        <v> </v>
      </c>
      <c r="J72" s="4">
        <v>0.0</v>
      </c>
      <c r="K72" s="4">
        <v>13.6</v>
      </c>
      <c r="L72" s="4">
        <f t="shared" si="6"/>
        <v>3</v>
      </c>
      <c r="M72" s="4">
        <f t="shared" si="7"/>
        <v>1</v>
      </c>
      <c r="N72" s="4">
        <v>1.666509999999999</v>
      </c>
      <c r="O72" s="4">
        <f t="shared" si="8"/>
        <v>0</v>
      </c>
      <c r="P72" s="4">
        <f t="shared" si="9"/>
        <v>13.6</v>
      </c>
    </row>
    <row r="73" ht="15.75" customHeight="1">
      <c r="A73" s="4">
        <v>2009.0</v>
      </c>
      <c r="B73" s="4">
        <v>223.0</v>
      </c>
      <c r="C73" s="4">
        <v>7.76</v>
      </c>
      <c r="D73" s="4">
        <v>25.3</v>
      </c>
      <c r="E73" s="4">
        <f t="shared" si="1"/>
        <v>0</v>
      </c>
      <c r="F73" s="4">
        <f t="shared" si="2"/>
        <v>0</v>
      </c>
      <c r="G73" s="4">
        <f t="shared" si="3"/>
        <v>25.7443</v>
      </c>
      <c r="H73" s="4">
        <f t="shared" si="4"/>
        <v>24.2312</v>
      </c>
      <c r="I73" s="4" t="str">
        <f t="shared" si="5"/>
        <v> </v>
      </c>
      <c r="J73" s="4">
        <v>0.0</v>
      </c>
      <c r="K73" s="4">
        <v>16.49</v>
      </c>
      <c r="L73" s="4">
        <f t="shared" si="6"/>
        <v>3</v>
      </c>
      <c r="M73" s="4">
        <f t="shared" si="7"/>
        <v>1</v>
      </c>
      <c r="N73" s="4">
        <v>2.0388200000000003</v>
      </c>
      <c r="O73" s="4">
        <f t="shared" si="8"/>
        <v>0</v>
      </c>
      <c r="P73" s="4">
        <f t="shared" si="9"/>
        <v>16.49</v>
      </c>
    </row>
    <row r="74" ht="15.75" customHeight="1">
      <c r="A74" s="4">
        <v>2009.0</v>
      </c>
      <c r="B74" s="4">
        <v>224.0</v>
      </c>
      <c r="C74" s="4">
        <v>9.76</v>
      </c>
      <c r="D74" s="4">
        <v>24.22</v>
      </c>
      <c r="E74" s="4">
        <f t="shared" si="1"/>
        <v>0</v>
      </c>
      <c r="F74" s="4">
        <f t="shared" si="2"/>
        <v>0</v>
      </c>
      <c r="G74" s="4">
        <f t="shared" si="3"/>
        <v>27.5432</v>
      </c>
      <c r="H74" s="4">
        <f t="shared" si="4"/>
        <v>26.1984</v>
      </c>
      <c r="I74" s="4" t="str">
        <f t="shared" si="5"/>
        <v> </v>
      </c>
      <c r="J74" s="4">
        <v>0.0</v>
      </c>
      <c r="K74" s="4">
        <v>16.89</v>
      </c>
      <c r="L74" s="4">
        <f t="shared" si="6"/>
        <v>3</v>
      </c>
      <c r="M74" s="4">
        <f t="shared" si="7"/>
        <v>1</v>
      </c>
      <c r="N74" s="4">
        <v>6.3532100000000025</v>
      </c>
      <c r="O74" s="4">
        <f t="shared" si="8"/>
        <v>0</v>
      </c>
      <c r="P74" s="4">
        <f t="shared" si="9"/>
        <v>16.89</v>
      </c>
    </row>
    <row r="75" ht="15.75" customHeight="1">
      <c r="A75" s="4">
        <v>2009.0</v>
      </c>
      <c r="B75" s="4">
        <v>225.0</v>
      </c>
      <c r="C75" s="4">
        <v>8.87</v>
      </c>
      <c r="D75" s="4">
        <v>24.56</v>
      </c>
      <c r="E75" s="4">
        <f t="shared" si="1"/>
        <v>0</v>
      </c>
      <c r="F75" s="4">
        <f t="shared" si="2"/>
        <v>1</v>
      </c>
      <c r="G75" s="4">
        <f t="shared" si="3"/>
        <v>31.0128</v>
      </c>
      <c r="H75" s="4">
        <f t="shared" si="4"/>
        <v>31.5086</v>
      </c>
      <c r="I75" s="4">
        <f t="shared" si="5"/>
        <v>0.4958</v>
      </c>
      <c r="J75" s="4">
        <v>0.0</v>
      </c>
      <c r="K75" s="4">
        <v>16.51</v>
      </c>
      <c r="L75" s="4">
        <f t="shared" si="6"/>
        <v>3</v>
      </c>
      <c r="M75" s="4">
        <f t="shared" si="7"/>
        <v>1</v>
      </c>
      <c r="N75" s="4">
        <v>5.245640000000003</v>
      </c>
      <c r="O75" s="4">
        <f t="shared" si="8"/>
        <v>0</v>
      </c>
      <c r="P75" s="4">
        <f t="shared" si="9"/>
        <v>16.51</v>
      </c>
    </row>
    <row r="76" ht="15.75" customHeight="1">
      <c r="A76" s="4">
        <v>2009.0</v>
      </c>
      <c r="B76" s="4">
        <v>226.0</v>
      </c>
      <c r="C76" s="4">
        <v>10.42</v>
      </c>
      <c r="D76" s="4">
        <v>16.59</v>
      </c>
      <c r="E76" s="4">
        <f t="shared" si="1"/>
        <v>1</v>
      </c>
      <c r="F76" s="4">
        <f t="shared" si="2"/>
        <v>1</v>
      </c>
      <c r="G76" s="4">
        <f t="shared" si="3"/>
        <v>31.8882</v>
      </c>
      <c r="H76" s="4">
        <f t="shared" si="4"/>
        <v>34.74275</v>
      </c>
      <c r="I76" s="4">
        <f t="shared" si="5"/>
        <v>2.85455</v>
      </c>
      <c r="J76" s="4">
        <v>5.3</v>
      </c>
      <c r="K76" s="4">
        <v>13.11</v>
      </c>
      <c r="L76" s="4">
        <f t="shared" si="6"/>
        <v>8</v>
      </c>
      <c r="M76" s="4">
        <f t="shared" si="7"/>
        <v>1</v>
      </c>
      <c r="N76" s="4">
        <v>3.1350899999999973</v>
      </c>
      <c r="O76" s="4">
        <f t="shared" si="8"/>
        <v>5.3</v>
      </c>
      <c r="P76" s="4">
        <f t="shared" si="9"/>
        <v>13.11</v>
      </c>
    </row>
    <row r="77" ht="15.75" customHeight="1">
      <c r="A77" s="4">
        <v>2009.0</v>
      </c>
      <c r="B77" s="4">
        <v>227.0</v>
      </c>
      <c r="C77" s="4">
        <v>10.46</v>
      </c>
      <c r="D77" s="4">
        <v>15.52</v>
      </c>
      <c r="E77" s="4">
        <f t="shared" si="1"/>
        <v>1</v>
      </c>
      <c r="F77" s="4">
        <f t="shared" si="2"/>
        <v>1</v>
      </c>
      <c r="G77" s="4">
        <f t="shared" si="3"/>
        <v>30.3969</v>
      </c>
      <c r="H77" s="4">
        <f t="shared" si="4"/>
        <v>33.89315</v>
      </c>
      <c r="I77" s="4">
        <f t="shared" si="5"/>
        <v>3.49625</v>
      </c>
      <c r="J77" s="4">
        <v>2.0</v>
      </c>
      <c r="K77" s="4">
        <v>12.31</v>
      </c>
      <c r="L77" s="4">
        <f t="shared" si="6"/>
        <v>8</v>
      </c>
      <c r="M77" s="4">
        <f t="shared" si="7"/>
        <v>1</v>
      </c>
      <c r="N77" s="4">
        <v>4.276620000000004</v>
      </c>
      <c r="O77" s="4">
        <f t="shared" si="8"/>
        <v>2</v>
      </c>
      <c r="P77" s="4">
        <f t="shared" si="9"/>
        <v>12.31</v>
      </c>
    </row>
    <row r="78" ht="15.75" customHeight="1">
      <c r="A78" s="4">
        <v>2009.0</v>
      </c>
      <c r="B78" s="4">
        <v>228.0</v>
      </c>
      <c r="C78" s="4">
        <v>9.32</v>
      </c>
      <c r="D78" s="4">
        <v>20.44</v>
      </c>
      <c r="E78" s="4">
        <f t="shared" si="1"/>
        <v>1</v>
      </c>
      <c r="F78" s="4">
        <f t="shared" si="2"/>
        <v>1</v>
      </c>
      <c r="G78" s="4">
        <f t="shared" si="3"/>
        <v>32.0328</v>
      </c>
      <c r="H78" s="4">
        <f t="shared" si="4"/>
        <v>35.347</v>
      </c>
      <c r="I78" s="4">
        <f t="shared" si="5"/>
        <v>3.3142</v>
      </c>
      <c r="J78" s="4">
        <v>0.2</v>
      </c>
      <c r="K78" s="4">
        <v>14.73</v>
      </c>
      <c r="L78" s="4">
        <f t="shared" si="6"/>
        <v>8</v>
      </c>
      <c r="M78" s="4">
        <f t="shared" si="7"/>
        <v>1</v>
      </c>
      <c r="N78" s="4">
        <v>4.20716</v>
      </c>
      <c r="O78" s="4">
        <f t="shared" si="8"/>
        <v>0.2</v>
      </c>
      <c r="P78" s="4">
        <f t="shared" si="9"/>
        <v>14.73</v>
      </c>
    </row>
    <row r="79" ht="15.75" customHeight="1">
      <c r="A79" s="4">
        <v>2009.0</v>
      </c>
      <c r="B79" s="4">
        <v>229.0</v>
      </c>
      <c r="C79" s="4">
        <v>13.05</v>
      </c>
      <c r="D79" s="4">
        <v>25.88</v>
      </c>
      <c r="E79" s="4">
        <f t="shared" si="1"/>
        <v>1</v>
      </c>
      <c r="F79" s="4">
        <f t="shared" si="2"/>
        <v>1</v>
      </c>
      <c r="G79" s="4">
        <f t="shared" si="3"/>
        <v>29.7821</v>
      </c>
      <c r="H79" s="4">
        <f t="shared" si="4"/>
        <v>30.84375</v>
      </c>
      <c r="I79" s="4">
        <f t="shared" si="5"/>
        <v>1.06165</v>
      </c>
      <c r="J79" s="4">
        <v>0.1</v>
      </c>
      <c r="K79" s="4">
        <v>19.04</v>
      </c>
      <c r="L79" s="4">
        <f t="shared" si="6"/>
        <v>8</v>
      </c>
      <c r="M79" s="4">
        <f t="shared" si="7"/>
        <v>1</v>
      </c>
      <c r="N79" s="4">
        <v>10.06586</v>
      </c>
      <c r="O79" s="4">
        <f t="shared" si="8"/>
        <v>0.1</v>
      </c>
      <c r="P79" s="4">
        <f t="shared" si="9"/>
        <v>19.04</v>
      </c>
    </row>
    <row r="80" ht="15.75" customHeight="1">
      <c r="A80" s="4">
        <v>2009.0</v>
      </c>
      <c r="B80" s="4">
        <v>230.0</v>
      </c>
      <c r="C80" s="4">
        <v>13.59</v>
      </c>
      <c r="D80" s="4">
        <v>25.95</v>
      </c>
      <c r="E80" s="4">
        <f t="shared" si="1"/>
        <v>1</v>
      </c>
      <c r="F80" s="4">
        <f t="shared" si="2"/>
        <v>1</v>
      </c>
      <c r="G80" s="4">
        <f t="shared" si="3"/>
        <v>29.4334</v>
      </c>
      <c r="H80" s="4">
        <f t="shared" si="4"/>
        <v>31.25785</v>
      </c>
      <c r="I80" s="4">
        <f t="shared" si="5"/>
        <v>1.82445</v>
      </c>
      <c r="J80" s="4">
        <v>7.4</v>
      </c>
      <c r="K80" s="4">
        <v>18.44</v>
      </c>
      <c r="L80" s="4">
        <f t="shared" si="6"/>
        <v>8</v>
      </c>
      <c r="M80" s="4">
        <f t="shared" si="7"/>
        <v>1</v>
      </c>
      <c r="N80" s="4">
        <v>7.289979999999998</v>
      </c>
      <c r="O80" s="4">
        <f t="shared" si="8"/>
        <v>7.4</v>
      </c>
      <c r="P80" s="4">
        <f t="shared" si="9"/>
        <v>18.44</v>
      </c>
    </row>
    <row r="81" ht="15.75" customHeight="1">
      <c r="A81" s="4">
        <v>2009.0</v>
      </c>
      <c r="B81" s="4">
        <v>231.0</v>
      </c>
      <c r="C81" s="4">
        <v>12.28</v>
      </c>
      <c r="D81" s="4">
        <v>19.91</v>
      </c>
      <c r="E81" s="4">
        <f t="shared" si="1"/>
        <v>1</v>
      </c>
      <c r="F81" s="4">
        <f t="shared" si="2"/>
        <v>0</v>
      </c>
      <c r="G81" s="4">
        <f t="shared" si="3"/>
        <v>19.7182</v>
      </c>
      <c r="H81" s="4">
        <f t="shared" si="4"/>
        <v>19.62715</v>
      </c>
      <c r="I81" s="4" t="str">
        <f t="shared" si="5"/>
        <v> </v>
      </c>
      <c r="J81" s="4">
        <v>0.6</v>
      </c>
      <c r="K81" s="4">
        <v>15.45</v>
      </c>
      <c r="L81" s="4">
        <f t="shared" si="6"/>
        <v>8</v>
      </c>
      <c r="M81" s="4">
        <f t="shared" si="7"/>
        <v>0</v>
      </c>
      <c r="N81" s="4">
        <v>-0.2818660000000015</v>
      </c>
      <c r="O81" s="4">
        <f t="shared" si="8"/>
        <v>0.6</v>
      </c>
      <c r="P81" s="4">
        <f t="shared" si="9"/>
        <v>15.45</v>
      </c>
    </row>
    <row r="82" ht="15.75" customHeight="1">
      <c r="A82" s="4">
        <v>2009.0</v>
      </c>
      <c r="B82" s="4">
        <v>232.0</v>
      </c>
      <c r="C82" s="4">
        <v>10.29</v>
      </c>
      <c r="D82" s="4">
        <v>17.35</v>
      </c>
      <c r="E82" s="4">
        <f t="shared" si="1"/>
        <v>1</v>
      </c>
      <c r="F82" s="4">
        <f t="shared" si="2"/>
        <v>1</v>
      </c>
      <c r="G82" s="4">
        <f t="shared" si="3"/>
        <v>17.5799</v>
      </c>
      <c r="H82" s="4">
        <f t="shared" si="4"/>
        <v>19.22285</v>
      </c>
      <c r="I82" s="4">
        <f t="shared" si="5"/>
        <v>1.64295</v>
      </c>
      <c r="J82" s="4">
        <v>0.3</v>
      </c>
      <c r="K82" s="4">
        <v>12.3</v>
      </c>
      <c r="L82" s="4">
        <f t="shared" si="6"/>
        <v>8</v>
      </c>
      <c r="M82" s="4">
        <f t="shared" si="7"/>
        <v>0</v>
      </c>
      <c r="N82" s="4">
        <v>-4.158830999999998</v>
      </c>
      <c r="O82" s="4">
        <f t="shared" si="8"/>
        <v>0.3</v>
      </c>
      <c r="P82" s="4">
        <f t="shared" si="9"/>
        <v>12.3</v>
      </c>
    </row>
    <row r="83" ht="15.75" customHeight="1">
      <c r="A83" s="4">
        <v>2009.0</v>
      </c>
      <c r="B83" s="4">
        <v>233.0</v>
      </c>
      <c r="C83" s="4">
        <v>9.55</v>
      </c>
      <c r="D83" s="4">
        <v>12.18</v>
      </c>
      <c r="E83" s="4">
        <f t="shared" si="1"/>
        <v>0</v>
      </c>
      <c r="F83" s="4">
        <f t="shared" si="2"/>
        <v>1</v>
      </c>
      <c r="G83" s="4">
        <f t="shared" si="3"/>
        <v>13.9607</v>
      </c>
      <c r="H83" s="4">
        <f t="shared" si="4"/>
        <v>15.1902</v>
      </c>
      <c r="I83" s="4">
        <f t="shared" si="5"/>
        <v>1.2295</v>
      </c>
      <c r="J83" s="4">
        <v>0.0</v>
      </c>
      <c r="K83" s="4">
        <v>10.5</v>
      </c>
      <c r="L83" s="4">
        <f t="shared" si="6"/>
        <v>3</v>
      </c>
      <c r="M83" s="4">
        <f t="shared" si="7"/>
        <v>0</v>
      </c>
      <c r="N83" s="4">
        <v>-0.5579569999999998</v>
      </c>
      <c r="O83" s="4">
        <f t="shared" si="8"/>
        <v>0</v>
      </c>
      <c r="P83" s="4">
        <f t="shared" si="9"/>
        <v>10.5</v>
      </c>
    </row>
    <row r="84" ht="15.75" customHeight="1">
      <c r="A84" s="4">
        <v>2009.0</v>
      </c>
      <c r="B84" s="4">
        <v>234.0</v>
      </c>
      <c r="C84" s="4">
        <v>9.45</v>
      </c>
      <c r="D84" s="4">
        <v>19.28</v>
      </c>
      <c r="E84" s="4">
        <f t="shared" si="1"/>
        <v>1</v>
      </c>
      <c r="F84" s="4">
        <f t="shared" si="2"/>
        <v>1</v>
      </c>
      <c r="G84" s="4">
        <f t="shared" si="3"/>
        <v>24.29799</v>
      </c>
      <c r="H84" s="4">
        <f t="shared" si="4"/>
        <v>25.54915</v>
      </c>
      <c r="I84" s="4">
        <f t="shared" si="5"/>
        <v>1.25116</v>
      </c>
      <c r="J84" s="4">
        <v>0.1</v>
      </c>
      <c r="K84" s="4">
        <v>13.4</v>
      </c>
      <c r="L84" s="4">
        <f t="shared" si="6"/>
        <v>8</v>
      </c>
      <c r="M84" s="4">
        <f t="shared" si="7"/>
        <v>0</v>
      </c>
      <c r="N84" s="4">
        <v>-2.5387439999999994</v>
      </c>
      <c r="O84" s="4">
        <f t="shared" si="8"/>
        <v>0.1</v>
      </c>
      <c r="P84" s="4">
        <f t="shared" si="9"/>
        <v>13.4</v>
      </c>
    </row>
    <row r="85" ht="15.75" customHeight="1">
      <c r="A85" s="4">
        <v>2009.0</v>
      </c>
      <c r="B85" s="4">
        <v>235.0</v>
      </c>
      <c r="C85" s="4">
        <v>9.39</v>
      </c>
      <c r="D85" s="4">
        <v>15.13</v>
      </c>
      <c r="E85" s="4">
        <f t="shared" si="1"/>
        <v>0</v>
      </c>
      <c r="F85" s="4">
        <f t="shared" si="2"/>
        <v>1</v>
      </c>
      <c r="G85" s="4">
        <f t="shared" si="3"/>
        <v>21.79277</v>
      </c>
      <c r="H85" s="4">
        <f t="shared" si="4"/>
        <v>21.907035</v>
      </c>
      <c r="I85" s="4">
        <f t="shared" si="5"/>
        <v>0.114265</v>
      </c>
      <c r="J85" s="4">
        <v>0.0</v>
      </c>
      <c r="K85" s="4">
        <v>13.2</v>
      </c>
      <c r="L85" s="4">
        <f t="shared" si="6"/>
        <v>3</v>
      </c>
      <c r="M85" s="4">
        <f t="shared" si="7"/>
        <v>0</v>
      </c>
      <c r="N85" s="4">
        <v>-1.74096</v>
      </c>
      <c r="O85" s="4">
        <f t="shared" si="8"/>
        <v>0</v>
      </c>
      <c r="P85" s="4">
        <f t="shared" si="9"/>
        <v>13.2</v>
      </c>
    </row>
    <row r="86" ht="15.75" customHeight="1">
      <c r="A86" s="4">
        <v>2009.0</v>
      </c>
      <c r="B86" s="4">
        <v>236.0</v>
      </c>
      <c r="C86" s="4">
        <v>7.36</v>
      </c>
      <c r="D86" s="4">
        <v>17.73</v>
      </c>
      <c r="E86" s="4">
        <f t="shared" si="1"/>
        <v>1</v>
      </c>
      <c r="F86" s="4">
        <f t="shared" si="2"/>
        <v>1</v>
      </c>
      <c r="G86" s="4">
        <f t="shared" si="3"/>
        <v>25.12044</v>
      </c>
      <c r="H86" s="4">
        <f t="shared" si="4"/>
        <v>28.960895</v>
      </c>
      <c r="I86" s="4">
        <f t="shared" si="5"/>
        <v>3.840455</v>
      </c>
      <c r="J86" s="4">
        <v>7.5</v>
      </c>
      <c r="K86" s="4">
        <v>12.0</v>
      </c>
      <c r="L86" s="4">
        <f t="shared" si="6"/>
        <v>8</v>
      </c>
      <c r="M86" s="4">
        <f t="shared" si="7"/>
        <v>1</v>
      </c>
      <c r="N86" s="4">
        <v>0.8638800000000015</v>
      </c>
      <c r="O86" s="4">
        <f t="shared" si="8"/>
        <v>7.5</v>
      </c>
      <c r="P86" s="4">
        <f t="shared" si="9"/>
        <v>12</v>
      </c>
    </row>
    <row r="87" ht="15.75" customHeight="1">
      <c r="A87" s="4">
        <v>2009.0</v>
      </c>
      <c r="B87" s="4">
        <v>237.0</v>
      </c>
      <c r="C87" s="4">
        <v>9.66</v>
      </c>
      <c r="D87" s="4">
        <v>17.38</v>
      </c>
      <c r="E87" s="4">
        <f t="shared" si="1"/>
        <v>1</v>
      </c>
      <c r="F87" s="4">
        <f t="shared" si="2"/>
        <v>0</v>
      </c>
      <c r="G87" s="4">
        <f t="shared" si="3"/>
        <v>28.37729</v>
      </c>
      <c r="H87" s="4">
        <f t="shared" si="4"/>
        <v>28.07601</v>
      </c>
      <c r="I87" s="4" t="str">
        <f t="shared" si="5"/>
        <v> </v>
      </c>
      <c r="J87" s="4">
        <v>2.1</v>
      </c>
      <c r="K87" s="4">
        <v>13.4</v>
      </c>
      <c r="L87" s="4">
        <f t="shared" si="6"/>
        <v>8</v>
      </c>
      <c r="M87" s="4">
        <f t="shared" si="7"/>
        <v>1</v>
      </c>
      <c r="N87" s="4">
        <v>4.223419999999999</v>
      </c>
      <c r="O87" s="4">
        <f t="shared" si="8"/>
        <v>2.1</v>
      </c>
      <c r="P87" s="4">
        <f t="shared" si="9"/>
        <v>13.4</v>
      </c>
    </row>
    <row r="88" ht="15.75" customHeight="1">
      <c r="A88" s="4">
        <v>2009.0</v>
      </c>
      <c r="B88" s="4">
        <v>238.0</v>
      </c>
      <c r="C88" s="4">
        <v>5.769</v>
      </c>
      <c r="D88" s="4">
        <v>20.71</v>
      </c>
      <c r="E88" s="4">
        <f t="shared" si="1"/>
        <v>1</v>
      </c>
      <c r="J88" s="4">
        <v>0.1</v>
      </c>
      <c r="K88" s="4">
        <v>13.08</v>
      </c>
      <c r="L88" s="4">
        <f t="shared" si="6"/>
        <v>8</v>
      </c>
      <c r="O88" s="4">
        <f t="shared" si="8"/>
        <v>0.1</v>
      </c>
      <c r="P88" s="4">
        <f t="shared" si="9"/>
        <v>13.08</v>
      </c>
    </row>
    <row r="89" ht="15.75" customHeight="1">
      <c r="A89" s="4">
        <v>2009.0</v>
      </c>
      <c r="B89" s="4">
        <v>239.0</v>
      </c>
      <c r="C89" s="4">
        <v>6.993</v>
      </c>
      <c r="D89" s="4">
        <v>21.63</v>
      </c>
      <c r="E89" s="4">
        <f t="shared" si="1"/>
        <v>0</v>
      </c>
      <c r="J89" s="4">
        <v>0.0</v>
      </c>
      <c r="K89" s="4">
        <v>14.1</v>
      </c>
      <c r="L89" s="4">
        <f t="shared" si="6"/>
        <v>3</v>
      </c>
      <c r="O89" s="4">
        <f t="shared" si="8"/>
        <v>0</v>
      </c>
      <c r="P89" s="4">
        <f t="shared" si="9"/>
        <v>14.1</v>
      </c>
    </row>
    <row r="90" ht="15.75" customHeight="1">
      <c r="A90" s="4">
        <v>2009.0</v>
      </c>
      <c r="B90" s="4">
        <v>240.0</v>
      </c>
      <c r="C90" s="4">
        <v>11.86</v>
      </c>
      <c r="D90" s="4">
        <v>19.35</v>
      </c>
      <c r="E90" s="4">
        <f t="shared" si="1"/>
        <v>1</v>
      </c>
      <c r="J90" s="4">
        <v>4.8</v>
      </c>
      <c r="K90" s="4">
        <v>15.54</v>
      </c>
      <c r="L90" s="4">
        <f t="shared" si="6"/>
        <v>8</v>
      </c>
      <c r="O90" s="4">
        <f t="shared" si="8"/>
        <v>4.8</v>
      </c>
      <c r="P90" s="4">
        <f t="shared" si="9"/>
        <v>15.54</v>
      </c>
    </row>
    <row r="91" ht="15.75" customHeight="1">
      <c r="A91" s="4">
        <v>2009.0</v>
      </c>
      <c r="B91" s="4">
        <v>241.0</v>
      </c>
      <c r="C91" s="4">
        <v>8.57</v>
      </c>
      <c r="D91" s="4">
        <v>22.17</v>
      </c>
      <c r="E91" s="4">
        <f t="shared" si="1"/>
        <v>0</v>
      </c>
      <c r="J91" s="4">
        <v>0.0</v>
      </c>
      <c r="K91" s="4">
        <v>14.59</v>
      </c>
      <c r="L91" s="4">
        <f t="shared" si="6"/>
        <v>3</v>
      </c>
      <c r="O91" s="4">
        <f t="shared" si="8"/>
        <v>0</v>
      </c>
      <c r="P91" s="4">
        <f t="shared" si="9"/>
        <v>14.59</v>
      </c>
    </row>
    <row r="92" ht="15.75" customHeight="1">
      <c r="A92" s="4">
        <v>2009.0</v>
      </c>
      <c r="B92" s="4">
        <v>242.0</v>
      </c>
      <c r="C92" s="4">
        <v>7.96</v>
      </c>
      <c r="D92" s="4">
        <v>22.37</v>
      </c>
      <c r="E92" s="4">
        <f t="shared" si="1"/>
        <v>0</v>
      </c>
      <c r="J92" s="4">
        <v>0.0</v>
      </c>
      <c r="K92" s="4">
        <v>15.06</v>
      </c>
      <c r="L92" s="4">
        <f t="shared" si="6"/>
        <v>3</v>
      </c>
      <c r="O92" s="4">
        <f t="shared" si="8"/>
        <v>0</v>
      </c>
      <c r="P92" s="4">
        <f t="shared" si="9"/>
        <v>15.06</v>
      </c>
    </row>
    <row r="93" ht="15.75" customHeight="1">
      <c r="A93" s="4">
        <v>2009.0</v>
      </c>
      <c r="B93" s="4">
        <v>243.0</v>
      </c>
      <c r="C93" s="4">
        <v>11.93</v>
      </c>
      <c r="D93" s="4">
        <v>19.07</v>
      </c>
      <c r="E93" s="4">
        <f t="shared" si="1"/>
        <v>0</v>
      </c>
      <c r="J93" s="4">
        <v>0.0</v>
      </c>
      <c r="K93" s="4">
        <v>14.87</v>
      </c>
      <c r="L93" s="4">
        <f t="shared" si="6"/>
        <v>3</v>
      </c>
      <c r="O93" s="4">
        <f t="shared" si="8"/>
        <v>0</v>
      </c>
      <c r="P93" s="4">
        <f t="shared" si="9"/>
        <v>14.87</v>
      </c>
    </row>
    <row r="94" ht="15.75" customHeight="1"/>
    <row r="95" ht="15.75" customHeight="1"/>
    <row r="96" ht="15.75" customHeight="1">
      <c r="O96" s="4">
        <f>SUM(O2:O93)</f>
        <v>142</v>
      </c>
      <c r="P96" s="4">
        <f>SUMIF(P2:P93,"&gt;0")/10</f>
        <v>148.667</v>
      </c>
    </row>
    <row r="97" ht="15.75" customHeight="1"/>
    <row r="98" ht="15.75" customHeight="1">
      <c r="I98" s="4">
        <f>SUM(I2:I87)</f>
        <v>65.03724</v>
      </c>
      <c r="M98" s="4" t="s">
        <v>21</v>
      </c>
      <c r="O98" s="4" t="s">
        <v>15</v>
      </c>
      <c r="P98" s="4">
        <f>O96/P96</f>
        <v>0.9551548091</v>
      </c>
    </row>
    <row r="99" ht="15.75" customHeight="1">
      <c r="I99" s="4">
        <f>SUM(I2:I31)</f>
        <v>30.21928</v>
      </c>
      <c r="O99" s="4" t="s">
        <v>16</v>
      </c>
      <c r="P99" s="4">
        <f>SUM(O2:O31)/(SUM(P2:P31)/10)</f>
        <v>0.8856254602</v>
      </c>
    </row>
    <row r="100" ht="15.75" customHeight="1">
      <c r="I100" s="4">
        <f>SUM(I32:I62)</f>
        <v>12.21939</v>
      </c>
      <c r="O100" s="4" t="s">
        <v>17</v>
      </c>
      <c r="P100" s="4">
        <f>SUM(O33:O62)/(SUM(P33:P62)/10)</f>
        <v>0.9765736325</v>
      </c>
    </row>
    <row r="101" ht="15.75" customHeight="1">
      <c r="I101" s="4">
        <f>SUM(I63:I93)</f>
        <v>22.59857</v>
      </c>
      <c r="O101" s="4" t="s">
        <v>18</v>
      </c>
      <c r="P101" s="4">
        <f>SUM(O63:O93)/(SUM(P63:P93)/10)</f>
        <v>1.038464916</v>
      </c>
    </row>
    <row r="102" ht="15.75" customHeight="1">
      <c r="I102" s="4">
        <f>SUMIF(I2:I87,"&gt;0")</f>
        <v>65.03724</v>
      </c>
    </row>
    <row r="103" ht="15.75" customHeight="1">
      <c r="I103" s="4">
        <f>SUMIF(I2:I31,"&gt;0")</f>
        <v>30.21928</v>
      </c>
    </row>
    <row r="104" ht="15.75" customHeight="1">
      <c r="I104" s="4">
        <f>SUMIF(I32:I62,"&gt;0")</f>
        <v>12.21939</v>
      </c>
      <c r="P104" s="4">
        <f>SUM(O16:O35)/(SUM(P16:P35)/10)</f>
        <v>0.7811752702</v>
      </c>
    </row>
    <row r="105" ht="15.75" customHeight="1">
      <c r="I105" s="4">
        <f>SUMIF(I63:I87,"&gt;0")</f>
        <v>22.59857</v>
      </c>
      <c r="P105" s="4">
        <f>SUM(O36:O55)/(SUM(P36:P55)/10)</f>
        <v>0.8957444982</v>
      </c>
    </row>
    <row r="106" ht="15.75" customHeight="1">
      <c r="P106" s="4">
        <f>SUM(O56:O77)/(SUM(P56:P77)/10)</f>
        <v>1.006786072</v>
      </c>
    </row>
    <row r="107" ht="15.75" customHeight="1">
      <c r="P107" s="4">
        <f>SUM(O16:O77)/(SUM(P16:P77)/10)</f>
        <v>0.8996499188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2010.0</v>
      </c>
      <c r="B2" s="4">
        <v>152.0</v>
      </c>
      <c r="C2" s="4">
        <v>16.61</v>
      </c>
      <c r="D2" s="4">
        <v>26.95</v>
      </c>
      <c r="E2" s="4">
        <f t="shared" ref="E2:E89" si="1">IF(J2&gt;0,1,0)</f>
        <v>1</v>
      </c>
      <c r="F2" s="4">
        <f t="shared" ref="F2:F87" si="2">IF(H2&gt;G2,1,0)</f>
        <v>1</v>
      </c>
      <c r="G2" s="4">
        <f t="shared" ref="G2:G87" si="3"> 0.75 * D2 + 0.41 * D3 + 0.41 * D4 + 0.27 * D5 + 0.74 *D6 + 0.3 *C2 - 0.07 * C3 - 0.16 * C4 + 0.06 * C5 + 0.01 * C6 + 2.88 * E2 + 1.98 * E3 + 1.98 * E4 + 1.79 * E5 + 0.53 * E6-32.47</f>
        <v>48.9272</v>
      </c>
      <c r="H2" s="4">
        <f t="shared" ref="H2:H87" si="4">0.63 * D2 + 0.37 * D3 + 0.49 * D4 + 0.22 * D5 + 0.65 * D6 + 0.24 *C2 - 0.06 * C3- 0.15 * C4 - 0.135 * C5 + 0.15 * C6 + 4.88 * E2 + 3.55 * E3 + 3.34 *E4 + 2.5 * E5 + 2.29 *E6-31.34</f>
        <v>49.8902</v>
      </c>
      <c r="I2" s="4">
        <f t="shared" ref="I2:I87" si="5">IF((H2-G2)&gt;0,H2-G2," ")</f>
        <v>0.963</v>
      </c>
      <c r="J2" s="4">
        <v>4.2</v>
      </c>
      <c r="K2" s="4">
        <v>20.99</v>
      </c>
      <c r="L2" s="4">
        <f t="shared" ref="L2:L92" si="6">IF(E2&gt;0,8,3)</f>
        <v>8</v>
      </c>
      <c r="M2" s="4">
        <f t="shared" ref="M2:M87" si="7">IF(N2&gt;=0,1,0)</f>
        <v>1</v>
      </c>
      <c r="N2" s="4">
        <v>2.950673</v>
      </c>
      <c r="O2" s="4">
        <f t="shared" ref="O2:O93" si="8">IF(K2&gt;10,J2,0)</f>
        <v>4.2</v>
      </c>
      <c r="P2" s="4">
        <f t="shared" ref="P2:P93" si="9">IF(K2&gt;10,K2,0)</f>
        <v>20.99</v>
      </c>
    </row>
    <row r="3">
      <c r="A3" s="4">
        <v>2010.0</v>
      </c>
      <c r="B3" s="4">
        <v>153.0</v>
      </c>
      <c r="C3" s="4">
        <v>19.0</v>
      </c>
      <c r="D3" s="4">
        <v>30.56</v>
      </c>
      <c r="E3" s="4">
        <f t="shared" si="1"/>
        <v>1</v>
      </c>
      <c r="F3" s="4">
        <f t="shared" si="2"/>
        <v>0</v>
      </c>
      <c r="G3" s="4">
        <f t="shared" si="3"/>
        <v>51.0003</v>
      </c>
      <c r="H3" s="4">
        <f t="shared" si="4"/>
        <v>50.1784</v>
      </c>
      <c r="I3" s="4" t="str">
        <f t="shared" si="5"/>
        <v> </v>
      </c>
      <c r="J3" s="4">
        <v>1.3</v>
      </c>
      <c r="K3" s="4">
        <v>23.5</v>
      </c>
      <c r="L3" s="4">
        <f t="shared" si="6"/>
        <v>8</v>
      </c>
      <c r="M3" s="4">
        <f t="shared" si="7"/>
        <v>1</v>
      </c>
      <c r="N3" s="4">
        <v>0.5025369999999996</v>
      </c>
      <c r="O3" s="4">
        <f t="shared" si="8"/>
        <v>1.3</v>
      </c>
      <c r="P3" s="4">
        <f t="shared" si="9"/>
        <v>23.5</v>
      </c>
    </row>
    <row r="4">
      <c r="A4" s="4">
        <v>2010.0</v>
      </c>
      <c r="B4" s="4">
        <v>154.0</v>
      </c>
      <c r="C4" s="4">
        <v>19.27</v>
      </c>
      <c r="D4" s="4">
        <v>32.85</v>
      </c>
      <c r="E4" s="4">
        <f t="shared" si="1"/>
        <v>1</v>
      </c>
      <c r="F4" s="4">
        <f t="shared" si="2"/>
        <v>0</v>
      </c>
      <c r="G4" s="4">
        <f t="shared" si="3"/>
        <v>49.9544</v>
      </c>
      <c r="H4" s="4">
        <f t="shared" si="4"/>
        <v>49.9523</v>
      </c>
      <c r="I4" s="4" t="str">
        <f t="shared" si="5"/>
        <v> </v>
      </c>
      <c r="J4" s="4">
        <v>0.1</v>
      </c>
      <c r="K4" s="4">
        <v>25.48</v>
      </c>
      <c r="L4" s="4">
        <f t="shared" si="6"/>
        <v>8</v>
      </c>
      <c r="M4" s="4">
        <f t="shared" si="7"/>
        <v>0</v>
      </c>
      <c r="N4" s="4">
        <v>-2.140271000000001</v>
      </c>
      <c r="O4" s="4">
        <f t="shared" si="8"/>
        <v>0.1</v>
      </c>
      <c r="P4" s="4">
        <f t="shared" si="9"/>
        <v>25.48</v>
      </c>
    </row>
    <row r="5">
      <c r="A5" s="4">
        <v>2010.0</v>
      </c>
      <c r="B5" s="4">
        <v>155.0</v>
      </c>
      <c r="C5" s="4">
        <v>18.56</v>
      </c>
      <c r="D5" s="4">
        <v>31.56</v>
      </c>
      <c r="E5" s="4">
        <f t="shared" si="1"/>
        <v>1</v>
      </c>
      <c r="F5" s="4">
        <f t="shared" si="2"/>
        <v>0</v>
      </c>
      <c r="G5" s="4">
        <f t="shared" si="3"/>
        <v>48.865</v>
      </c>
      <c r="H5" s="4">
        <f t="shared" si="4"/>
        <v>47.7565</v>
      </c>
      <c r="I5" s="4" t="str">
        <f t="shared" si="5"/>
        <v> </v>
      </c>
      <c r="J5" s="4">
        <v>14.3</v>
      </c>
      <c r="K5" s="4">
        <v>22.79</v>
      </c>
      <c r="L5" s="4">
        <f t="shared" si="6"/>
        <v>8</v>
      </c>
      <c r="M5" s="4">
        <f t="shared" si="7"/>
        <v>1</v>
      </c>
      <c r="N5" s="4">
        <v>1.4515699999999983</v>
      </c>
      <c r="O5" s="4">
        <f t="shared" si="8"/>
        <v>14.3</v>
      </c>
      <c r="P5" s="4">
        <f t="shared" si="9"/>
        <v>22.79</v>
      </c>
    </row>
    <row r="6">
      <c r="A6" s="4">
        <v>2010.0</v>
      </c>
      <c r="B6" s="4">
        <v>156.0</v>
      </c>
      <c r="C6" s="4">
        <v>14.14</v>
      </c>
      <c r="D6" s="4">
        <v>21.19</v>
      </c>
      <c r="E6" s="4">
        <f t="shared" si="1"/>
        <v>1</v>
      </c>
      <c r="F6" s="4">
        <f t="shared" si="2"/>
        <v>1</v>
      </c>
      <c r="G6" s="4">
        <f t="shared" si="3"/>
        <v>38.171</v>
      </c>
      <c r="H6" s="4">
        <f t="shared" si="4"/>
        <v>39.00445</v>
      </c>
      <c r="I6" s="4">
        <f t="shared" si="5"/>
        <v>0.83345</v>
      </c>
      <c r="J6" s="4">
        <v>6.5</v>
      </c>
      <c r="K6" s="4">
        <v>18.2</v>
      </c>
      <c r="L6" s="4">
        <f t="shared" si="6"/>
        <v>8</v>
      </c>
      <c r="M6" s="4">
        <f t="shared" si="7"/>
        <v>1</v>
      </c>
      <c r="N6" s="4">
        <v>5.0221420000000006</v>
      </c>
      <c r="O6" s="4">
        <f t="shared" si="8"/>
        <v>6.5</v>
      </c>
      <c r="P6" s="4">
        <f t="shared" si="9"/>
        <v>18.2</v>
      </c>
    </row>
    <row r="7">
      <c r="A7" s="4">
        <v>2010.0</v>
      </c>
      <c r="B7" s="4">
        <v>157.0</v>
      </c>
      <c r="C7" s="4">
        <v>11.18</v>
      </c>
      <c r="D7" s="4">
        <v>23.58</v>
      </c>
      <c r="E7" s="4">
        <f t="shared" si="1"/>
        <v>0</v>
      </c>
      <c r="F7" s="4">
        <f t="shared" si="2"/>
        <v>0</v>
      </c>
      <c r="G7" s="4">
        <f t="shared" si="3"/>
        <v>38.8003</v>
      </c>
      <c r="H7" s="4">
        <f t="shared" si="4"/>
        <v>38.40675</v>
      </c>
      <c r="I7" s="4" t="str">
        <f t="shared" si="5"/>
        <v> </v>
      </c>
      <c r="J7" s="4">
        <v>0.0</v>
      </c>
      <c r="K7" s="4">
        <v>18.07</v>
      </c>
      <c r="L7" s="4">
        <f t="shared" si="6"/>
        <v>3</v>
      </c>
      <c r="M7" s="4">
        <f t="shared" si="7"/>
        <v>1</v>
      </c>
      <c r="N7" s="4">
        <v>10.496180000000003</v>
      </c>
      <c r="O7" s="4">
        <f t="shared" si="8"/>
        <v>0</v>
      </c>
      <c r="P7" s="4">
        <f t="shared" si="9"/>
        <v>18.07</v>
      </c>
    </row>
    <row r="8">
      <c r="A8" s="4">
        <v>2010.0</v>
      </c>
      <c r="B8" s="4">
        <v>158.0</v>
      </c>
      <c r="C8" s="4">
        <v>15.94</v>
      </c>
      <c r="D8" s="4">
        <v>26.18</v>
      </c>
      <c r="E8" s="4">
        <f t="shared" si="1"/>
        <v>1</v>
      </c>
      <c r="F8" s="4">
        <f t="shared" si="2"/>
        <v>1</v>
      </c>
      <c r="G8" s="4">
        <f t="shared" si="3"/>
        <v>42.6248</v>
      </c>
      <c r="H8" s="4">
        <f t="shared" si="4"/>
        <v>44.52205</v>
      </c>
      <c r="I8" s="4">
        <f t="shared" si="5"/>
        <v>1.89725</v>
      </c>
      <c r="J8" s="4">
        <v>1.4</v>
      </c>
      <c r="K8" s="4">
        <v>20.17</v>
      </c>
      <c r="L8" s="4">
        <f t="shared" si="6"/>
        <v>8</v>
      </c>
      <c r="M8" s="4">
        <f t="shared" si="7"/>
        <v>1</v>
      </c>
      <c r="N8" s="4">
        <v>10.084209999999999</v>
      </c>
      <c r="O8" s="4">
        <f t="shared" si="8"/>
        <v>1.4</v>
      </c>
      <c r="P8" s="4">
        <f t="shared" si="9"/>
        <v>20.17</v>
      </c>
    </row>
    <row r="9">
      <c r="A9" s="4">
        <v>2010.0</v>
      </c>
      <c r="B9" s="4">
        <v>159.0</v>
      </c>
      <c r="C9" s="4">
        <v>16.57</v>
      </c>
      <c r="D9" s="4">
        <v>28.58</v>
      </c>
      <c r="E9" s="4">
        <f t="shared" si="1"/>
        <v>1</v>
      </c>
      <c r="F9" s="4">
        <f t="shared" si="2"/>
        <v>1</v>
      </c>
      <c r="G9" s="4">
        <f t="shared" si="3"/>
        <v>51.7622</v>
      </c>
      <c r="H9" s="4">
        <f t="shared" si="4"/>
        <v>52.54575</v>
      </c>
      <c r="I9" s="4">
        <f t="shared" si="5"/>
        <v>0.78355</v>
      </c>
      <c r="J9" s="4">
        <v>5.9</v>
      </c>
      <c r="K9" s="4">
        <v>22.46</v>
      </c>
      <c r="L9" s="4">
        <f t="shared" si="6"/>
        <v>8</v>
      </c>
      <c r="M9" s="4">
        <f t="shared" si="7"/>
        <v>1</v>
      </c>
      <c r="N9" s="4">
        <v>10.10079</v>
      </c>
      <c r="O9" s="4">
        <f t="shared" si="8"/>
        <v>5.9</v>
      </c>
      <c r="P9" s="4">
        <f t="shared" si="9"/>
        <v>22.46</v>
      </c>
    </row>
    <row r="10">
      <c r="A10" s="4">
        <v>2010.0</v>
      </c>
      <c r="B10" s="4">
        <v>160.0</v>
      </c>
      <c r="C10" s="4">
        <v>18.67</v>
      </c>
      <c r="D10" s="4">
        <v>23.46</v>
      </c>
      <c r="E10" s="4">
        <f t="shared" si="1"/>
        <v>1</v>
      </c>
      <c r="F10" s="4">
        <f t="shared" si="2"/>
        <v>0</v>
      </c>
      <c r="G10" s="4">
        <f t="shared" si="3"/>
        <v>50.8602</v>
      </c>
      <c r="H10" s="4">
        <f t="shared" si="4"/>
        <v>50.6777</v>
      </c>
      <c r="I10" s="4" t="str">
        <f t="shared" si="5"/>
        <v> </v>
      </c>
      <c r="J10" s="4">
        <v>0.3</v>
      </c>
      <c r="K10" s="4">
        <v>20.66</v>
      </c>
      <c r="L10" s="4">
        <f t="shared" si="6"/>
        <v>8</v>
      </c>
      <c r="M10" s="4">
        <f t="shared" si="7"/>
        <v>1</v>
      </c>
      <c r="N10" s="4">
        <v>8.325400000000002</v>
      </c>
      <c r="O10" s="4">
        <f t="shared" si="8"/>
        <v>0.3</v>
      </c>
      <c r="P10" s="4">
        <f t="shared" si="9"/>
        <v>20.66</v>
      </c>
    </row>
    <row r="11">
      <c r="A11" s="4">
        <v>2010.0</v>
      </c>
      <c r="B11" s="4">
        <v>161.0</v>
      </c>
      <c r="C11" s="4">
        <v>14.11</v>
      </c>
      <c r="D11" s="4">
        <v>23.88</v>
      </c>
      <c r="E11" s="4">
        <f t="shared" si="1"/>
        <v>1</v>
      </c>
      <c r="F11" s="4">
        <f t="shared" si="2"/>
        <v>1</v>
      </c>
      <c r="G11" s="4">
        <f t="shared" si="3"/>
        <v>45.6874</v>
      </c>
      <c r="H11" s="4">
        <f t="shared" si="4"/>
        <v>47.3091</v>
      </c>
      <c r="I11" s="4">
        <f t="shared" si="5"/>
        <v>1.6217</v>
      </c>
      <c r="J11" s="4">
        <v>2.4</v>
      </c>
      <c r="K11" s="4">
        <v>19.28</v>
      </c>
      <c r="L11" s="4">
        <f t="shared" si="6"/>
        <v>8</v>
      </c>
      <c r="M11" s="4">
        <f t="shared" si="7"/>
        <v>1</v>
      </c>
      <c r="N11" s="4">
        <v>12.03988</v>
      </c>
      <c r="O11" s="4">
        <f t="shared" si="8"/>
        <v>2.4</v>
      </c>
      <c r="P11" s="4">
        <f t="shared" si="9"/>
        <v>19.28</v>
      </c>
    </row>
    <row r="12">
      <c r="A12" s="4">
        <v>2010.0</v>
      </c>
      <c r="B12" s="4">
        <v>162.0</v>
      </c>
      <c r="C12" s="4">
        <v>16.97</v>
      </c>
      <c r="D12" s="4">
        <v>22.79</v>
      </c>
      <c r="E12" s="4">
        <f t="shared" si="1"/>
        <v>1</v>
      </c>
      <c r="F12" s="4">
        <f t="shared" si="2"/>
        <v>1</v>
      </c>
      <c r="G12" s="4">
        <f t="shared" si="3"/>
        <v>44.7581</v>
      </c>
      <c r="H12" s="4">
        <f t="shared" si="4"/>
        <v>46.9309</v>
      </c>
      <c r="I12" s="4">
        <f t="shared" si="5"/>
        <v>2.1728</v>
      </c>
      <c r="J12" s="4">
        <v>2.2</v>
      </c>
      <c r="K12" s="4">
        <v>19.57</v>
      </c>
      <c r="L12" s="4">
        <f t="shared" si="6"/>
        <v>8</v>
      </c>
      <c r="M12" s="4">
        <f t="shared" si="7"/>
        <v>1</v>
      </c>
      <c r="N12" s="4">
        <v>8.843430000000001</v>
      </c>
      <c r="O12" s="4">
        <f t="shared" si="8"/>
        <v>2.2</v>
      </c>
      <c r="P12" s="4">
        <f t="shared" si="9"/>
        <v>19.57</v>
      </c>
    </row>
    <row r="13">
      <c r="A13" s="4">
        <v>2010.0</v>
      </c>
      <c r="B13" s="4">
        <v>163.0</v>
      </c>
      <c r="C13" s="4">
        <v>20.86</v>
      </c>
      <c r="D13" s="4">
        <v>34.38</v>
      </c>
      <c r="E13" s="4">
        <f t="shared" si="1"/>
        <v>1</v>
      </c>
      <c r="F13" s="4">
        <f t="shared" si="2"/>
        <v>1</v>
      </c>
      <c r="G13" s="4">
        <f t="shared" si="3"/>
        <v>51.3975</v>
      </c>
      <c r="H13" s="4">
        <f t="shared" si="4"/>
        <v>51.94645</v>
      </c>
      <c r="I13" s="4">
        <f t="shared" si="5"/>
        <v>0.54895</v>
      </c>
      <c r="J13" s="4">
        <v>0.1</v>
      </c>
      <c r="K13" s="4">
        <v>27.83</v>
      </c>
      <c r="L13" s="4">
        <f t="shared" si="6"/>
        <v>8</v>
      </c>
      <c r="M13" s="4">
        <f t="shared" si="7"/>
        <v>1</v>
      </c>
      <c r="N13" s="4">
        <v>9.936780000000002</v>
      </c>
      <c r="O13" s="4">
        <f t="shared" si="8"/>
        <v>0.1</v>
      </c>
      <c r="P13" s="4">
        <f t="shared" si="9"/>
        <v>27.83</v>
      </c>
    </row>
    <row r="14">
      <c r="A14" s="4">
        <v>2010.0</v>
      </c>
      <c r="B14" s="4">
        <v>164.0</v>
      </c>
      <c r="C14" s="4">
        <v>20.34</v>
      </c>
      <c r="D14" s="4">
        <v>33.52</v>
      </c>
      <c r="E14" s="4">
        <f t="shared" si="1"/>
        <v>1</v>
      </c>
      <c r="F14" s="4">
        <f t="shared" si="2"/>
        <v>0</v>
      </c>
      <c r="G14" s="4">
        <f t="shared" si="3"/>
        <v>44.7935</v>
      </c>
      <c r="H14" s="4">
        <f t="shared" si="4"/>
        <v>44.72485</v>
      </c>
      <c r="I14" s="4" t="str">
        <f t="shared" si="5"/>
        <v> </v>
      </c>
      <c r="J14" s="4">
        <v>1.4</v>
      </c>
      <c r="K14" s="4">
        <v>25.98</v>
      </c>
      <c r="L14" s="4">
        <f t="shared" si="6"/>
        <v>8</v>
      </c>
      <c r="M14" s="4">
        <f t="shared" si="7"/>
        <v>1</v>
      </c>
      <c r="N14" s="4">
        <v>8.982140000000001</v>
      </c>
      <c r="O14" s="4">
        <f t="shared" si="8"/>
        <v>1.4</v>
      </c>
      <c r="P14" s="4">
        <f t="shared" si="9"/>
        <v>25.98</v>
      </c>
    </row>
    <row r="15">
      <c r="A15" s="4">
        <v>2010.0</v>
      </c>
      <c r="B15" s="4">
        <v>165.0</v>
      </c>
      <c r="C15" s="4">
        <v>16.84</v>
      </c>
      <c r="D15" s="4">
        <v>23.65</v>
      </c>
      <c r="E15" s="4">
        <f t="shared" si="1"/>
        <v>1</v>
      </c>
      <c r="F15" s="4">
        <f t="shared" si="2"/>
        <v>1</v>
      </c>
      <c r="G15" s="4">
        <f t="shared" si="3"/>
        <v>37.313</v>
      </c>
      <c r="H15" s="4">
        <f t="shared" si="4"/>
        <v>39.22495</v>
      </c>
      <c r="I15" s="4">
        <f t="shared" si="5"/>
        <v>1.91195</v>
      </c>
      <c r="J15" s="4">
        <v>0.1</v>
      </c>
      <c r="K15" s="4">
        <v>19.79</v>
      </c>
      <c r="L15" s="4">
        <f t="shared" si="6"/>
        <v>8</v>
      </c>
      <c r="M15" s="4">
        <f t="shared" si="7"/>
        <v>1</v>
      </c>
      <c r="N15" s="4">
        <v>3.124349999999999</v>
      </c>
      <c r="O15" s="4">
        <f t="shared" si="8"/>
        <v>0.1</v>
      </c>
      <c r="P15" s="4">
        <f t="shared" si="9"/>
        <v>19.79</v>
      </c>
    </row>
    <row r="16">
      <c r="A16" s="4">
        <v>2010.0</v>
      </c>
      <c r="B16" s="4">
        <v>166.0</v>
      </c>
      <c r="C16" s="4">
        <v>14.25</v>
      </c>
      <c r="D16" s="4">
        <v>20.57</v>
      </c>
      <c r="E16" s="4">
        <f t="shared" si="1"/>
        <v>1</v>
      </c>
      <c r="F16" s="4">
        <f t="shared" si="2"/>
        <v>1</v>
      </c>
      <c r="G16" s="4">
        <f t="shared" si="3"/>
        <v>37.6612</v>
      </c>
      <c r="H16" s="4">
        <f t="shared" si="4"/>
        <v>37.95445</v>
      </c>
      <c r="I16" s="4">
        <f t="shared" si="5"/>
        <v>0.29325</v>
      </c>
      <c r="J16" s="4">
        <v>5.7</v>
      </c>
      <c r="K16" s="4">
        <v>18.23</v>
      </c>
      <c r="L16" s="4">
        <f t="shared" si="6"/>
        <v>8</v>
      </c>
      <c r="M16" s="4">
        <f t="shared" si="7"/>
        <v>0</v>
      </c>
      <c r="N16" s="4">
        <v>-3.423709999999999</v>
      </c>
      <c r="O16" s="4">
        <f t="shared" si="8"/>
        <v>5.7</v>
      </c>
      <c r="P16" s="4">
        <f t="shared" si="9"/>
        <v>18.23</v>
      </c>
    </row>
    <row r="17">
      <c r="A17" s="4">
        <v>2010.0</v>
      </c>
      <c r="B17" s="4">
        <v>167.0</v>
      </c>
      <c r="C17" s="4">
        <v>16.57</v>
      </c>
      <c r="D17" s="4">
        <v>22.66</v>
      </c>
      <c r="E17" s="4">
        <f t="shared" si="1"/>
        <v>1</v>
      </c>
      <c r="F17" s="4">
        <f t="shared" si="2"/>
        <v>0</v>
      </c>
      <c r="G17" s="4">
        <f t="shared" si="3"/>
        <v>41.7454</v>
      </c>
      <c r="H17" s="4">
        <f t="shared" si="4"/>
        <v>41.27515</v>
      </c>
      <c r="I17" s="4" t="str">
        <f t="shared" si="5"/>
        <v> </v>
      </c>
      <c r="J17" s="4">
        <v>9.6</v>
      </c>
      <c r="K17" s="4">
        <v>18.81</v>
      </c>
      <c r="L17" s="4">
        <f t="shared" si="6"/>
        <v>8</v>
      </c>
      <c r="M17" s="4">
        <f t="shared" si="7"/>
        <v>0</v>
      </c>
      <c r="N17" s="4">
        <v>-8.339269999999999</v>
      </c>
      <c r="O17" s="4">
        <f t="shared" si="8"/>
        <v>9.6</v>
      </c>
      <c r="P17" s="4">
        <f t="shared" si="9"/>
        <v>18.81</v>
      </c>
    </row>
    <row r="18">
      <c r="A18" s="4">
        <v>2010.0</v>
      </c>
      <c r="B18" s="4">
        <v>168.0</v>
      </c>
      <c r="C18" s="4">
        <v>12.97</v>
      </c>
      <c r="D18" s="4">
        <v>20.2</v>
      </c>
      <c r="E18" s="4">
        <f t="shared" si="1"/>
        <v>1</v>
      </c>
      <c r="F18" s="4">
        <f t="shared" si="2"/>
        <v>0</v>
      </c>
      <c r="G18" s="4">
        <f t="shared" si="3"/>
        <v>42.7709</v>
      </c>
      <c r="H18" s="4">
        <f t="shared" si="4"/>
        <v>40.6113</v>
      </c>
      <c r="I18" s="4" t="str">
        <f t="shared" si="5"/>
        <v> </v>
      </c>
      <c r="J18" s="4">
        <v>0.6</v>
      </c>
      <c r="K18" s="4">
        <v>16.32</v>
      </c>
      <c r="L18" s="4">
        <f t="shared" si="6"/>
        <v>8</v>
      </c>
      <c r="M18" s="4">
        <f t="shared" si="7"/>
        <v>0</v>
      </c>
      <c r="N18" s="4">
        <v>-10.436359999999999</v>
      </c>
      <c r="O18" s="4">
        <f t="shared" si="8"/>
        <v>0.6</v>
      </c>
      <c r="P18" s="4">
        <f t="shared" si="9"/>
        <v>16.32</v>
      </c>
    </row>
    <row r="19">
      <c r="A19" s="4">
        <v>2010.0</v>
      </c>
      <c r="B19" s="4">
        <v>169.0</v>
      </c>
      <c r="C19" s="4">
        <v>11.35</v>
      </c>
      <c r="D19" s="4">
        <v>23.53</v>
      </c>
      <c r="E19" s="4">
        <f t="shared" si="1"/>
        <v>1</v>
      </c>
      <c r="F19" s="4">
        <f t="shared" si="2"/>
        <v>0</v>
      </c>
      <c r="G19" s="4">
        <f t="shared" si="3"/>
        <v>46.508</v>
      </c>
      <c r="H19" s="4">
        <f t="shared" si="4"/>
        <v>42.46335</v>
      </c>
      <c r="I19" s="4" t="str">
        <f t="shared" si="5"/>
        <v> </v>
      </c>
      <c r="J19" s="4">
        <v>0.1</v>
      </c>
      <c r="K19" s="4">
        <v>17.87</v>
      </c>
      <c r="L19" s="4">
        <f t="shared" si="6"/>
        <v>8</v>
      </c>
      <c r="M19" s="4">
        <f t="shared" si="7"/>
        <v>0</v>
      </c>
      <c r="N19" s="4">
        <v>-7.276720000000001</v>
      </c>
      <c r="O19" s="4">
        <f t="shared" si="8"/>
        <v>0.1</v>
      </c>
      <c r="P19" s="4">
        <f t="shared" si="9"/>
        <v>17.87</v>
      </c>
    </row>
    <row r="20">
      <c r="A20" s="4">
        <v>2010.0</v>
      </c>
      <c r="B20" s="4">
        <v>170.0</v>
      </c>
      <c r="C20" s="4">
        <v>12.15</v>
      </c>
      <c r="D20" s="4">
        <v>27.44</v>
      </c>
      <c r="E20" s="4">
        <f t="shared" si="1"/>
        <v>0</v>
      </c>
      <c r="F20" s="4">
        <f t="shared" si="2"/>
        <v>0</v>
      </c>
      <c r="G20" s="4">
        <f t="shared" si="3"/>
        <v>49.8325</v>
      </c>
      <c r="H20" s="4">
        <f t="shared" si="4"/>
        <v>42.66735</v>
      </c>
      <c r="I20" s="4" t="str">
        <f t="shared" si="5"/>
        <v> </v>
      </c>
      <c r="J20" s="4">
        <v>0.0</v>
      </c>
      <c r="K20" s="4">
        <v>20.9</v>
      </c>
      <c r="L20" s="4">
        <f t="shared" si="6"/>
        <v>3</v>
      </c>
      <c r="M20" s="4">
        <f t="shared" si="7"/>
        <v>0</v>
      </c>
      <c r="N20" s="4">
        <v>-10.342890000000002</v>
      </c>
      <c r="O20" s="4">
        <f t="shared" si="8"/>
        <v>0</v>
      </c>
      <c r="P20" s="4">
        <f t="shared" si="9"/>
        <v>20.9</v>
      </c>
    </row>
    <row r="21" ht="15.75" customHeight="1">
      <c r="A21" s="4">
        <v>2010.0</v>
      </c>
      <c r="B21" s="4">
        <v>171.0</v>
      </c>
      <c r="C21" s="4">
        <v>16.22</v>
      </c>
      <c r="D21" s="4">
        <v>29.6</v>
      </c>
      <c r="E21" s="4">
        <f t="shared" si="1"/>
        <v>0</v>
      </c>
      <c r="F21" s="4">
        <f t="shared" si="2"/>
        <v>0</v>
      </c>
      <c r="G21" s="4">
        <f t="shared" si="3"/>
        <v>54.9205</v>
      </c>
      <c r="H21" s="4">
        <f t="shared" si="4"/>
        <v>47.13665</v>
      </c>
      <c r="I21" s="4" t="str">
        <f t="shared" si="5"/>
        <v> </v>
      </c>
      <c r="J21" s="4">
        <v>0.0</v>
      </c>
      <c r="K21" s="4">
        <v>23.73</v>
      </c>
      <c r="L21" s="4">
        <f t="shared" si="6"/>
        <v>3</v>
      </c>
      <c r="M21" s="4">
        <f t="shared" si="7"/>
        <v>0</v>
      </c>
      <c r="N21" s="4">
        <v>-10.28384</v>
      </c>
      <c r="O21" s="4">
        <f t="shared" si="8"/>
        <v>0</v>
      </c>
      <c r="P21" s="4">
        <f t="shared" si="9"/>
        <v>23.73</v>
      </c>
    </row>
    <row r="22" ht="15.75" customHeight="1">
      <c r="A22" s="4">
        <v>2010.0</v>
      </c>
      <c r="B22" s="4">
        <v>172.0</v>
      </c>
      <c r="C22" s="4">
        <v>17.29</v>
      </c>
      <c r="D22" s="4">
        <v>32.49</v>
      </c>
      <c r="E22" s="4">
        <f t="shared" si="1"/>
        <v>0</v>
      </c>
      <c r="F22" s="4">
        <f t="shared" si="2"/>
        <v>0</v>
      </c>
      <c r="G22" s="4">
        <f t="shared" si="3"/>
        <v>59.6257</v>
      </c>
      <c r="H22" s="4">
        <f t="shared" si="4"/>
        <v>51.1201</v>
      </c>
      <c r="I22" s="4" t="str">
        <f t="shared" si="5"/>
        <v> </v>
      </c>
      <c r="J22" s="4">
        <v>0.0</v>
      </c>
      <c r="K22" s="4">
        <v>25.89</v>
      </c>
      <c r="L22" s="4">
        <f t="shared" si="6"/>
        <v>3</v>
      </c>
      <c r="M22" s="4">
        <f t="shared" si="7"/>
        <v>0</v>
      </c>
      <c r="N22" s="4">
        <v>-9.78983</v>
      </c>
      <c r="O22" s="4">
        <f t="shared" si="8"/>
        <v>0</v>
      </c>
      <c r="P22" s="4">
        <f t="shared" si="9"/>
        <v>25.89</v>
      </c>
    </row>
    <row r="23" ht="15.75" customHeight="1">
      <c r="A23" s="4">
        <v>2010.0</v>
      </c>
      <c r="B23" s="4">
        <v>173.0</v>
      </c>
      <c r="C23" s="4">
        <v>20.17</v>
      </c>
      <c r="D23" s="4">
        <v>33.91</v>
      </c>
      <c r="E23" s="4">
        <f t="shared" si="1"/>
        <v>0</v>
      </c>
      <c r="F23" s="4">
        <f t="shared" si="2"/>
        <v>0</v>
      </c>
      <c r="G23" s="4">
        <f t="shared" si="3"/>
        <v>63.3382</v>
      </c>
      <c r="H23" s="4">
        <f t="shared" si="4"/>
        <v>54.95045</v>
      </c>
      <c r="I23" s="4" t="str">
        <f t="shared" si="5"/>
        <v> </v>
      </c>
      <c r="J23" s="4">
        <v>0.0</v>
      </c>
      <c r="K23" s="4">
        <v>27.88</v>
      </c>
      <c r="L23" s="4">
        <f t="shared" si="6"/>
        <v>3</v>
      </c>
      <c r="M23" s="4">
        <f t="shared" si="7"/>
        <v>0</v>
      </c>
      <c r="N23" s="4">
        <v>-2.1520200000000003</v>
      </c>
      <c r="O23" s="4">
        <f t="shared" si="8"/>
        <v>0</v>
      </c>
      <c r="P23" s="4">
        <f t="shared" si="9"/>
        <v>27.88</v>
      </c>
    </row>
    <row r="24" ht="15.75" customHeight="1">
      <c r="A24" s="4">
        <v>2010.0</v>
      </c>
      <c r="B24" s="4">
        <v>174.0</v>
      </c>
      <c r="C24" s="4">
        <v>19.73</v>
      </c>
      <c r="D24" s="4">
        <v>35.08</v>
      </c>
      <c r="E24" s="4">
        <f t="shared" si="1"/>
        <v>0</v>
      </c>
      <c r="F24" s="4">
        <f t="shared" si="2"/>
        <v>0</v>
      </c>
      <c r="G24" s="4">
        <f t="shared" si="3"/>
        <v>62.5043</v>
      </c>
      <c r="H24" s="4">
        <f t="shared" si="4"/>
        <v>54.501</v>
      </c>
      <c r="I24" s="4" t="str">
        <f t="shared" si="5"/>
        <v> </v>
      </c>
      <c r="J24" s="4">
        <v>0.0</v>
      </c>
      <c r="K24" s="4">
        <v>27.86</v>
      </c>
      <c r="L24" s="4">
        <f t="shared" si="6"/>
        <v>3</v>
      </c>
      <c r="M24" s="4">
        <f t="shared" si="7"/>
        <v>0</v>
      </c>
      <c r="N24" s="4">
        <v>-5.676580000000003</v>
      </c>
      <c r="O24" s="4">
        <f t="shared" si="8"/>
        <v>0</v>
      </c>
      <c r="P24" s="4">
        <f t="shared" si="9"/>
        <v>27.86</v>
      </c>
    </row>
    <row r="25" ht="15.75" customHeight="1">
      <c r="A25" s="4">
        <v>2010.0</v>
      </c>
      <c r="B25" s="4">
        <v>175.0</v>
      </c>
      <c r="C25" s="4">
        <v>19.08</v>
      </c>
      <c r="D25" s="4">
        <v>36.07</v>
      </c>
      <c r="E25" s="4">
        <f t="shared" si="1"/>
        <v>0</v>
      </c>
      <c r="F25" s="4">
        <f t="shared" si="2"/>
        <v>0</v>
      </c>
      <c r="G25" s="4">
        <f t="shared" si="3"/>
        <v>59.9585</v>
      </c>
      <c r="H25" s="4">
        <f t="shared" si="4"/>
        <v>51.96355</v>
      </c>
      <c r="I25" s="4" t="str">
        <f t="shared" si="5"/>
        <v> </v>
      </c>
      <c r="J25" s="4">
        <v>0.0</v>
      </c>
      <c r="K25" s="4">
        <v>28.03</v>
      </c>
      <c r="L25" s="4">
        <f t="shared" si="6"/>
        <v>3</v>
      </c>
      <c r="M25" s="4">
        <f t="shared" si="7"/>
        <v>0</v>
      </c>
      <c r="N25" s="4">
        <v>-1.0309399999999982</v>
      </c>
      <c r="O25" s="4">
        <f t="shared" si="8"/>
        <v>0</v>
      </c>
      <c r="P25" s="4">
        <f t="shared" si="9"/>
        <v>28.03</v>
      </c>
    </row>
    <row r="26" ht="15.75" customHeight="1">
      <c r="A26" s="4">
        <v>2010.0</v>
      </c>
      <c r="B26" s="4">
        <v>176.0</v>
      </c>
      <c r="C26" s="4">
        <v>16.81</v>
      </c>
      <c r="D26" s="4">
        <v>37.53</v>
      </c>
      <c r="E26" s="4">
        <f t="shared" si="1"/>
        <v>0</v>
      </c>
      <c r="F26" s="4">
        <f t="shared" si="2"/>
        <v>0</v>
      </c>
      <c r="G26" s="4">
        <f t="shared" si="3"/>
        <v>58.6944</v>
      </c>
      <c r="H26" s="4">
        <f t="shared" si="4"/>
        <v>49.64405</v>
      </c>
      <c r="I26" s="4" t="str">
        <f t="shared" si="5"/>
        <v> </v>
      </c>
      <c r="J26" s="4">
        <v>0.0</v>
      </c>
      <c r="K26" s="4">
        <v>28.39</v>
      </c>
      <c r="L26" s="4">
        <f t="shared" si="6"/>
        <v>3</v>
      </c>
      <c r="M26" s="4">
        <f t="shared" si="7"/>
        <v>0</v>
      </c>
      <c r="N26" s="4">
        <v>-1.303099999999999</v>
      </c>
      <c r="O26" s="4">
        <f t="shared" si="8"/>
        <v>0</v>
      </c>
      <c r="P26" s="4">
        <f t="shared" si="9"/>
        <v>28.39</v>
      </c>
    </row>
    <row r="27" ht="15.75" customHeight="1">
      <c r="A27" s="4">
        <v>2010.0</v>
      </c>
      <c r="B27" s="4">
        <v>177.0</v>
      </c>
      <c r="C27" s="4">
        <v>17.74</v>
      </c>
      <c r="D27" s="4">
        <v>38.2</v>
      </c>
      <c r="E27" s="4">
        <f t="shared" si="1"/>
        <v>0</v>
      </c>
      <c r="F27" s="4">
        <f t="shared" si="2"/>
        <v>0</v>
      </c>
      <c r="G27" s="4">
        <f t="shared" si="3"/>
        <v>55.8185</v>
      </c>
      <c r="H27" s="4">
        <f t="shared" si="4"/>
        <v>47.94025</v>
      </c>
      <c r="I27" s="4" t="str">
        <f t="shared" si="5"/>
        <v> </v>
      </c>
      <c r="J27" s="4">
        <v>0.0</v>
      </c>
      <c r="K27" s="4">
        <v>27.98</v>
      </c>
      <c r="L27" s="4">
        <f t="shared" si="6"/>
        <v>3</v>
      </c>
      <c r="M27" s="4">
        <f t="shared" si="7"/>
        <v>1</v>
      </c>
      <c r="N27" s="4">
        <v>2.9043100000000006</v>
      </c>
      <c r="O27" s="4">
        <f t="shared" si="8"/>
        <v>0</v>
      </c>
      <c r="P27" s="4">
        <f t="shared" si="9"/>
        <v>27.98</v>
      </c>
    </row>
    <row r="28" ht="15.75" customHeight="1">
      <c r="A28" s="4">
        <v>2010.0</v>
      </c>
      <c r="B28" s="4">
        <v>178.0</v>
      </c>
      <c r="C28" s="4">
        <v>19.67</v>
      </c>
      <c r="D28" s="4">
        <v>33.81</v>
      </c>
      <c r="E28" s="4">
        <f t="shared" si="1"/>
        <v>0</v>
      </c>
      <c r="F28" s="4">
        <f t="shared" si="2"/>
        <v>0</v>
      </c>
      <c r="G28" s="4">
        <f t="shared" si="3"/>
        <v>53.2547</v>
      </c>
      <c r="H28" s="4">
        <f t="shared" si="4"/>
        <v>45.32255</v>
      </c>
      <c r="I28" s="4" t="str">
        <f t="shared" si="5"/>
        <v> </v>
      </c>
      <c r="J28" s="4">
        <v>0.0</v>
      </c>
      <c r="K28" s="4">
        <v>27.58</v>
      </c>
      <c r="L28" s="4">
        <f t="shared" si="6"/>
        <v>3</v>
      </c>
      <c r="M28" s="4">
        <f t="shared" si="7"/>
        <v>1</v>
      </c>
      <c r="N28" s="4">
        <v>8.93036</v>
      </c>
      <c r="O28" s="4">
        <f t="shared" si="8"/>
        <v>0</v>
      </c>
      <c r="P28" s="4">
        <f t="shared" si="9"/>
        <v>27.58</v>
      </c>
    </row>
    <row r="29" ht="15.75" customHeight="1">
      <c r="A29" s="4">
        <v>2010.0</v>
      </c>
      <c r="B29" s="4">
        <v>179.0</v>
      </c>
      <c r="C29" s="4">
        <v>19.03</v>
      </c>
      <c r="D29" s="4">
        <v>29.89</v>
      </c>
      <c r="E29" s="4">
        <f t="shared" si="1"/>
        <v>0</v>
      </c>
      <c r="F29" s="4">
        <f t="shared" si="2"/>
        <v>0</v>
      </c>
      <c r="G29" s="4">
        <f t="shared" si="3"/>
        <v>52.4858</v>
      </c>
      <c r="H29" s="4">
        <f t="shared" si="4"/>
        <v>45.11785</v>
      </c>
      <c r="I29" s="4" t="str">
        <f t="shared" si="5"/>
        <v> </v>
      </c>
      <c r="J29" s="4">
        <v>0.0</v>
      </c>
      <c r="K29" s="4">
        <v>24.07</v>
      </c>
      <c r="L29" s="4">
        <f t="shared" si="6"/>
        <v>3</v>
      </c>
      <c r="M29" s="4">
        <f t="shared" si="7"/>
        <v>1</v>
      </c>
      <c r="N29" s="4">
        <v>1.6218700000000006</v>
      </c>
      <c r="O29" s="4">
        <f t="shared" si="8"/>
        <v>0</v>
      </c>
      <c r="P29" s="4">
        <f t="shared" si="9"/>
        <v>24.07</v>
      </c>
    </row>
    <row r="30" ht="15.75" customHeight="1">
      <c r="A30" s="4">
        <v>2010.0</v>
      </c>
      <c r="B30" s="4">
        <v>180.0</v>
      </c>
      <c r="C30" s="4">
        <v>13.17</v>
      </c>
      <c r="D30" s="4">
        <v>31.75</v>
      </c>
      <c r="E30" s="4">
        <f t="shared" si="1"/>
        <v>0</v>
      </c>
      <c r="F30" s="4">
        <f t="shared" si="2"/>
        <v>0</v>
      </c>
      <c r="G30" s="4">
        <f t="shared" si="3"/>
        <v>52.5238</v>
      </c>
      <c r="H30" s="4">
        <f t="shared" si="4"/>
        <v>47.95835</v>
      </c>
      <c r="I30" s="4" t="str">
        <f t="shared" si="5"/>
        <v> </v>
      </c>
      <c r="J30" s="4">
        <v>0.0</v>
      </c>
      <c r="K30" s="4">
        <v>23.73</v>
      </c>
      <c r="L30" s="4">
        <f t="shared" si="6"/>
        <v>3</v>
      </c>
      <c r="M30" s="4">
        <f t="shared" si="7"/>
        <v>0</v>
      </c>
      <c r="N30" s="4">
        <v>-3.8553699999999997</v>
      </c>
      <c r="O30" s="4">
        <f t="shared" si="8"/>
        <v>0</v>
      </c>
      <c r="P30" s="4">
        <f t="shared" si="9"/>
        <v>23.73</v>
      </c>
    </row>
    <row r="31" ht="15.75" customHeight="1">
      <c r="A31" s="4">
        <v>2010.0</v>
      </c>
      <c r="B31" s="4">
        <v>181.0</v>
      </c>
      <c r="C31" s="4">
        <v>15.57</v>
      </c>
      <c r="D31" s="4">
        <v>31.22</v>
      </c>
      <c r="E31" s="4">
        <f t="shared" si="1"/>
        <v>0</v>
      </c>
      <c r="F31" s="4">
        <f t="shared" si="2"/>
        <v>0</v>
      </c>
      <c r="G31" s="4">
        <f t="shared" si="3"/>
        <v>55.8317</v>
      </c>
      <c r="H31" s="4">
        <f t="shared" si="4"/>
        <v>48.49245</v>
      </c>
      <c r="I31" s="4" t="str">
        <f t="shared" si="5"/>
        <v> </v>
      </c>
      <c r="J31" s="4">
        <v>0.0</v>
      </c>
      <c r="K31" s="4">
        <v>24.33</v>
      </c>
      <c r="L31" s="4">
        <f t="shared" si="6"/>
        <v>3</v>
      </c>
      <c r="M31" s="4">
        <f t="shared" si="7"/>
        <v>0</v>
      </c>
      <c r="N31" s="4">
        <v>-6.497210000000003</v>
      </c>
      <c r="O31" s="4">
        <f t="shared" si="8"/>
        <v>0</v>
      </c>
      <c r="P31" s="4">
        <f t="shared" si="9"/>
        <v>24.33</v>
      </c>
    </row>
    <row r="32" ht="15.75" customHeight="1">
      <c r="A32" s="4">
        <v>2010.0</v>
      </c>
      <c r="B32" s="4">
        <v>182.0</v>
      </c>
      <c r="C32" s="4">
        <v>13.71</v>
      </c>
      <c r="D32" s="4">
        <v>31.26</v>
      </c>
      <c r="E32" s="4">
        <f t="shared" si="1"/>
        <v>0</v>
      </c>
      <c r="F32" s="4">
        <f t="shared" si="2"/>
        <v>0</v>
      </c>
      <c r="G32" s="4">
        <f t="shared" si="3"/>
        <v>55.4839</v>
      </c>
      <c r="H32" s="4">
        <f t="shared" si="4"/>
        <v>48.92515</v>
      </c>
      <c r="I32" s="4" t="str">
        <f t="shared" si="5"/>
        <v> </v>
      </c>
      <c r="J32" s="4">
        <v>0.0</v>
      </c>
      <c r="K32" s="4">
        <v>23.6</v>
      </c>
      <c r="L32" s="4">
        <f t="shared" si="6"/>
        <v>3</v>
      </c>
      <c r="M32" s="4">
        <f t="shared" si="7"/>
        <v>0</v>
      </c>
      <c r="N32" s="4">
        <v>-8.519990000000002</v>
      </c>
      <c r="O32" s="4">
        <f t="shared" si="8"/>
        <v>0</v>
      </c>
      <c r="P32" s="4">
        <f t="shared" si="9"/>
        <v>23.6</v>
      </c>
    </row>
    <row r="33" ht="15.75" customHeight="1">
      <c r="A33" s="4">
        <v>2010.0</v>
      </c>
      <c r="B33" s="4">
        <v>183.0</v>
      </c>
      <c r="C33" s="4">
        <v>14.25</v>
      </c>
      <c r="D33" s="4">
        <v>33.81</v>
      </c>
      <c r="E33" s="4">
        <f t="shared" si="1"/>
        <v>0</v>
      </c>
      <c r="F33" s="4">
        <f t="shared" si="2"/>
        <v>0</v>
      </c>
      <c r="G33" s="4">
        <f t="shared" si="3"/>
        <v>56.9494</v>
      </c>
      <c r="H33" s="4">
        <f t="shared" si="4"/>
        <v>51.0681</v>
      </c>
      <c r="I33" s="4" t="str">
        <f t="shared" si="5"/>
        <v> </v>
      </c>
      <c r="J33" s="4">
        <v>0.0</v>
      </c>
      <c r="K33" s="4">
        <v>25.48</v>
      </c>
      <c r="L33" s="4">
        <f t="shared" si="6"/>
        <v>3</v>
      </c>
      <c r="M33" s="4">
        <f t="shared" si="7"/>
        <v>0</v>
      </c>
      <c r="N33" s="4">
        <v>-9.259229999999999</v>
      </c>
      <c r="O33" s="4">
        <f t="shared" si="8"/>
        <v>0</v>
      </c>
      <c r="P33" s="4">
        <f t="shared" si="9"/>
        <v>25.48</v>
      </c>
    </row>
    <row r="34" ht="15.75" customHeight="1">
      <c r="A34" s="4">
        <v>2010.0</v>
      </c>
      <c r="B34" s="4">
        <v>184.0</v>
      </c>
      <c r="C34" s="4">
        <v>21.49</v>
      </c>
      <c r="D34" s="4">
        <v>32.66</v>
      </c>
      <c r="E34" s="4">
        <f t="shared" si="1"/>
        <v>1</v>
      </c>
      <c r="F34" s="4">
        <f t="shared" si="2"/>
        <v>0</v>
      </c>
      <c r="G34" s="4">
        <f t="shared" si="3"/>
        <v>57.4353</v>
      </c>
      <c r="H34" s="4">
        <f t="shared" si="4"/>
        <v>52.2513</v>
      </c>
      <c r="I34" s="4" t="str">
        <f t="shared" si="5"/>
        <v> </v>
      </c>
      <c r="J34" s="4">
        <v>1.0</v>
      </c>
      <c r="K34" s="4">
        <v>25.65</v>
      </c>
      <c r="L34" s="4">
        <f t="shared" si="6"/>
        <v>8</v>
      </c>
      <c r="M34" s="4">
        <f t="shared" si="7"/>
        <v>0</v>
      </c>
      <c r="N34" s="4">
        <v>-9.549600000000002</v>
      </c>
      <c r="O34" s="4">
        <f t="shared" si="8"/>
        <v>1</v>
      </c>
      <c r="P34" s="4">
        <f t="shared" si="9"/>
        <v>25.65</v>
      </c>
    </row>
    <row r="35" ht="15.75" customHeight="1">
      <c r="A35" s="4">
        <v>2010.0</v>
      </c>
      <c r="B35" s="4">
        <v>185.0</v>
      </c>
      <c r="C35" s="4">
        <v>18.53</v>
      </c>
      <c r="D35" s="4">
        <v>33.37</v>
      </c>
      <c r="E35" s="4">
        <f t="shared" si="1"/>
        <v>0</v>
      </c>
      <c r="F35" s="4">
        <f t="shared" si="2"/>
        <v>0</v>
      </c>
      <c r="G35" s="4">
        <f t="shared" si="3"/>
        <v>56.3082</v>
      </c>
      <c r="H35" s="4">
        <f t="shared" si="4"/>
        <v>50.1388</v>
      </c>
      <c r="I35" s="4" t="str">
        <f t="shared" si="5"/>
        <v> </v>
      </c>
      <c r="J35" s="4">
        <v>0.0</v>
      </c>
      <c r="K35" s="4">
        <v>26.31</v>
      </c>
      <c r="L35" s="4">
        <f t="shared" si="6"/>
        <v>3</v>
      </c>
      <c r="M35" s="4">
        <f t="shared" si="7"/>
        <v>0</v>
      </c>
      <c r="N35" s="4">
        <v>-7.79791</v>
      </c>
      <c r="O35" s="4">
        <f t="shared" si="8"/>
        <v>0</v>
      </c>
      <c r="P35" s="4">
        <f t="shared" si="9"/>
        <v>26.31</v>
      </c>
    </row>
    <row r="36" ht="15.75" customHeight="1">
      <c r="A36" s="4">
        <v>2010.0</v>
      </c>
      <c r="B36" s="4">
        <v>186.0</v>
      </c>
      <c r="C36" s="4">
        <v>16.2</v>
      </c>
      <c r="D36" s="4">
        <v>34.21</v>
      </c>
      <c r="E36" s="4">
        <f t="shared" si="1"/>
        <v>0</v>
      </c>
      <c r="F36" s="4">
        <f t="shared" si="2"/>
        <v>0</v>
      </c>
      <c r="G36" s="4">
        <f t="shared" si="3"/>
        <v>58.826</v>
      </c>
      <c r="H36" s="4">
        <f t="shared" si="4"/>
        <v>50.7849</v>
      </c>
      <c r="I36" s="4" t="str">
        <f t="shared" si="5"/>
        <v> </v>
      </c>
      <c r="J36" s="4">
        <v>0.0</v>
      </c>
      <c r="K36" s="4">
        <v>26.01</v>
      </c>
      <c r="L36" s="4">
        <f t="shared" si="6"/>
        <v>3</v>
      </c>
      <c r="M36" s="4">
        <f t="shared" si="7"/>
        <v>0</v>
      </c>
      <c r="N36" s="4">
        <v>-2.7649599999999968</v>
      </c>
      <c r="O36" s="4">
        <f t="shared" si="8"/>
        <v>0</v>
      </c>
      <c r="P36" s="4">
        <f t="shared" si="9"/>
        <v>26.01</v>
      </c>
    </row>
    <row r="37" ht="15.75" customHeight="1">
      <c r="A37" s="4">
        <v>2010.0</v>
      </c>
      <c r="B37" s="4">
        <v>187.0</v>
      </c>
      <c r="C37" s="4">
        <v>17.54</v>
      </c>
      <c r="D37" s="4">
        <v>33.54</v>
      </c>
      <c r="E37" s="4">
        <f t="shared" si="1"/>
        <v>0</v>
      </c>
      <c r="F37" s="4">
        <f t="shared" si="2"/>
        <v>0</v>
      </c>
      <c r="G37" s="4">
        <f t="shared" si="3"/>
        <v>60.7488</v>
      </c>
      <c r="H37" s="4">
        <f t="shared" si="4"/>
        <v>55.74315</v>
      </c>
      <c r="I37" s="4" t="str">
        <f t="shared" si="5"/>
        <v> </v>
      </c>
      <c r="J37" s="4">
        <v>0.0</v>
      </c>
      <c r="K37" s="4">
        <v>26.03</v>
      </c>
      <c r="L37" s="4">
        <f t="shared" si="6"/>
        <v>3</v>
      </c>
      <c r="M37" s="4">
        <f t="shared" si="7"/>
        <v>0</v>
      </c>
      <c r="N37" s="4">
        <v>-5.85141</v>
      </c>
      <c r="O37" s="4">
        <f t="shared" si="8"/>
        <v>0</v>
      </c>
      <c r="P37" s="4">
        <f t="shared" si="9"/>
        <v>26.03</v>
      </c>
    </row>
    <row r="38" ht="15.75" customHeight="1">
      <c r="A38" s="4">
        <v>2010.0</v>
      </c>
      <c r="B38" s="4">
        <v>188.0</v>
      </c>
      <c r="C38" s="4">
        <v>20.8</v>
      </c>
      <c r="D38" s="4">
        <v>29.66</v>
      </c>
      <c r="E38" s="4">
        <f t="shared" si="1"/>
        <v>0</v>
      </c>
      <c r="F38" s="4">
        <f t="shared" si="2"/>
        <v>0</v>
      </c>
      <c r="G38" s="4">
        <f t="shared" si="3"/>
        <v>62.2822</v>
      </c>
      <c r="H38" s="4">
        <f t="shared" si="4"/>
        <v>56.44115</v>
      </c>
      <c r="I38" s="4" t="str">
        <f t="shared" si="5"/>
        <v> </v>
      </c>
      <c r="J38" s="4">
        <v>0.0</v>
      </c>
      <c r="K38" s="4">
        <v>25.97</v>
      </c>
      <c r="L38" s="4">
        <f t="shared" si="6"/>
        <v>3</v>
      </c>
      <c r="M38" s="4">
        <f t="shared" si="7"/>
        <v>0</v>
      </c>
      <c r="N38" s="4">
        <v>-3.7673300000000003</v>
      </c>
      <c r="O38" s="4">
        <f t="shared" si="8"/>
        <v>0</v>
      </c>
      <c r="P38" s="4">
        <f t="shared" si="9"/>
        <v>25.97</v>
      </c>
    </row>
    <row r="39" ht="15.75" customHeight="1">
      <c r="A39" s="4">
        <v>2010.0</v>
      </c>
      <c r="B39" s="4">
        <v>189.0</v>
      </c>
      <c r="C39" s="4">
        <v>20.76</v>
      </c>
      <c r="D39" s="4">
        <v>32.92</v>
      </c>
      <c r="E39" s="4">
        <f t="shared" si="1"/>
        <v>1</v>
      </c>
      <c r="F39" s="4">
        <f t="shared" si="2"/>
        <v>0</v>
      </c>
      <c r="G39" s="4">
        <f t="shared" si="3"/>
        <v>67.0299</v>
      </c>
      <c r="H39" s="4">
        <f t="shared" si="4"/>
        <v>62.07955</v>
      </c>
      <c r="I39" s="4" t="str">
        <f t="shared" si="5"/>
        <v> </v>
      </c>
      <c r="J39" s="4">
        <v>3.0</v>
      </c>
      <c r="K39" s="4">
        <v>26.4</v>
      </c>
      <c r="L39" s="4">
        <f t="shared" si="6"/>
        <v>8</v>
      </c>
      <c r="M39" s="4">
        <f t="shared" si="7"/>
        <v>0</v>
      </c>
      <c r="N39" s="4">
        <v>-7.708220000000001</v>
      </c>
      <c r="O39" s="4">
        <f t="shared" si="8"/>
        <v>3</v>
      </c>
      <c r="P39" s="4">
        <f t="shared" si="9"/>
        <v>26.4</v>
      </c>
    </row>
    <row r="40" ht="15.75" customHeight="1">
      <c r="A40" s="4">
        <v>2010.0</v>
      </c>
      <c r="B40" s="4">
        <v>190.0</v>
      </c>
      <c r="C40" s="4">
        <v>19.97</v>
      </c>
      <c r="D40" s="4">
        <v>36.89</v>
      </c>
      <c r="E40" s="4">
        <f t="shared" si="1"/>
        <v>0</v>
      </c>
      <c r="F40" s="4">
        <f t="shared" si="2"/>
        <v>0</v>
      </c>
      <c r="G40" s="4">
        <f t="shared" si="3"/>
        <v>66.0965</v>
      </c>
      <c r="H40" s="4">
        <f t="shared" si="4"/>
        <v>58.6213</v>
      </c>
      <c r="I40" s="4" t="str">
        <f t="shared" si="5"/>
        <v> </v>
      </c>
      <c r="J40" s="4">
        <v>0.0</v>
      </c>
      <c r="K40" s="4">
        <v>28.63</v>
      </c>
      <c r="L40" s="4">
        <f t="shared" si="6"/>
        <v>3</v>
      </c>
      <c r="M40" s="4">
        <f t="shared" si="7"/>
        <v>0</v>
      </c>
      <c r="N40" s="4">
        <v>-0.6802099999999991</v>
      </c>
      <c r="O40" s="4">
        <f t="shared" si="8"/>
        <v>0</v>
      </c>
      <c r="P40" s="4">
        <f t="shared" si="9"/>
        <v>28.63</v>
      </c>
    </row>
    <row r="41" ht="15.75" customHeight="1">
      <c r="A41" s="4">
        <v>2010.0</v>
      </c>
      <c r="B41" s="4">
        <v>191.0</v>
      </c>
      <c r="C41" s="4">
        <v>22.19</v>
      </c>
      <c r="D41" s="4">
        <v>37.88</v>
      </c>
      <c r="E41" s="4">
        <f t="shared" si="1"/>
        <v>1</v>
      </c>
      <c r="F41" s="4">
        <f t="shared" si="2"/>
        <v>0</v>
      </c>
      <c r="G41" s="4">
        <f t="shared" si="3"/>
        <v>68.1708</v>
      </c>
      <c r="H41" s="4">
        <f t="shared" si="4"/>
        <v>60.952</v>
      </c>
      <c r="I41" s="4" t="str">
        <f t="shared" si="5"/>
        <v> </v>
      </c>
      <c r="J41" s="4">
        <v>4.4</v>
      </c>
      <c r="K41" s="4">
        <v>27.49</v>
      </c>
      <c r="L41" s="4">
        <f t="shared" si="6"/>
        <v>8</v>
      </c>
      <c r="M41" s="4">
        <f t="shared" si="7"/>
        <v>1</v>
      </c>
      <c r="N41" s="4">
        <v>3.971580000000001</v>
      </c>
      <c r="O41" s="4">
        <f t="shared" si="8"/>
        <v>4.4</v>
      </c>
      <c r="P41" s="4">
        <f t="shared" si="9"/>
        <v>27.49</v>
      </c>
    </row>
    <row r="42" ht="15.75" customHeight="1">
      <c r="A42" s="4">
        <v>2010.0</v>
      </c>
      <c r="B42" s="4">
        <v>192.0</v>
      </c>
      <c r="C42" s="4">
        <v>21.35</v>
      </c>
      <c r="D42" s="4">
        <v>36.15</v>
      </c>
      <c r="E42" s="4">
        <f t="shared" si="1"/>
        <v>0</v>
      </c>
      <c r="F42" s="4">
        <f t="shared" si="2"/>
        <v>0</v>
      </c>
      <c r="G42" s="4">
        <f t="shared" si="3"/>
        <v>65.8983</v>
      </c>
      <c r="H42" s="4">
        <f t="shared" si="4"/>
        <v>56.82795</v>
      </c>
      <c r="I42" s="4" t="str">
        <f t="shared" si="5"/>
        <v> </v>
      </c>
      <c r="J42" s="4">
        <v>0.0</v>
      </c>
      <c r="K42" s="4">
        <v>28.74</v>
      </c>
      <c r="L42" s="4">
        <f t="shared" si="6"/>
        <v>3</v>
      </c>
      <c r="M42" s="4">
        <f t="shared" si="7"/>
        <v>1</v>
      </c>
      <c r="N42" s="4">
        <v>6.712289999999998</v>
      </c>
      <c r="O42" s="4">
        <f t="shared" si="8"/>
        <v>0</v>
      </c>
      <c r="P42" s="4">
        <f t="shared" si="9"/>
        <v>28.74</v>
      </c>
    </row>
    <row r="43" ht="15.75" customHeight="1">
      <c r="A43" s="4">
        <v>2010.0</v>
      </c>
      <c r="B43" s="4">
        <v>193.0</v>
      </c>
      <c r="C43" s="4">
        <v>21.46</v>
      </c>
      <c r="D43" s="4">
        <v>36.16</v>
      </c>
      <c r="E43" s="4">
        <f t="shared" si="1"/>
        <v>0</v>
      </c>
      <c r="F43" s="4">
        <f t="shared" si="2"/>
        <v>0</v>
      </c>
      <c r="G43" s="4">
        <f t="shared" si="3"/>
        <v>67.5108</v>
      </c>
      <c r="H43" s="4">
        <f t="shared" si="4"/>
        <v>58.70855</v>
      </c>
      <c r="I43" s="4" t="str">
        <f t="shared" si="5"/>
        <v> </v>
      </c>
      <c r="J43" s="4">
        <v>0.0</v>
      </c>
      <c r="K43" s="4">
        <v>29.26</v>
      </c>
      <c r="L43" s="4">
        <f t="shared" si="6"/>
        <v>3</v>
      </c>
      <c r="M43" s="4">
        <f t="shared" si="7"/>
        <v>1</v>
      </c>
      <c r="N43" s="4">
        <v>5.561429999999996</v>
      </c>
      <c r="O43" s="4">
        <f t="shared" si="8"/>
        <v>0</v>
      </c>
      <c r="P43" s="4">
        <f t="shared" si="9"/>
        <v>29.26</v>
      </c>
    </row>
    <row r="44" ht="15.75" customHeight="1">
      <c r="A44" s="4">
        <v>2010.0</v>
      </c>
      <c r="B44" s="4">
        <v>194.0</v>
      </c>
      <c r="C44" s="4">
        <v>20.2</v>
      </c>
      <c r="D44" s="4">
        <v>35.53</v>
      </c>
      <c r="E44" s="4">
        <f t="shared" si="1"/>
        <v>0</v>
      </c>
      <c r="F44" s="4">
        <f t="shared" si="2"/>
        <v>0</v>
      </c>
      <c r="G44" s="4">
        <f t="shared" si="3"/>
        <v>68.0817</v>
      </c>
      <c r="H44" s="4">
        <f t="shared" si="4"/>
        <v>59.12475</v>
      </c>
      <c r="I44" s="4" t="str">
        <f t="shared" si="5"/>
        <v> </v>
      </c>
      <c r="J44" s="4">
        <v>0.0</v>
      </c>
      <c r="K44" s="4">
        <v>28.7</v>
      </c>
      <c r="L44" s="4">
        <f t="shared" si="6"/>
        <v>3</v>
      </c>
      <c r="M44" s="4">
        <f t="shared" si="7"/>
        <v>1</v>
      </c>
      <c r="N44" s="4">
        <v>8.713390000000004</v>
      </c>
      <c r="O44" s="4">
        <f t="shared" si="8"/>
        <v>0</v>
      </c>
      <c r="P44" s="4">
        <f t="shared" si="9"/>
        <v>28.7</v>
      </c>
    </row>
    <row r="45" ht="15.75" customHeight="1">
      <c r="A45" s="4">
        <v>2010.0</v>
      </c>
      <c r="B45" s="4">
        <v>195.0</v>
      </c>
      <c r="C45" s="4">
        <v>18.93</v>
      </c>
      <c r="D45" s="4">
        <v>36.46</v>
      </c>
      <c r="E45" s="4">
        <f t="shared" si="1"/>
        <v>0</v>
      </c>
      <c r="F45" s="4">
        <f t="shared" si="2"/>
        <v>0</v>
      </c>
      <c r="G45" s="4">
        <f t="shared" si="3"/>
        <v>68.7419</v>
      </c>
      <c r="H45" s="4">
        <f t="shared" si="4"/>
        <v>59.63015</v>
      </c>
      <c r="I45" s="4" t="str">
        <f t="shared" si="5"/>
        <v> </v>
      </c>
      <c r="J45" s="4">
        <v>0.0</v>
      </c>
      <c r="K45" s="4">
        <v>28.41</v>
      </c>
      <c r="L45" s="4">
        <f t="shared" si="6"/>
        <v>3</v>
      </c>
      <c r="M45" s="4">
        <f t="shared" si="7"/>
        <v>1</v>
      </c>
      <c r="N45" s="4">
        <v>2.1672399999999987</v>
      </c>
      <c r="O45" s="4">
        <f t="shared" si="8"/>
        <v>0</v>
      </c>
      <c r="P45" s="4">
        <f t="shared" si="9"/>
        <v>28.41</v>
      </c>
    </row>
    <row r="46" ht="15.75" customHeight="1">
      <c r="A46" s="4">
        <v>2010.0</v>
      </c>
      <c r="B46" s="4">
        <v>196.0</v>
      </c>
      <c r="C46" s="4">
        <v>18.93</v>
      </c>
      <c r="D46" s="4">
        <v>39.22</v>
      </c>
      <c r="E46" s="4">
        <f t="shared" si="1"/>
        <v>0</v>
      </c>
      <c r="F46" s="4">
        <f t="shared" si="2"/>
        <v>0</v>
      </c>
      <c r="G46" s="4">
        <f t="shared" si="3"/>
        <v>69.3346</v>
      </c>
      <c r="H46" s="4">
        <f t="shared" si="4"/>
        <v>60.4142</v>
      </c>
      <c r="I46" s="4" t="str">
        <f t="shared" si="5"/>
        <v> </v>
      </c>
      <c r="J46" s="4">
        <v>0.0</v>
      </c>
      <c r="K46" s="4">
        <v>29.85</v>
      </c>
      <c r="L46" s="4">
        <f t="shared" si="6"/>
        <v>3</v>
      </c>
      <c r="M46" s="4">
        <f t="shared" si="7"/>
        <v>0</v>
      </c>
      <c r="N46" s="4">
        <v>-4.356690000000001</v>
      </c>
      <c r="O46" s="4">
        <f t="shared" si="8"/>
        <v>0</v>
      </c>
      <c r="P46" s="4">
        <f t="shared" si="9"/>
        <v>29.85</v>
      </c>
    </row>
    <row r="47" ht="15.75" customHeight="1">
      <c r="A47" s="4">
        <v>2010.0</v>
      </c>
      <c r="B47" s="4">
        <v>197.0</v>
      </c>
      <c r="C47" s="4">
        <v>21.69</v>
      </c>
      <c r="D47" s="4">
        <v>39.74</v>
      </c>
      <c r="E47" s="4">
        <f t="shared" si="1"/>
        <v>0</v>
      </c>
      <c r="F47" s="4">
        <f t="shared" si="2"/>
        <v>0</v>
      </c>
      <c r="G47" s="4">
        <f t="shared" si="3"/>
        <v>70.6067</v>
      </c>
      <c r="H47" s="4">
        <f t="shared" si="4"/>
        <v>61.18245</v>
      </c>
      <c r="I47" s="4" t="str">
        <f t="shared" si="5"/>
        <v> </v>
      </c>
      <c r="J47" s="4">
        <v>0.0</v>
      </c>
      <c r="K47" s="4">
        <v>31.24</v>
      </c>
      <c r="L47" s="4">
        <f t="shared" si="6"/>
        <v>3</v>
      </c>
      <c r="M47" s="4">
        <f t="shared" si="7"/>
        <v>0</v>
      </c>
      <c r="N47" s="4">
        <v>-1.9609900000000022</v>
      </c>
      <c r="O47" s="4">
        <f t="shared" si="8"/>
        <v>0</v>
      </c>
      <c r="P47" s="4">
        <f t="shared" si="9"/>
        <v>31.24</v>
      </c>
    </row>
    <row r="48" ht="15.75" customHeight="1">
      <c r="A48" s="4">
        <v>2010.0</v>
      </c>
      <c r="B48" s="4">
        <v>198.0</v>
      </c>
      <c r="C48" s="4">
        <v>21.89</v>
      </c>
      <c r="D48" s="4">
        <v>39.08</v>
      </c>
      <c r="E48" s="4">
        <f t="shared" si="1"/>
        <v>0</v>
      </c>
      <c r="F48" s="4">
        <f t="shared" si="2"/>
        <v>0</v>
      </c>
      <c r="G48" s="4">
        <f t="shared" si="3"/>
        <v>69.7951</v>
      </c>
      <c r="H48" s="4">
        <f t="shared" si="4"/>
        <v>60.0788</v>
      </c>
      <c r="I48" s="4" t="str">
        <f t="shared" si="5"/>
        <v> </v>
      </c>
      <c r="J48" s="4">
        <v>0.0</v>
      </c>
      <c r="K48" s="4">
        <v>31.32</v>
      </c>
      <c r="L48" s="4">
        <f t="shared" si="6"/>
        <v>3</v>
      </c>
      <c r="M48" s="4">
        <f t="shared" si="7"/>
        <v>1</v>
      </c>
      <c r="N48" s="4">
        <v>3.7641599999999986</v>
      </c>
      <c r="O48" s="4">
        <f t="shared" si="8"/>
        <v>0</v>
      </c>
      <c r="P48" s="4">
        <f t="shared" si="9"/>
        <v>31.32</v>
      </c>
    </row>
    <row r="49" ht="15.75" customHeight="1">
      <c r="A49" s="4">
        <v>2010.0</v>
      </c>
      <c r="B49" s="4">
        <v>199.0</v>
      </c>
      <c r="C49" s="4">
        <v>21.04</v>
      </c>
      <c r="D49" s="4">
        <v>38.56</v>
      </c>
      <c r="E49" s="4">
        <f t="shared" si="1"/>
        <v>0</v>
      </c>
      <c r="F49" s="4">
        <f t="shared" si="2"/>
        <v>0</v>
      </c>
      <c r="G49" s="4">
        <f t="shared" si="3"/>
        <v>70.4844</v>
      </c>
      <c r="H49" s="4">
        <f t="shared" si="4"/>
        <v>60.8238</v>
      </c>
      <c r="I49" s="4" t="str">
        <f t="shared" si="5"/>
        <v> </v>
      </c>
      <c r="J49" s="4">
        <v>0.0</v>
      </c>
      <c r="K49" s="4">
        <v>30.06</v>
      </c>
      <c r="L49" s="4">
        <f t="shared" si="6"/>
        <v>3</v>
      </c>
      <c r="M49" s="4">
        <f t="shared" si="7"/>
        <v>1</v>
      </c>
      <c r="N49" s="4">
        <v>9.113959999999999</v>
      </c>
      <c r="O49" s="4">
        <f t="shared" si="8"/>
        <v>0</v>
      </c>
      <c r="P49" s="4">
        <f t="shared" si="9"/>
        <v>30.06</v>
      </c>
    </row>
    <row r="50" ht="15.75" customHeight="1">
      <c r="A50" s="4">
        <v>2010.0</v>
      </c>
      <c r="B50" s="4">
        <v>200.0</v>
      </c>
      <c r="C50" s="4">
        <v>22.83</v>
      </c>
      <c r="D50" s="4">
        <v>37.18</v>
      </c>
      <c r="E50" s="4">
        <f t="shared" si="1"/>
        <v>0</v>
      </c>
      <c r="F50" s="4">
        <f t="shared" si="2"/>
        <v>0</v>
      </c>
      <c r="G50" s="4">
        <f t="shared" si="3"/>
        <v>71.8426</v>
      </c>
      <c r="H50" s="4">
        <f t="shared" si="4"/>
        <v>62.08395</v>
      </c>
      <c r="I50" s="4" t="str">
        <f t="shared" si="5"/>
        <v> </v>
      </c>
      <c r="J50" s="4">
        <v>0.0</v>
      </c>
      <c r="K50" s="4">
        <v>30.08</v>
      </c>
      <c r="L50" s="4">
        <f t="shared" si="6"/>
        <v>3</v>
      </c>
      <c r="M50" s="4">
        <f t="shared" si="7"/>
        <v>1</v>
      </c>
      <c r="N50" s="4">
        <v>11.214110000000002</v>
      </c>
      <c r="O50" s="4">
        <f t="shared" si="8"/>
        <v>0</v>
      </c>
      <c r="P50" s="4">
        <f t="shared" si="9"/>
        <v>30.08</v>
      </c>
    </row>
    <row r="51" ht="15.75" customHeight="1">
      <c r="A51" s="4">
        <v>2010.0</v>
      </c>
      <c r="B51" s="4">
        <v>201.0</v>
      </c>
      <c r="C51" s="4">
        <v>23.6</v>
      </c>
      <c r="D51" s="4">
        <v>38.09</v>
      </c>
      <c r="E51" s="4">
        <f t="shared" si="1"/>
        <v>0</v>
      </c>
      <c r="F51" s="4">
        <f t="shared" si="2"/>
        <v>0</v>
      </c>
      <c r="G51" s="4">
        <f t="shared" si="3"/>
        <v>74.9805</v>
      </c>
      <c r="H51" s="4">
        <f t="shared" si="4"/>
        <v>66.82995</v>
      </c>
      <c r="I51" s="4" t="str">
        <f t="shared" si="5"/>
        <v> </v>
      </c>
      <c r="J51" s="4">
        <v>0.0</v>
      </c>
      <c r="K51" s="4">
        <v>30.65</v>
      </c>
      <c r="L51" s="4">
        <f t="shared" si="6"/>
        <v>3</v>
      </c>
      <c r="M51" s="4">
        <f t="shared" si="7"/>
        <v>1</v>
      </c>
      <c r="N51" s="4">
        <v>8.023980000000002</v>
      </c>
      <c r="O51" s="4">
        <f t="shared" si="8"/>
        <v>0</v>
      </c>
      <c r="P51" s="4">
        <f t="shared" si="9"/>
        <v>30.65</v>
      </c>
    </row>
    <row r="52" ht="15.75" customHeight="1">
      <c r="A52" s="4">
        <v>2010.0</v>
      </c>
      <c r="B52" s="4">
        <v>202.0</v>
      </c>
      <c r="C52" s="4">
        <v>23.3</v>
      </c>
      <c r="D52" s="4">
        <v>38.55</v>
      </c>
      <c r="E52" s="4">
        <f t="shared" si="1"/>
        <v>0</v>
      </c>
      <c r="F52" s="4">
        <f t="shared" si="2"/>
        <v>0</v>
      </c>
      <c r="G52" s="4">
        <f t="shared" si="3"/>
        <v>77.8204</v>
      </c>
      <c r="H52" s="4">
        <f t="shared" si="4"/>
        <v>70.68205</v>
      </c>
      <c r="I52" s="4" t="str">
        <f t="shared" si="5"/>
        <v> </v>
      </c>
      <c r="J52" s="4">
        <v>0.0</v>
      </c>
      <c r="K52" s="4">
        <v>30.73</v>
      </c>
      <c r="L52" s="4">
        <f t="shared" si="6"/>
        <v>3</v>
      </c>
      <c r="M52" s="4">
        <f t="shared" si="7"/>
        <v>1</v>
      </c>
      <c r="N52" s="4">
        <v>1.9591400000000025</v>
      </c>
      <c r="O52" s="4">
        <f t="shared" si="8"/>
        <v>0</v>
      </c>
      <c r="P52" s="4">
        <f t="shared" si="9"/>
        <v>30.73</v>
      </c>
    </row>
    <row r="53" ht="15.75" customHeight="1">
      <c r="A53" s="4">
        <v>2010.0</v>
      </c>
      <c r="B53" s="4">
        <v>203.0</v>
      </c>
      <c r="C53" s="4">
        <v>22.99</v>
      </c>
      <c r="D53" s="4">
        <v>40.81</v>
      </c>
      <c r="E53" s="4">
        <f t="shared" si="1"/>
        <v>0</v>
      </c>
      <c r="F53" s="4">
        <f t="shared" si="2"/>
        <v>0</v>
      </c>
      <c r="G53" s="4">
        <f t="shared" si="3"/>
        <v>82.3662</v>
      </c>
      <c r="H53" s="4">
        <f t="shared" si="4"/>
        <v>76.30395</v>
      </c>
      <c r="I53" s="4" t="str">
        <f t="shared" si="5"/>
        <v> </v>
      </c>
      <c r="J53" s="4">
        <v>0.0</v>
      </c>
      <c r="K53" s="4">
        <v>31.85</v>
      </c>
      <c r="L53" s="4">
        <f t="shared" si="6"/>
        <v>3</v>
      </c>
      <c r="M53" s="4">
        <f t="shared" si="7"/>
        <v>0</v>
      </c>
      <c r="N53" s="4">
        <v>-1.2422499999999974</v>
      </c>
      <c r="O53" s="4">
        <f t="shared" si="8"/>
        <v>0</v>
      </c>
      <c r="P53" s="4">
        <f t="shared" si="9"/>
        <v>31.85</v>
      </c>
    </row>
    <row r="54" ht="15.75" customHeight="1">
      <c r="A54" s="4">
        <v>2010.0</v>
      </c>
      <c r="B54" s="4">
        <v>204.0</v>
      </c>
      <c r="C54" s="4">
        <v>22.83</v>
      </c>
      <c r="D54" s="4">
        <v>41.77</v>
      </c>
      <c r="E54" s="4">
        <f t="shared" si="1"/>
        <v>0</v>
      </c>
      <c r="F54" s="4">
        <f t="shared" si="2"/>
        <v>0</v>
      </c>
      <c r="G54" s="4">
        <f t="shared" si="3"/>
        <v>83.4166</v>
      </c>
      <c r="H54" s="4">
        <f t="shared" si="4"/>
        <v>75.98585</v>
      </c>
      <c r="I54" s="4" t="str">
        <f t="shared" si="5"/>
        <v> </v>
      </c>
      <c r="J54" s="4">
        <v>0.0</v>
      </c>
      <c r="K54" s="4">
        <v>32.28</v>
      </c>
      <c r="L54" s="4">
        <f t="shared" si="6"/>
        <v>3</v>
      </c>
      <c r="M54" s="4">
        <f t="shared" si="7"/>
        <v>0</v>
      </c>
      <c r="N54" s="4">
        <v>-6.480110000000003</v>
      </c>
      <c r="O54" s="4">
        <f t="shared" si="8"/>
        <v>0</v>
      </c>
      <c r="P54" s="4">
        <f t="shared" si="9"/>
        <v>32.28</v>
      </c>
    </row>
    <row r="55" ht="15.75" customHeight="1">
      <c r="A55" s="4">
        <v>2010.0</v>
      </c>
      <c r="B55" s="4">
        <v>205.0</v>
      </c>
      <c r="C55" s="4">
        <v>22.09</v>
      </c>
      <c r="D55" s="4">
        <v>42.13</v>
      </c>
      <c r="E55" s="4">
        <f t="shared" si="1"/>
        <v>1</v>
      </c>
      <c r="F55" s="4">
        <f t="shared" si="2"/>
        <v>0</v>
      </c>
      <c r="G55" s="4">
        <f t="shared" si="3"/>
        <v>84.7594</v>
      </c>
      <c r="H55" s="4">
        <f t="shared" si="4"/>
        <v>80.75875</v>
      </c>
      <c r="I55" s="4" t="str">
        <f t="shared" si="5"/>
        <v> </v>
      </c>
      <c r="J55" s="4">
        <v>0.6</v>
      </c>
      <c r="K55" s="4">
        <v>31.91</v>
      </c>
      <c r="L55" s="4">
        <f t="shared" si="6"/>
        <v>8</v>
      </c>
      <c r="M55" s="4">
        <f t="shared" si="7"/>
        <v>0</v>
      </c>
      <c r="N55" s="4">
        <v>-8.874259999999998</v>
      </c>
      <c r="O55" s="4">
        <f t="shared" si="8"/>
        <v>0.6</v>
      </c>
      <c r="P55" s="4">
        <f t="shared" si="9"/>
        <v>31.91</v>
      </c>
    </row>
    <row r="56" ht="15.75" customHeight="1">
      <c r="A56" s="4">
        <v>2010.0</v>
      </c>
      <c r="B56" s="4">
        <v>206.0</v>
      </c>
      <c r="C56" s="4">
        <v>23.19</v>
      </c>
      <c r="D56" s="4">
        <v>41.27</v>
      </c>
      <c r="E56" s="4">
        <f t="shared" si="1"/>
        <v>1</v>
      </c>
      <c r="F56" s="4">
        <f t="shared" si="2"/>
        <v>0</v>
      </c>
      <c r="G56" s="4">
        <f t="shared" si="3"/>
        <v>83.9774</v>
      </c>
      <c r="H56" s="4">
        <f t="shared" si="4"/>
        <v>77.1441</v>
      </c>
      <c r="I56" s="4" t="str">
        <f t="shared" si="5"/>
        <v> </v>
      </c>
      <c r="J56" s="4">
        <v>1.9</v>
      </c>
      <c r="K56" s="4">
        <v>31.76</v>
      </c>
      <c r="L56" s="4">
        <f t="shared" si="6"/>
        <v>8</v>
      </c>
      <c r="M56" s="4">
        <f t="shared" si="7"/>
        <v>0</v>
      </c>
      <c r="N56" s="4">
        <v>-2.5135699999999996</v>
      </c>
      <c r="O56" s="4">
        <f t="shared" si="8"/>
        <v>1.9</v>
      </c>
      <c r="P56" s="4">
        <f t="shared" si="9"/>
        <v>31.76</v>
      </c>
    </row>
    <row r="57" ht="15.75" customHeight="1">
      <c r="A57" s="4">
        <v>2010.0</v>
      </c>
      <c r="B57" s="4">
        <v>207.0</v>
      </c>
      <c r="C57" s="4">
        <v>24.71</v>
      </c>
      <c r="D57" s="4">
        <v>41.87</v>
      </c>
      <c r="E57" s="4">
        <f t="shared" si="1"/>
        <v>1</v>
      </c>
      <c r="F57" s="4">
        <f t="shared" si="2"/>
        <v>0</v>
      </c>
      <c r="G57" s="4">
        <f t="shared" si="3"/>
        <v>76.9772</v>
      </c>
      <c r="H57" s="4">
        <f t="shared" si="4"/>
        <v>68.3485</v>
      </c>
      <c r="I57" s="4" t="str">
        <f t="shared" si="5"/>
        <v> </v>
      </c>
      <c r="J57" s="4">
        <v>0.2</v>
      </c>
      <c r="K57" s="4">
        <v>32.03</v>
      </c>
      <c r="L57" s="4">
        <f t="shared" si="6"/>
        <v>8</v>
      </c>
      <c r="M57" s="4">
        <f t="shared" si="7"/>
        <v>1</v>
      </c>
      <c r="N57" s="4">
        <v>0.8198699999999992</v>
      </c>
      <c r="O57" s="4">
        <f t="shared" si="8"/>
        <v>0.2</v>
      </c>
      <c r="P57" s="4">
        <f t="shared" si="9"/>
        <v>32.03</v>
      </c>
    </row>
    <row r="58" ht="15.75" customHeight="1">
      <c r="A58" s="4">
        <v>2010.0</v>
      </c>
      <c r="B58" s="4">
        <v>208.0</v>
      </c>
      <c r="C58" s="4">
        <v>19.13</v>
      </c>
      <c r="D58" s="4">
        <v>40.6</v>
      </c>
      <c r="E58" s="4">
        <f t="shared" si="1"/>
        <v>0</v>
      </c>
      <c r="F58" s="4">
        <f t="shared" si="2"/>
        <v>0</v>
      </c>
      <c r="G58" s="4">
        <f t="shared" si="3"/>
        <v>70.6805</v>
      </c>
      <c r="H58" s="4">
        <f t="shared" si="4"/>
        <v>61.28255</v>
      </c>
      <c r="I58" s="4" t="str">
        <f t="shared" si="5"/>
        <v> </v>
      </c>
      <c r="J58" s="4">
        <v>0.0</v>
      </c>
      <c r="K58" s="4">
        <v>31.06</v>
      </c>
      <c r="L58" s="4">
        <f t="shared" si="6"/>
        <v>3</v>
      </c>
      <c r="M58" s="4">
        <f t="shared" si="7"/>
        <v>1</v>
      </c>
      <c r="N58" s="4">
        <v>0.3196799999999975</v>
      </c>
      <c r="O58" s="4">
        <f t="shared" si="8"/>
        <v>0</v>
      </c>
      <c r="P58" s="4">
        <f t="shared" si="9"/>
        <v>31.06</v>
      </c>
    </row>
    <row r="59" ht="15.75" customHeight="1">
      <c r="A59" s="4">
        <v>2010.0</v>
      </c>
      <c r="B59" s="4">
        <v>209.0</v>
      </c>
      <c r="C59" s="4">
        <v>26.48</v>
      </c>
      <c r="D59" s="4">
        <v>42.27</v>
      </c>
      <c r="E59" s="4">
        <f t="shared" si="1"/>
        <v>0</v>
      </c>
      <c r="F59" s="4">
        <f t="shared" si="2"/>
        <v>0</v>
      </c>
      <c r="G59" s="4">
        <f t="shared" si="3"/>
        <v>72.4491</v>
      </c>
      <c r="H59" s="4">
        <f t="shared" si="4"/>
        <v>63.9803</v>
      </c>
      <c r="I59" s="4" t="str">
        <f t="shared" si="5"/>
        <v> </v>
      </c>
      <c r="J59" s="4">
        <v>0.0</v>
      </c>
      <c r="K59" s="4">
        <v>34.12</v>
      </c>
      <c r="L59" s="4">
        <f t="shared" si="6"/>
        <v>3</v>
      </c>
      <c r="M59" s="4">
        <f t="shared" si="7"/>
        <v>0</v>
      </c>
      <c r="N59" s="4">
        <v>-4.5996299999999986</v>
      </c>
      <c r="O59" s="4">
        <f t="shared" si="8"/>
        <v>0</v>
      </c>
      <c r="P59" s="4">
        <f t="shared" si="9"/>
        <v>34.12</v>
      </c>
    </row>
    <row r="60" ht="15.75" customHeight="1">
      <c r="A60" s="4">
        <v>2010.0</v>
      </c>
      <c r="B60" s="4">
        <v>210.0</v>
      </c>
      <c r="C60" s="4">
        <v>27.8</v>
      </c>
      <c r="D60" s="4">
        <v>42.4</v>
      </c>
      <c r="E60" s="4">
        <f t="shared" si="1"/>
        <v>0</v>
      </c>
      <c r="F60" s="4">
        <f t="shared" si="2"/>
        <v>0</v>
      </c>
      <c r="G60" s="4">
        <f t="shared" si="3"/>
        <v>77.662</v>
      </c>
      <c r="H60" s="4">
        <f t="shared" si="4"/>
        <v>69.9631</v>
      </c>
      <c r="I60" s="4" t="str">
        <f t="shared" si="5"/>
        <v> </v>
      </c>
      <c r="J60" s="4">
        <v>0.0</v>
      </c>
      <c r="K60" s="4">
        <v>33.04</v>
      </c>
      <c r="L60" s="4">
        <f t="shared" si="6"/>
        <v>3</v>
      </c>
      <c r="M60" s="4">
        <f t="shared" si="7"/>
        <v>0</v>
      </c>
      <c r="N60" s="4">
        <v>-11.758170000000002</v>
      </c>
      <c r="O60" s="4">
        <f t="shared" si="8"/>
        <v>0</v>
      </c>
      <c r="P60" s="4">
        <f t="shared" si="9"/>
        <v>33.04</v>
      </c>
    </row>
    <row r="61" ht="15.75" customHeight="1">
      <c r="A61" s="4">
        <v>2010.0</v>
      </c>
      <c r="B61" s="4">
        <v>211.0</v>
      </c>
      <c r="C61" s="4">
        <v>23.13</v>
      </c>
      <c r="D61" s="4">
        <v>35.14</v>
      </c>
      <c r="E61" s="4">
        <f t="shared" si="1"/>
        <v>0</v>
      </c>
      <c r="F61" s="4">
        <f t="shared" si="2"/>
        <v>0</v>
      </c>
      <c r="G61" s="4">
        <f t="shared" si="3"/>
        <v>73.7138</v>
      </c>
      <c r="H61" s="4">
        <f t="shared" si="4"/>
        <v>66.1507</v>
      </c>
      <c r="I61" s="4" t="str">
        <f t="shared" si="5"/>
        <v> </v>
      </c>
      <c r="J61" s="4">
        <v>0.0</v>
      </c>
      <c r="K61" s="4">
        <v>28.82</v>
      </c>
      <c r="L61" s="4">
        <f t="shared" si="6"/>
        <v>3</v>
      </c>
      <c r="M61" s="4">
        <f t="shared" si="7"/>
        <v>0</v>
      </c>
      <c r="N61" s="4">
        <v>-11.13339</v>
      </c>
      <c r="O61" s="4">
        <f t="shared" si="8"/>
        <v>0</v>
      </c>
      <c r="P61" s="4">
        <f t="shared" si="9"/>
        <v>28.82</v>
      </c>
    </row>
    <row r="62" ht="15.75" customHeight="1">
      <c r="A62" s="4">
        <v>2010.0</v>
      </c>
      <c r="B62" s="4">
        <v>212.0</v>
      </c>
      <c r="C62" s="4">
        <v>20.4</v>
      </c>
      <c r="D62" s="4">
        <v>37.12</v>
      </c>
      <c r="E62" s="4">
        <f t="shared" si="1"/>
        <v>0</v>
      </c>
      <c r="F62" s="4">
        <f t="shared" si="2"/>
        <v>0</v>
      </c>
      <c r="G62" s="4">
        <f t="shared" si="3"/>
        <v>76.2906</v>
      </c>
      <c r="H62" s="4">
        <f t="shared" si="4"/>
        <v>70.40055</v>
      </c>
      <c r="I62" s="4" t="str">
        <f t="shared" si="5"/>
        <v> </v>
      </c>
      <c r="J62" s="4">
        <v>0.0</v>
      </c>
      <c r="K62" s="4">
        <v>28.68</v>
      </c>
      <c r="L62" s="4">
        <f t="shared" si="6"/>
        <v>3</v>
      </c>
      <c r="M62" s="4">
        <f t="shared" si="7"/>
        <v>0</v>
      </c>
      <c r="N62" s="4">
        <v>-10.431259999999996</v>
      </c>
      <c r="O62" s="4">
        <f t="shared" si="8"/>
        <v>0</v>
      </c>
      <c r="P62" s="4">
        <f t="shared" si="9"/>
        <v>28.68</v>
      </c>
    </row>
    <row r="63" ht="15.75" customHeight="1">
      <c r="A63" s="4">
        <v>2010.0</v>
      </c>
      <c r="B63" s="4">
        <v>213.0</v>
      </c>
      <c r="C63" s="4">
        <v>20.1</v>
      </c>
      <c r="D63" s="4">
        <v>36.69</v>
      </c>
      <c r="E63" s="4">
        <f t="shared" si="1"/>
        <v>1</v>
      </c>
      <c r="F63" s="4">
        <f t="shared" si="2"/>
        <v>0</v>
      </c>
      <c r="G63" s="4">
        <f t="shared" si="3"/>
        <v>78.3097</v>
      </c>
      <c r="H63" s="4">
        <f t="shared" si="4"/>
        <v>72.04105</v>
      </c>
      <c r="I63" s="4" t="str">
        <f t="shared" si="5"/>
        <v> </v>
      </c>
      <c r="J63" s="4">
        <v>0.8</v>
      </c>
      <c r="K63" s="4">
        <v>28.51</v>
      </c>
      <c r="L63" s="4">
        <f t="shared" si="6"/>
        <v>8</v>
      </c>
      <c r="M63" s="4">
        <f t="shared" si="7"/>
        <v>0</v>
      </c>
      <c r="N63" s="4">
        <v>-12.371660000000004</v>
      </c>
      <c r="O63" s="4">
        <f t="shared" si="8"/>
        <v>0.8</v>
      </c>
      <c r="P63" s="4">
        <f t="shared" si="9"/>
        <v>28.51</v>
      </c>
    </row>
    <row r="64" ht="15.75" customHeight="1">
      <c r="A64" s="4">
        <v>2010.0</v>
      </c>
      <c r="B64" s="4">
        <v>214.0</v>
      </c>
      <c r="C64" s="4">
        <v>21.82</v>
      </c>
      <c r="D64" s="4">
        <v>42.7</v>
      </c>
      <c r="E64" s="4">
        <f t="shared" si="1"/>
        <v>1</v>
      </c>
      <c r="F64" s="4">
        <f t="shared" si="2"/>
        <v>0</v>
      </c>
      <c r="G64" s="4">
        <f t="shared" si="3"/>
        <v>79.6021</v>
      </c>
      <c r="H64" s="4">
        <f t="shared" si="4"/>
        <v>73.3195</v>
      </c>
      <c r="I64" s="4" t="str">
        <f t="shared" si="5"/>
        <v> </v>
      </c>
      <c r="J64" s="4">
        <v>0.5</v>
      </c>
      <c r="K64" s="4">
        <v>31.5</v>
      </c>
      <c r="L64" s="4">
        <f t="shared" si="6"/>
        <v>8</v>
      </c>
      <c r="M64" s="4">
        <f t="shared" si="7"/>
        <v>0</v>
      </c>
      <c r="N64" s="4">
        <v>-9.771289999999999</v>
      </c>
      <c r="O64" s="4">
        <f t="shared" si="8"/>
        <v>0.5</v>
      </c>
      <c r="P64" s="4">
        <f t="shared" si="9"/>
        <v>31.5</v>
      </c>
    </row>
    <row r="65" ht="15.75" customHeight="1">
      <c r="A65" s="4">
        <v>2010.0</v>
      </c>
      <c r="B65" s="4">
        <v>215.0</v>
      </c>
      <c r="C65" s="4">
        <v>21.99</v>
      </c>
      <c r="D65" s="4">
        <v>41.14</v>
      </c>
      <c r="E65" s="4">
        <f t="shared" si="1"/>
        <v>0</v>
      </c>
      <c r="F65" s="4">
        <f t="shared" si="2"/>
        <v>0</v>
      </c>
      <c r="G65" s="4">
        <f t="shared" si="3"/>
        <v>75.8214</v>
      </c>
      <c r="H65" s="4">
        <f t="shared" si="4"/>
        <v>67.0691</v>
      </c>
      <c r="I65" s="4" t="str">
        <f t="shared" si="5"/>
        <v> </v>
      </c>
      <c r="J65" s="4">
        <v>0.0</v>
      </c>
      <c r="K65" s="4">
        <v>31.35</v>
      </c>
      <c r="L65" s="4">
        <f t="shared" si="6"/>
        <v>3</v>
      </c>
      <c r="M65" s="4">
        <f t="shared" si="7"/>
        <v>0</v>
      </c>
      <c r="N65" s="4">
        <v>-1.721259999999999</v>
      </c>
      <c r="O65" s="4">
        <f t="shared" si="8"/>
        <v>0</v>
      </c>
      <c r="P65" s="4">
        <f t="shared" si="9"/>
        <v>31.35</v>
      </c>
    </row>
    <row r="66" ht="15.75" customHeight="1">
      <c r="A66" s="4">
        <v>2010.0</v>
      </c>
      <c r="B66" s="4">
        <v>216.0</v>
      </c>
      <c r="C66" s="4">
        <v>24.41</v>
      </c>
      <c r="D66" s="4">
        <v>41.24</v>
      </c>
      <c r="E66" s="4">
        <f t="shared" si="1"/>
        <v>0</v>
      </c>
      <c r="F66" s="4">
        <f t="shared" si="2"/>
        <v>0</v>
      </c>
      <c r="G66" s="4">
        <f t="shared" si="3"/>
        <v>75.8715</v>
      </c>
      <c r="H66" s="4">
        <f t="shared" si="4"/>
        <v>68.8645</v>
      </c>
      <c r="I66" s="4" t="str">
        <f t="shared" si="5"/>
        <v> </v>
      </c>
      <c r="J66" s="4">
        <v>0.0</v>
      </c>
      <c r="K66" s="4">
        <v>32.44</v>
      </c>
      <c r="L66" s="4">
        <f t="shared" si="6"/>
        <v>3</v>
      </c>
      <c r="M66" s="4">
        <f t="shared" si="7"/>
        <v>0</v>
      </c>
      <c r="N66" s="4">
        <v>-6.299980000000003</v>
      </c>
      <c r="O66" s="4">
        <f t="shared" si="8"/>
        <v>0</v>
      </c>
      <c r="P66" s="4">
        <f t="shared" si="9"/>
        <v>32.44</v>
      </c>
    </row>
    <row r="67" ht="15.75" customHeight="1">
      <c r="A67" s="4">
        <v>2010.0</v>
      </c>
      <c r="B67" s="4">
        <v>221.0</v>
      </c>
      <c r="C67" s="4">
        <v>22.26</v>
      </c>
      <c r="D67" s="4">
        <v>40.84</v>
      </c>
      <c r="E67" s="4">
        <f t="shared" si="1"/>
        <v>0</v>
      </c>
      <c r="F67" s="4">
        <f t="shared" si="2"/>
        <v>0</v>
      </c>
      <c r="G67" s="4">
        <f t="shared" si="3"/>
        <v>72.4668</v>
      </c>
      <c r="H67" s="4">
        <f t="shared" si="4"/>
        <v>67.20395</v>
      </c>
      <c r="I67" s="4" t="str">
        <f t="shared" si="5"/>
        <v> </v>
      </c>
      <c r="J67" s="4">
        <v>0.0</v>
      </c>
      <c r="K67" s="4">
        <v>31.1</v>
      </c>
      <c r="L67" s="4">
        <f t="shared" si="6"/>
        <v>3</v>
      </c>
      <c r="M67" s="4">
        <f t="shared" si="7"/>
        <v>0</v>
      </c>
      <c r="N67" s="4">
        <v>-3.3225700000000034</v>
      </c>
      <c r="O67" s="4">
        <f t="shared" si="8"/>
        <v>0</v>
      </c>
      <c r="P67" s="4">
        <f t="shared" si="9"/>
        <v>31.1</v>
      </c>
    </row>
    <row r="68" ht="15.75" customHeight="1">
      <c r="A68" s="4">
        <v>2010.0</v>
      </c>
      <c r="B68" s="4">
        <v>222.0</v>
      </c>
      <c r="C68" s="4">
        <v>21.96</v>
      </c>
      <c r="D68" s="4">
        <v>39.43</v>
      </c>
      <c r="E68" s="4">
        <f t="shared" si="1"/>
        <v>1</v>
      </c>
      <c r="F68" s="4">
        <f t="shared" si="2"/>
        <v>0</v>
      </c>
      <c r="G68" s="4">
        <f t="shared" si="3"/>
        <v>74.525</v>
      </c>
      <c r="H68" s="4">
        <f t="shared" si="4"/>
        <v>69.1028</v>
      </c>
      <c r="I68" s="4" t="str">
        <f t="shared" si="5"/>
        <v> </v>
      </c>
      <c r="J68" s="4">
        <v>0.2</v>
      </c>
      <c r="K68" s="4">
        <v>30.46</v>
      </c>
      <c r="L68" s="4">
        <f t="shared" si="6"/>
        <v>8</v>
      </c>
      <c r="M68" s="4">
        <f t="shared" si="7"/>
        <v>0</v>
      </c>
      <c r="N68" s="4">
        <v>-11.53072</v>
      </c>
      <c r="O68" s="4">
        <f t="shared" si="8"/>
        <v>0.2</v>
      </c>
      <c r="P68" s="4">
        <f t="shared" si="9"/>
        <v>30.46</v>
      </c>
    </row>
    <row r="69" ht="15.75" customHeight="1">
      <c r="A69" s="4">
        <v>2010.0</v>
      </c>
      <c r="B69" s="4">
        <v>223.0</v>
      </c>
      <c r="C69" s="4">
        <v>23.54</v>
      </c>
      <c r="D69" s="4">
        <v>38.47</v>
      </c>
      <c r="E69" s="4">
        <f t="shared" si="1"/>
        <v>0</v>
      </c>
      <c r="F69" s="4">
        <f t="shared" si="2"/>
        <v>0</v>
      </c>
      <c r="G69" s="4">
        <f t="shared" si="3"/>
        <v>69.9251</v>
      </c>
      <c r="H69" s="4">
        <f t="shared" si="4"/>
        <v>63.3168</v>
      </c>
      <c r="I69" s="4" t="str">
        <f t="shared" si="5"/>
        <v> </v>
      </c>
      <c r="J69" s="4">
        <v>0.0</v>
      </c>
      <c r="K69" s="4">
        <v>31.32</v>
      </c>
      <c r="L69" s="4">
        <f t="shared" si="6"/>
        <v>3</v>
      </c>
      <c r="M69" s="4">
        <f t="shared" si="7"/>
        <v>0</v>
      </c>
      <c r="N69" s="4">
        <v>-11.48155</v>
      </c>
      <c r="O69" s="4">
        <f t="shared" si="8"/>
        <v>0</v>
      </c>
      <c r="P69" s="4">
        <f t="shared" si="9"/>
        <v>31.32</v>
      </c>
    </row>
    <row r="70" ht="15.75" customHeight="1">
      <c r="A70" s="4">
        <v>2010.0</v>
      </c>
      <c r="B70" s="4">
        <v>224.0</v>
      </c>
      <c r="C70" s="4">
        <v>21.99</v>
      </c>
      <c r="D70" s="4">
        <v>37.46</v>
      </c>
      <c r="E70" s="4">
        <f t="shared" si="1"/>
        <v>1</v>
      </c>
      <c r="F70" s="4">
        <f t="shared" si="2"/>
        <v>0</v>
      </c>
      <c r="G70" s="4">
        <f t="shared" si="3"/>
        <v>68.2452</v>
      </c>
      <c r="H70" s="4">
        <f t="shared" si="4"/>
        <v>63.40115</v>
      </c>
      <c r="I70" s="4" t="str">
        <f t="shared" si="5"/>
        <v> </v>
      </c>
      <c r="J70" s="4">
        <v>0.7</v>
      </c>
      <c r="K70" s="4">
        <v>29.23</v>
      </c>
      <c r="L70" s="4">
        <f t="shared" si="6"/>
        <v>8</v>
      </c>
      <c r="M70" s="4">
        <f t="shared" si="7"/>
        <v>0</v>
      </c>
      <c r="N70" s="4">
        <v>-10.891719999999998</v>
      </c>
      <c r="O70" s="4">
        <f t="shared" si="8"/>
        <v>0.7</v>
      </c>
      <c r="P70" s="4">
        <f t="shared" si="9"/>
        <v>29.23</v>
      </c>
    </row>
    <row r="71" ht="15.75" customHeight="1">
      <c r="A71" s="4">
        <v>2010.0</v>
      </c>
      <c r="B71" s="4">
        <v>225.0</v>
      </c>
      <c r="C71" s="4">
        <v>21.82</v>
      </c>
      <c r="D71" s="4">
        <v>33.84</v>
      </c>
      <c r="E71" s="4">
        <f t="shared" si="1"/>
        <v>1</v>
      </c>
      <c r="F71" s="4">
        <f t="shared" si="2"/>
        <v>0</v>
      </c>
      <c r="G71" s="4">
        <f t="shared" si="3"/>
        <v>64.3695</v>
      </c>
      <c r="H71" s="4">
        <f t="shared" si="4"/>
        <v>59.67945</v>
      </c>
      <c r="I71" s="4" t="str">
        <f t="shared" si="5"/>
        <v> </v>
      </c>
      <c r="J71" s="4">
        <v>12.2</v>
      </c>
      <c r="K71" s="4">
        <v>26.87</v>
      </c>
      <c r="L71" s="4">
        <f t="shared" si="6"/>
        <v>8</v>
      </c>
      <c r="M71" s="4">
        <f t="shared" si="7"/>
        <v>0</v>
      </c>
      <c r="N71" s="4">
        <v>-1.5081199999999997</v>
      </c>
      <c r="O71" s="4">
        <f t="shared" si="8"/>
        <v>12.2</v>
      </c>
      <c r="P71" s="4">
        <f t="shared" si="9"/>
        <v>26.87</v>
      </c>
    </row>
    <row r="72" ht="15.75" customHeight="1">
      <c r="A72" s="4">
        <v>2010.0</v>
      </c>
      <c r="B72" s="4">
        <v>226.0</v>
      </c>
      <c r="C72" s="4">
        <v>20.1</v>
      </c>
      <c r="D72" s="4">
        <v>37.26</v>
      </c>
      <c r="E72" s="4">
        <f t="shared" si="1"/>
        <v>0</v>
      </c>
      <c r="F72" s="4">
        <f t="shared" si="2"/>
        <v>0</v>
      </c>
      <c r="G72" s="4">
        <f t="shared" si="3"/>
        <v>66.0408</v>
      </c>
      <c r="H72" s="4">
        <f t="shared" si="4"/>
        <v>57.6644</v>
      </c>
      <c r="I72" s="4" t="str">
        <f t="shared" si="5"/>
        <v> </v>
      </c>
      <c r="J72" s="4">
        <v>0.0</v>
      </c>
      <c r="K72" s="4">
        <v>27.44</v>
      </c>
      <c r="L72" s="4">
        <f t="shared" si="6"/>
        <v>3</v>
      </c>
      <c r="M72" s="4">
        <f t="shared" si="7"/>
        <v>1</v>
      </c>
      <c r="N72" s="4">
        <v>1.666509999999999</v>
      </c>
      <c r="O72" s="4">
        <f t="shared" si="8"/>
        <v>0</v>
      </c>
      <c r="P72" s="4">
        <f t="shared" si="9"/>
        <v>27.44</v>
      </c>
    </row>
    <row r="73" ht="15.75" customHeight="1">
      <c r="A73" s="4">
        <v>2010.0</v>
      </c>
      <c r="B73" s="4">
        <v>227.0</v>
      </c>
      <c r="C73" s="4">
        <v>19.73</v>
      </c>
      <c r="D73" s="4">
        <v>36.29</v>
      </c>
      <c r="E73" s="4">
        <f t="shared" si="1"/>
        <v>0</v>
      </c>
      <c r="F73" s="4">
        <f t="shared" si="2"/>
        <v>0</v>
      </c>
      <c r="G73" s="4">
        <f t="shared" si="3"/>
        <v>58.2433</v>
      </c>
      <c r="H73" s="4">
        <f t="shared" si="4"/>
        <v>51.37725</v>
      </c>
      <c r="I73" s="4" t="str">
        <f t="shared" si="5"/>
        <v> </v>
      </c>
      <c r="J73" s="4">
        <v>0.0</v>
      </c>
      <c r="K73" s="4">
        <v>27.34</v>
      </c>
      <c r="L73" s="4">
        <f t="shared" si="6"/>
        <v>3</v>
      </c>
      <c r="M73" s="4">
        <f t="shared" si="7"/>
        <v>1</v>
      </c>
      <c r="N73" s="4">
        <v>2.0388200000000003</v>
      </c>
      <c r="O73" s="4">
        <f t="shared" si="8"/>
        <v>0</v>
      </c>
      <c r="P73" s="4">
        <f t="shared" si="9"/>
        <v>27.34</v>
      </c>
    </row>
    <row r="74" ht="15.75" customHeight="1">
      <c r="A74" s="4">
        <v>2010.0</v>
      </c>
      <c r="B74" s="4">
        <v>228.0</v>
      </c>
      <c r="C74" s="4">
        <v>21.39</v>
      </c>
      <c r="D74" s="4">
        <v>34.54</v>
      </c>
      <c r="E74" s="4">
        <f t="shared" si="1"/>
        <v>0</v>
      </c>
      <c r="F74" s="4">
        <f t="shared" si="2"/>
        <v>0</v>
      </c>
      <c r="G74" s="4">
        <f t="shared" si="3"/>
        <v>51.9522</v>
      </c>
      <c r="H74" s="4">
        <f t="shared" si="4"/>
        <v>47.53755</v>
      </c>
      <c r="I74" s="4" t="str">
        <f t="shared" si="5"/>
        <v> </v>
      </c>
      <c r="J74" s="4">
        <v>0.0</v>
      </c>
      <c r="K74" s="4">
        <v>27.11</v>
      </c>
      <c r="L74" s="4">
        <f t="shared" si="6"/>
        <v>3</v>
      </c>
      <c r="M74" s="4">
        <f t="shared" si="7"/>
        <v>1</v>
      </c>
      <c r="N74" s="4">
        <v>6.3532100000000025</v>
      </c>
      <c r="O74" s="4">
        <f t="shared" si="8"/>
        <v>0</v>
      </c>
      <c r="P74" s="4">
        <f t="shared" si="9"/>
        <v>27.11</v>
      </c>
    </row>
    <row r="75" ht="15.75" customHeight="1">
      <c r="A75" s="4">
        <v>2010.0</v>
      </c>
      <c r="B75" s="4">
        <v>229.0</v>
      </c>
      <c r="C75" s="4">
        <v>20.92</v>
      </c>
      <c r="D75" s="4">
        <v>33.91</v>
      </c>
      <c r="E75" s="4">
        <f t="shared" si="1"/>
        <v>1</v>
      </c>
      <c r="F75" s="4">
        <f t="shared" si="2"/>
        <v>0</v>
      </c>
      <c r="G75" s="4">
        <f t="shared" si="3"/>
        <v>49.8711</v>
      </c>
      <c r="H75" s="4">
        <f t="shared" si="4"/>
        <v>45.2334</v>
      </c>
      <c r="I75" s="4" t="str">
        <f t="shared" si="5"/>
        <v> </v>
      </c>
      <c r="J75" s="4">
        <v>2.5</v>
      </c>
      <c r="K75" s="4">
        <v>26.61</v>
      </c>
      <c r="L75" s="4">
        <f t="shared" si="6"/>
        <v>8</v>
      </c>
      <c r="M75" s="4">
        <f t="shared" si="7"/>
        <v>1</v>
      </c>
      <c r="N75" s="4">
        <v>5.245640000000003</v>
      </c>
      <c r="O75" s="4">
        <f t="shared" si="8"/>
        <v>2.5</v>
      </c>
      <c r="P75" s="4">
        <f t="shared" si="9"/>
        <v>26.61</v>
      </c>
    </row>
    <row r="76" ht="15.75" customHeight="1">
      <c r="A76" s="4">
        <v>2010.0</v>
      </c>
      <c r="B76" s="4">
        <v>230.0</v>
      </c>
      <c r="C76" s="4">
        <v>20.75</v>
      </c>
      <c r="D76" s="4">
        <v>37.69</v>
      </c>
      <c r="E76" s="4">
        <f t="shared" si="1"/>
        <v>0</v>
      </c>
      <c r="F76" s="4">
        <f t="shared" si="2"/>
        <v>0</v>
      </c>
      <c r="G76" s="4">
        <f t="shared" si="3"/>
        <v>47.6709</v>
      </c>
      <c r="H76" s="4">
        <f t="shared" si="4"/>
        <v>43.34685</v>
      </c>
      <c r="I76" s="4" t="str">
        <f t="shared" si="5"/>
        <v> </v>
      </c>
      <c r="J76" s="4">
        <v>0.0</v>
      </c>
      <c r="K76" s="4">
        <v>28.97</v>
      </c>
      <c r="L76" s="4">
        <f t="shared" si="6"/>
        <v>3</v>
      </c>
      <c r="M76" s="4">
        <f t="shared" si="7"/>
        <v>1</v>
      </c>
      <c r="N76" s="4">
        <v>3.1350899999999973</v>
      </c>
      <c r="O76" s="4">
        <f t="shared" si="8"/>
        <v>0</v>
      </c>
      <c r="P76" s="4">
        <f t="shared" si="9"/>
        <v>28.97</v>
      </c>
    </row>
    <row r="77" ht="15.75" customHeight="1">
      <c r="A77" s="4">
        <v>2010.0</v>
      </c>
      <c r="B77" s="4">
        <v>231.0</v>
      </c>
      <c r="C77" s="4">
        <v>20.59</v>
      </c>
      <c r="D77" s="4">
        <v>28.04</v>
      </c>
      <c r="E77" s="4">
        <f t="shared" si="1"/>
        <v>0</v>
      </c>
      <c r="F77" s="4">
        <f t="shared" si="2"/>
        <v>0</v>
      </c>
      <c r="G77" s="4">
        <f t="shared" si="3"/>
        <v>42.6189</v>
      </c>
      <c r="H77" s="4">
        <f t="shared" si="4"/>
        <v>41.08205</v>
      </c>
      <c r="I77" s="4" t="str">
        <f t="shared" si="5"/>
        <v> </v>
      </c>
      <c r="J77" s="4">
        <v>0.0</v>
      </c>
      <c r="K77" s="4">
        <v>23.45</v>
      </c>
      <c r="L77" s="4">
        <f t="shared" si="6"/>
        <v>3</v>
      </c>
      <c r="M77" s="4">
        <f t="shared" si="7"/>
        <v>1</v>
      </c>
      <c r="N77" s="4">
        <v>4.276620000000004</v>
      </c>
      <c r="O77" s="4">
        <f t="shared" si="8"/>
        <v>0</v>
      </c>
      <c r="P77" s="4">
        <f t="shared" si="9"/>
        <v>23.45</v>
      </c>
    </row>
    <row r="78" ht="15.75" customHeight="1">
      <c r="A78" s="4">
        <v>2010.0</v>
      </c>
      <c r="B78" s="4">
        <v>232.0</v>
      </c>
      <c r="C78" s="4">
        <v>13.22</v>
      </c>
      <c r="D78" s="4">
        <v>21.73</v>
      </c>
      <c r="E78" s="4">
        <f t="shared" si="1"/>
        <v>1</v>
      </c>
      <c r="F78" s="4">
        <f t="shared" si="2"/>
        <v>0</v>
      </c>
      <c r="G78" s="4">
        <f t="shared" si="3"/>
        <v>38.9923</v>
      </c>
      <c r="H78" s="4">
        <f t="shared" si="4"/>
        <v>38.8795</v>
      </c>
      <c r="I78" s="4" t="str">
        <f t="shared" si="5"/>
        <v> </v>
      </c>
      <c r="J78" s="4">
        <v>3.7</v>
      </c>
      <c r="K78" s="4">
        <v>17.06</v>
      </c>
      <c r="L78" s="4">
        <f t="shared" si="6"/>
        <v>8</v>
      </c>
      <c r="M78" s="4">
        <f t="shared" si="7"/>
        <v>1</v>
      </c>
      <c r="N78" s="4">
        <v>4.20716</v>
      </c>
      <c r="O78" s="4">
        <f t="shared" si="8"/>
        <v>3.7</v>
      </c>
      <c r="P78" s="4">
        <f t="shared" si="9"/>
        <v>17.06</v>
      </c>
    </row>
    <row r="79" ht="15.75" customHeight="1">
      <c r="A79" s="4">
        <v>2010.0</v>
      </c>
      <c r="B79" s="4">
        <v>233.0</v>
      </c>
      <c r="C79" s="4">
        <v>10.21</v>
      </c>
      <c r="D79" s="4">
        <v>22.97</v>
      </c>
      <c r="E79" s="4">
        <f t="shared" si="1"/>
        <v>0</v>
      </c>
      <c r="F79" s="4">
        <f t="shared" si="2"/>
        <v>0</v>
      </c>
      <c r="G79" s="4">
        <f t="shared" si="3"/>
        <v>41.4419</v>
      </c>
      <c r="H79" s="4">
        <f t="shared" si="4"/>
        <v>41.4307</v>
      </c>
      <c r="I79" s="4" t="str">
        <f t="shared" si="5"/>
        <v> </v>
      </c>
      <c r="J79" s="4">
        <v>0.0</v>
      </c>
      <c r="K79" s="4">
        <v>16.49</v>
      </c>
      <c r="L79" s="4">
        <f t="shared" si="6"/>
        <v>3</v>
      </c>
      <c r="M79" s="4">
        <f t="shared" si="7"/>
        <v>1</v>
      </c>
      <c r="N79" s="4">
        <v>10.06586</v>
      </c>
      <c r="O79" s="4">
        <f t="shared" si="8"/>
        <v>0</v>
      </c>
      <c r="P79" s="4">
        <f t="shared" si="9"/>
        <v>16.49</v>
      </c>
    </row>
    <row r="80" ht="15.75" customHeight="1">
      <c r="A80" s="4">
        <v>2010.0</v>
      </c>
      <c r="B80" s="4">
        <v>234.0</v>
      </c>
      <c r="C80" s="4">
        <v>12.37</v>
      </c>
      <c r="D80" s="4">
        <v>26.15</v>
      </c>
      <c r="E80" s="4">
        <f t="shared" si="1"/>
        <v>1</v>
      </c>
      <c r="F80" s="4">
        <f t="shared" si="2"/>
        <v>1</v>
      </c>
      <c r="G80" s="4">
        <f t="shared" si="3"/>
        <v>43.2844</v>
      </c>
      <c r="H80" s="4">
        <f t="shared" si="4"/>
        <v>44.22075</v>
      </c>
      <c r="I80" s="4">
        <f t="shared" si="5"/>
        <v>0.93635</v>
      </c>
      <c r="J80" s="4">
        <v>3.0</v>
      </c>
      <c r="K80" s="4">
        <v>19.23</v>
      </c>
      <c r="L80" s="4">
        <f t="shared" si="6"/>
        <v>8</v>
      </c>
      <c r="M80" s="4">
        <f t="shared" si="7"/>
        <v>1</v>
      </c>
      <c r="N80" s="4">
        <v>7.289979999999998</v>
      </c>
      <c r="O80" s="4">
        <f t="shared" si="8"/>
        <v>3</v>
      </c>
      <c r="P80" s="4">
        <f t="shared" si="9"/>
        <v>19.23</v>
      </c>
    </row>
    <row r="81" ht="15.75" customHeight="1">
      <c r="A81" s="4">
        <v>2010.0</v>
      </c>
      <c r="B81" s="4">
        <v>235.0</v>
      </c>
      <c r="C81" s="4">
        <v>20.14</v>
      </c>
      <c r="D81" s="4">
        <v>26.77</v>
      </c>
      <c r="E81" s="4">
        <f t="shared" si="1"/>
        <v>1</v>
      </c>
      <c r="F81" s="4">
        <f t="shared" si="2"/>
        <v>1</v>
      </c>
      <c r="G81" s="4">
        <f t="shared" si="3"/>
        <v>45.4982</v>
      </c>
      <c r="H81" s="4">
        <f t="shared" si="4"/>
        <v>47.13815</v>
      </c>
      <c r="I81" s="4">
        <f t="shared" si="5"/>
        <v>1.63995</v>
      </c>
      <c r="J81" s="4">
        <v>2.8</v>
      </c>
      <c r="K81" s="4">
        <v>22.79</v>
      </c>
      <c r="L81" s="4">
        <f t="shared" si="6"/>
        <v>8</v>
      </c>
      <c r="M81" s="4">
        <f t="shared" si="7"/>
        <v>0</v>
      </c>
      <c r="N81" s="4">
        <v>-0.2818660000000015</v>
      </c>
      <c r="O81" s="4">
        <f t="shared" si="8"/>
        <v>2.8</v>
      </c>
      <c r="P81" s="4">
        <f t="shared" si="9"/>
        <v>22.79</v>
      </c>
    </row>
    <row r="82" ht="15.75" customHeight="1">
      <c r="A82" s="4">
        <v>2010.0</v>
      </c>
      <c r="B82" s="4">
        <v>236.0</v>
      </c>
      <c r="C82" s="4">
        <v>17.0</v>
      </c>
      <c r="D82" s="4">
        <v>24.28</v>
      </c>
      <c r="E82" s="4">
        <f t="shared" si="1"/>
        <v>1</v>
      </c>
      <c r="F82" s="4">
        <f t="shared" si="2"/>
        <v>1</v>
      </c>
      <c r="G82" s="4">
        <f t="shared" si="3"/>
        <v>39.1837</v>
      </c>
      <c r="H82" s="4">
        <f t="shared" si="4"/>
        <v>40.62255</v>
      </c>
      <c r="I82" s="4">
        <f t="shared" si="5"/>
        <v>1.43885</v>
      </c>
      <c r="J82" s="4">
        <v>2.7</v>
      </c>
      <c r="K82" s="4">
        <v>20.56</v>
      </c>
      <c r="L82" s="4">
        <f t="shared" si="6"/>
        <v>8</v>
      </c>
      <c r="M82" s="4">
        <f t="shared" si="7"/>
        <v>0</v>
      </c>
      <c r="N82" s="4">
        <v>-4.158830999999998</v>
      </c>
      <c r="O82" s="4">
        <f t="shared" si="8"/>
        <v>2.7</v>
      </c>
      <c r="P82" s="4">
        <f t="shared" si="9"/>
        <v>20.56</v>
      </c>
    </row>
    <row r="83" ht="15.75" customHeight="1">
      <c r="A83" s="4">
        <v>2010.0</v>
      </c>
      <c r="B83" s="4">
        <v>237.0</v>
      </c>
      <c r="C83" s="4">
        <v>18.63</v>
      </c>
      <c r="D83" s="4">
        <v>29.69</v>
      </c>
      <c r="E83" s="4">
        <f t="shared" si="1"/>
        <v>1</v>
      </c>
      <c r="F83" s="4">
        <f t="shared" si="2"/>
        <v>1</v>
      </c>
      <c r="G83" s="4">
        <f t="shared" si="3"/>
        <v>39.935</v>
      </c>
      <c r="H83" s="4">
        <f t="shared" si="4"/>
        <v>41.6321</v>
      </c>
      <c r="I83" s="4">
        <f t="shared" si="5"/>
        <v>1.6971</v>
      </c>
      <c r="J83" s="4">
        <v>10.3</v>
      </c>
      <c r="K83" s="4">
        <v>23.69</v>
      </c>
      <c r="L83" s="4">
        <f t="shared" si="6"/>
        <v>8</v>
      </c>
      <c r="M83" s="4">
        <f t="shared" si="7"/>
        <v>0</v>
      </c>
      <c r="N83" s="4">
        <v>-0.5579569999999998</v>
      </c>
      <c r="O83" s="4">
        <f t="shared" si="8"/>
        <v>10.3</v>
      </c>
      <c r="P83" s="4">
        <f t="shared" si="9"/>
        <v>23.69</v>
      </c>
    </row>
    <row r="84" ht="15.75" customHeight="1">
      <c r="A84" s="4">
        <v>2010.0</v>
      </c>
      <c r="B84" s="4">
        <v>238.0</v>
      </c>
      <c r="C84" s="4">
        <v>16.07</v>
      </c>
      <c r="D84" s="4">
        <v>23.21</v>
      </c>
      <c r="E84" s="4">
        <f t="shared" si="1"/>
        <v>1</v>
      </c>
      <c r="F84" s="4">
        <f t="shared" si="2"/>
        <v>1</v>
      </c>
      <c r="G84" s="4">
        <f t="shared" si="3"/>
        <v>31.5776</v>
      </c>
      <c r="H84" s="4">
        <f t="shared" si="4"/>
        <v>33.93555</v>
      </c>
      <c r="I84" s="4">
        <f t="shared" si="5"/>
        <v>2.35795</v>
      </c>
      <c r="J84" s="4">
        <v>0.9</v>
      </c>
      <c r="K84" s="4">
        <v>18.77</v>
      </c>
      <c r="L84" s="4">
        <f t="shared" si="6"/>
        <v>8</v>
      </c>
      <c r="M84" s="4">
        <f t="shared" si="7"/>
        <v>0</v>
      </c>
      <c r="N84" s="4">
        <v>-2.5387439999999994</v>
      </c>
      <c r="O84" s="4">
        <f t="shared" si="8"/>
        <v>0.9</v>
      </c>
      <c r="P84" s="4">
        <f t="shared" si="9"/>
        <v>18.77</v>
      </c>
    </row>
    <row r="85" ht="15.75" customHeight="1">
      <c r="A85" s="4">
        <v>2010.0</v>
      </c>
      <c r="B85" s="4">
        <v>239.0</v>
      </c>
      <c r="C85" s="4">
        <v>15.53</v>
      </c>
      <c r="D85" s="4">
        <v>23.44</v>
      </c>
      <c r="E85" s="4">
        <f t="shared" si="1"/>
        <v>1</v>
      </c>
      <c r="F85" s="4">
        <f t="shared" si="2"/>
        <v>1</v>
      </c>
      <c r="G85" s="4">
        <f t="shared" si="3"/>
        <v>30.84567</v>
      </c>
      <c r="H85" s="4">
        <f t="shared" si="4"/>
        <v>31.12185</v>
      </c>
      <c r="I85" s="4">
        <f t="shared" si="5"/>
        <v>0.27618</v>
      </c>
      <c r="J85" s="4">
        <v>1.2</v>
      </c>
      <c r="K85" s="4">
        <v>18.47</v>
      </c>
      <c r="L85" s="4">
        <f t="shared" si="6"/>
        <v>8</v>
      </c>
      <c r="M85" s="4">
        <f t="shared" si="7"/>
        <v>0</v>
      </c>
      <c r="N85" s="4">
        <v>-1.74096</v>
      </c>
      <c r="O85" s="4">
        <f t="shared" si="8"/>
        <v>1.2</v>
      </c>
      <c r="P85" s="4">
        <f t="shared" si="9"/>
        <v>18.47</v>
      </c>
    </row>
    <row r="86" ht="15.75" customHeight="1">
      <c r="A86" s="4">
        <v>2010.0</v>
      </c>
      <c r="B86" s="4">
        <v>240.0</v>
      </c>
      <c r="C86" s="4">
        <v>12.34</v>
      </c>
      <c r="D86" s="4">
        <v>18.9</v>
      </c>
      <c r="E86" s="4">
        <f t="shared" si="1"/>
        <v>1</v>
      </c>
      <c r="F86" s="4">
        <f t="shared" si="2"/>
        <v>1</v>
      </c>
      <c r="G86" s="4">
        <f t="shared" si="3"/>
        <v>24.61972</v>
      </c>
      <c r="H86" s="4">
        <f t="shared" si="4"/>
        <v>27.971305</v>
      </c>
      <c r="I86" s="4">
        <f t="shared" si="5"/>
        <v>3.351585</v>
      </c>
      <c r="J86" s="4">
        <v>12.5</v>
      </c>
      <c r="K86" s="4">
        <v>15.7</v>
      </c>
      <c r="L86" s="4">
        <f t="shared" si="6"/>
        <v>8</v>
      </c>
      <c r="M86" s="4">
        <f t="shared" si="7"/>
        <v>1</v>
      </c>
      <c r="N86" s="4">
        <v>0.8638800000000015</v>
      </c>
      <c r="O86" s="4">
        <f t="shared" si="8"/>
        <v>12.5</v>
      </c>
      <c r="P86" s="4">
        <f t="shared" si="9"/>
        <v>15.7</v>
      </c>
    </row>
    <row r="87" ht="15.75" customHeight="1">
      <c r="A87" s="4">
        <v>2010.0</v>
      </c>
      <c r="B87" s="4">
        <v>241.0</v>
      </c>
      <c r="C87" s="4">
        <v>11.63</v>
      </c>
      <c r="D87" s="4">
        <v>18.8</v>
      </c>
      <c r="E87" s="4">
        <f t="shared" si="1"/>
        <v>1</v>
      </c>
      <c r="F87" s="4">
        <f t="shared" si="2"/>
        <v>1</v>
      </c>
      <c r="G87" s="4">
        <f t="shared" si="3"/>
        <v>23.85738</v>
      </c>
      <c r="H87" s="4">
        <f t="shared" si="4"/>
        <v>25.8548</v>
      </c>
      <c r="I87" s="4">
        <f t="shared" si="5"/>
        <v>1.99742</v>
      </c>
      <c r="J87" s="4">
        <v>2.1</v>
      </c>
      <c r="K87" s="4">
        <v>15.57</v>
      </c>
      <c r="L87" s="4">
        <f t="shared" si="6"/>
        <v>8</v>
      </c>
      <c r="M87" s="4">
        <f t="shared" si="7"/>
        <v>1</v>
      </c>
      <c r="N87" s="4">
        <v>4.223419999999999</v>
      </c>
      <c r="O87" s="4">
        <f t="shared" si="8"/>
        <v>2.1</v>
      </c>
      <c r="P87" s="4">
        <f t="shared" si="9"/>
        <v>15.57</v>
      </c>
    </row>
    <row r="88" ht="15.75" customHeight="1">
      <c r="A88" s="4">
        <v>2010.0</v>
      </c>
      <c r="B88" s="4">
        <v>242.0</v>
      </c>
      <c r="C88" s="4">
        <v>10.36</v>
      </c>
      <c r="D88" s="4">
        <v>16.87</v>
      </c>
      <c r="E88" s="4">
        <f t="shared" si="1"/>
        <v>1</v>
      </c>
      <c r="J88" s="4">
        <v>0.1</v>
      </c>
      <c r="K88" s="4">
        <v>12.89</v>
      </c>
      <c r="L88" s="4">
        <f t="shared" si="6"/>
        <v>8</v>
      </c>
      <c r="O88" s="4">
        <f t="shared" si="8"/>
        <v>0.1</v>
      </c>
      <c r="P88" s="4">
        <f t="shared" si="9"/>
        <v>12.89</v>
      </c>
    </row>
    <row r="89" ht="15.75" customHeight="1">
      <c r="A89" s="4">
        <v>2010.0</v>
      </c>
      <c r="B89" s="4">
        <v>243.0</v>
      </c>
      <c r="C89" s="4">
        <v>6.337</v>
      </c>
      <c r="D89" s="4">
        <v>19.56</v>
      </c>
      <c r="E89" s="4">
        <f t="shared" si="1"/>
        <v>0</v>
      </c>
      <c r="J89" s="4">
        <v>0.0</v>
      </c>
      <c r="K89" s="4">
        <v>12.84</v>
      </c>
      <c r="L89" s="4">
        <f t="shared" si="6"/>
        <v>3</v>
      </c>
      <c r="O89" s="4">
        <f t="shared" si="8"/>
        <v>0</v>
      </c>
      <c r="P89" s="4">
        <f t="shared" si="9"/>
        <v>12.84</v>
      </c>
    </row>
    <row r="90" ht="15.75" customHeight="1">
      <c r="B90" s="4">
        <v>241.0</v>
      </c>
      <c r="C90" s="4">
        <v>11.63</v>
      </c>
      <c r="D90" s="4">
        <v>18.8</v>
      </c>
      <c r="E90" s="4">
        <v>1.0</v>
      </c>
      <c r="J90" s="4">
        <v>2.1</v>
      </c>
      <c r="K90" s="4">
        <v>15.57</v>
      </c>
      <c r="L90" s="4">
        <f t="shared" si="6"/>
        <v>8</v>
      </c>
      <c r="O90" s="4">
        <f t="shared" si="8"/>
        <v>2.1</v>
      </c>
      <c r="P90" s="4">
        <f t="shared" si="9"/>
        <v>15.57</v>
      </c>
    </row>
    <row r="91" ht="15.75" customHeight="1">
      <c r="B91" s="4">
        <v>242.0</v>
      </c>
      <c r="C91" s="4">
        <v>10.36</v>
      </c>
      <c r="D91" s="4">
        <v>16.87</v>
      </c>
      <c r="E91" s="4">
        <v>1.0</v>
      </c>
      <c r="J91" s="4">
        <v>0.1</v>
      </c>
      <c r="K91" s="4">
        <v>12.89</v>
      </c>
      <c r="L91" s="4">
        <f t="shared" si="6"/>
        <v>8</v>
      </c>
      <c r="O91" s="4">
        <f t="shared" si="8"/>
        <v>0.1</v>
      </c>
      <c r="P91" s="4">
        <f t="shared" si="9"/>
        <v>12.89</v>
      </c>
    </row>
    <row r="92" ht="15.75" customHeight="1">
      <c r="B92" s="4">
        <v>243.0</v>
      </c>
      <c r="C92" s="4">
        <v>6.337</v>
      </c>
      <c r="D92" s="4">
        <v>19.56</v>
      </c>
      <c r="E92" s="4">
        <v>0.0</v>
      </c>
      <c r="J92" s="4">
        <v>0.0</v>
      </c>
      <c r="K92" s="4">
        <v>12.84</v>
      </c>
      <c r="L92" s="4">
        <f t="shared" si="6"/>
        <v>3</v>
      </c>
      <c r="O92" s="4">
        <f t="shared" si="8"/>
        <v>0</v>
      </c>
      <c r="P92" s="4">
        <f t="shared" si="9"/>
        <v>12.84</v>
      </c>
    </row>
    <row r="93" ht="15.75" customHeight="1">
      <c r="O93" s="4">
        <f t="shared" si="8"/>
        <v>0</v>
      </c>
      <c r="P93" s="4">
        <f t="shared" si="9"/>
        <v>0</v>
      </c>
    </row>
    <row r="94" ht="15.75" customHeight="1"/>
    <row r="95" ht="15.75" customHeight="1"/>
    <row r="96" ht="15.75" customHeight="1">
      <c r="O96" s="4">
        <f>SUM(O2:O93)</f>
        <v>125.7</v>
      </c>
      <c r="P96" s="4">
        <f>SUMIF(P2:P93,"&gt;0")/10</f>
        <v>228.159</v>
      </c>
    </row>
    <row r="97" ht="15.75" customHeight="1"/>
    <row r="98" ht="15.75" customHeight="1">
      <c r="I98" s="4">
        <f>SUM(I2:I87)</f>
        <v>24.721285</v>
      </c>
      <c r="O98" s="4" t="s">
        <v>15</v>
      </c>
      <c r="P98" s="4">
        <f>O96/P96</f>
        <v>0.5509315872</v>
      </c>
    </row>
    <row r="99" ht="15.75" customHeight="1">
      <c r="I99" s="4">
        <f>SUM(I2:I31)</f>
        <v>11.0259</v>
      </c>
      <c r="O99" s="4" t="s">
        <v>16</v>
      </c>
      <c r="P99" s="4">
        <f>SUM(O2:O31)/(SUM(P2:P31)/10)</f>
        <v>0.8188003555</v>
      </c>
    </row>
    <row r="100" ht="15.75" customHeight="1">
      <c r="I100" s="4">
        <f>SUM(I32:I62)</f>
        <v>0</v>
      </c>
      <c r="O100" s="4" t="s">
        <v>17</v>
      </c>
      <c r="P100" s="4">
        <f>SUM(O33:O62)/(SUM(P33:P62)/10)</f>
        <v>0.1257704859</v>
      </c>
    </row>
    <row r="101" ht="15.75" customHeight="1">
      <c r="I101" s="4">
        <f>SUM(I63:I93)</f>
        <v>13.695385</v>
      </c>
      <c r="O101" s="4" t="s">
        <v>18</v>
      </c>
      <c r="P101" s="4">
        <f>SUM(O63:O93)/(SUM(P63:P93)/10)</f>
        <v>0.8475314196</v>
      </c>
    </row>
    <row r="102" ht="15.75" customHeight="1">
      <c r="I102" s="4">
        <f>SUMIF(I2:I87,"&gt;0")</f>
        <v>24.721285</v>
      </c>
    </row>
    <row r="103" ht="15.75" customHeight="1">
      <c r="I103" s="4">
        <f>SUMIF(I2:I31,"&gt;0")</f>
        <v>11.0259</v>
      </c>
    </row>
    <row r="104" ht="15.75" customHeight="1">
      <c r="I104" s="4">
        <f>SUMIF(I32:I62,"&gt;0")</f>
        <v>0</v>
      </c>
      <c r="P104" s="4">
        <f>SUM(O16:O35)/(SUM(P16:P35)/10)</f>
        <v>0.3522294049</v>
      </c>
    </row>
    <row r="105" ht="15.75" customHeight="1">
      <c r="I105" s="4">
        <f>SUMIF(I63:I87,"&gt;0")</f>
        <v>13.695385</v>
      </c>
      <c r="P105" s="4">
        <f>SUM(O36:O55)/(SUM(P36:P55)/10)</f>
        <v>0.136609689</v>
      </c>
    </row>
    <row r="106" ht="15.75" customHeight="1">
      <c r="P106" s="4">
        <f>SUM(O56:O77)/(SUM(P56:P77)/10)</f>
        <v>0.2908712359</v>
      </c>
    </row>
    <row r="107" ht="15.75" customHeight="1">
      <c r="P107" s="4">
        <f>SUM(O16:O77)/(SUM(P16:P77)/10)</f>
        <v>0.2555969932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2011.0</v>
      </c>
      <c r="B2" s="4">
        <v>152.0</v>
      </c>
      <c r="C2" s="4">
        <v>9.43</v>
      </c>
      <c r="D2" s="4">
        <v>29.14</v>
      </c>
      <c r="E2" s="4">
        <f t="shared" ref="E2:E85" si="1">IF(J2&gt;0,1,0)</f>
        <v>0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37.0367</v>
      </c>
      <c r="H2" s="4">
        <f t="shared" ref="H2:H87" si="4">0.63 * D2 + 0.37 * D3 + 0.49 * D4 + 0.22 * D5 + 0.65 * D6 + 0.24 *C2 - 0.06 * C3- 0.15 * C4 - 0.135 * C5 + 0.15 * C6 + 4.88 * E2 + 3.55 * E3 + 3.34 *E4 + 2.5 * E5 + 2.29 *E6-31.34</f>
        <v>30.82205</v>
      </c>
      <c r="I2" s="4" t="str">
        <f t="shared" ref="I2:I87" si="5">IF((H2-G2)&gt;0,H2-G2," ")</f>
        <v> </v>
      </c>
      <c r="J2" s="4">
        <v>0.0</v>
      </c>
      <c r="K2" s="4">
        <v>19.92</v>
      </c>
      <c r="L2" s="4">
        <f t="shared" ref="L2:L93" si="6">IF(E2&gt;0,8,3)</f>
        <v>3</v>
      </c>
      <c r="M2" s="4">
        <f t="shared" ref="M2:M87" si="7">IF(N2&gt;=0,1,0)</f>
        <v>0</v>
      </c>
      <c r="N2" s="4">
        <f t="shared" ref="N2:N87" si="8">-0.216*D2-0.191*D3-0.119*D4+0.004*C2-0.171*C3+0.628*C4-0.479*L2+0.513*L3+0.046*L4+5.947*E2+6.699*E3+4.328*E4-1.788</f>
        <v>-9.78787</v>
      </c>
      <c r="O2" s="4">
        <f t="shared" ref="O2:O93" si="9">IF(K2&gt;10,J2,0)</f>
        <v>0</v>
      </c>
      <c r="P2" s="4">
        <f t="shared" ref="P2:P93" si="10">IF(K2&gt;10,K2,0)</f>
        <v>19.92</v>
      </c>
    </row>
    <row r="3">
      <c r="A3" s="4">
        <v>2011.0</v>
      </c>
      <c r="B3" s="4">
        <v>153.0</v>
      </c>
      <c r="C3" s="4">
        <v>10.37</v>
      </c>
      <c r="D3" s="4">
        <v>30.36</v>
      </c>
      <c r="E3" s="4">
        <f t="shared" si="1"/>
        <v>0</v>
      </c>
      <c r="F3" s="4">
        <f t="shared" si="2"/>
        <v>0</v>
      </c>
      <c r="G3" s="4">
        <f t="shared" si="3"/>
        <v>34.4865</v>
      </c>
      <c r="H3" s="4">
        <f t="shared" si="4"/>
        <v>28.5276</v>
      </c>
      <c r="I3" s="4" t="str">
        <f t="shared" si="5"/>
        <v> </v>
      </c>
      <c r="J3" s="4">
        <v>0.0</v>
      </c>
      <c r="K3" s="4">
        <v>21.37</v>
      </c>
      <c r="L3" s="4">
        <f t="shared" si="6"/>
        <v>3</v>
      </c>
      <c r="M3" s="4">
        <f t="shared" si="7"/>
        <v>0</v>
      </c>
      <c r="N3" s="4">
        <f t="shared" si="8"/>
        <v>-10.5261</v>
      </c>
      <c r="O3" s="4">
        <f t="shared" si="9"/>
        <v>0</v>
      </c>
      <c r="P3" s="4">
        <f t="shared" si="10"/>
        <v>21.37</v>
      </c>
    </row>
    <row r="4">
      <c r="A4" s="4">
        <v>2011.0</v>
      </c>
      <c r="B4" s="4">
        <v>154.0</v>
      </c>
      <c r="C4" s="4">
        <v>13.5</v>
      </c>
      <c r="D4" s="4">
        <v>24.28</v>
      </c>
      <c r="E4" s="4">
        <f t="shared" si="1"/>
        <v>0</v>
      </c>
      <c r="F4" s="4">
        <f t="shared" si="2"/>
        <v>0</v>
      </c>
      <c r="G4" s="4">
        <f t="shared" si="3"/>
        <v>30.52026</v>
      </c>
      <c r="H4" s="4">
        <f t="shared" si="4"/>
        <v>24.865</v>
      </c>
      <c r="I4" s="4" t="str">
        <f t="shared" si="5"/>
        <v> </v>
      </c>
      <c r="J4" s="4">
        <v>0.0</v>
      </c>
      <c r="K4" s="4">
        <v>19.95</v>
      </c>
      <c r="L4" s="4">
        <f t="shared" si="6"/>
        <v>3</v>
      </c>
      <c r="M4" s="4">
        <f t="shared" si="7"/>
        <v>0</v>
      </c>
      <c r="N4" s="4">
        <f t="shared" si="8"/>
        <v>-10.00044</v>
      </c>
      <c r="O4" s="4">
        <f t="shared" si="9"/>
        <v>0</v>
      </c>
      <c r="P4" s="4">
        <f t="shared" si="10"/>
        <v>19.95</v>
      </c>
    </row>
    <row r="5">
      <c r="A5" s="4">
        <v>2011.0</v>
      </c>
      <c r="B5" s="4">
        <v>155.0</v>
      </c>
      <c r="C5" s="4">
        <v>11.15</v>
      </c>
      <c r="D5" s="4">
        <v>21.16</v>
      </c>
      <c r="E5" s="4">
        <f t="shared" si="1"/>
        <v>0</v>
      </c>
      <c r="F5" s="4">
        <f t="shared" si="2"/>
        <v>0</v>
      </c>
      <c r="G5" s="4">
        <f t="shared" si="3"/>
        <v>29.22266</v>
      </c>
      <c r="H5" s="4">
        <f t="shared" si="4"/>
        <v>24.93469</v>
      </c>
      <c r="I5" s="4" t="str">
        <f t="shared" si="5"/>
        <v> </v>
      </c>
      <c r="J5" s="4">
        <v>0.0</v>
      </c>
      <c r="K5" s="4">
        <v>16.09</v>
      </c>
      <c r="L5" s="4">
        <f t="shared" si="6"/>
        <v>3</v>
      </c>
      <c r="M5" s="4">
        <f t="shared" si="7"/>
        <v>0</v>
      </c>
      <c r="N5" s="4">
        <f t="shared" si="8"/>
        <v>-9.03779</v>
      </c>
      <c r="O5" s="4">
        <f t="shared" si="9"/>
        <v>0</v>
      </c>
      <c r="P5" s="4">
        <f t="shared" si="10"/>
        <v>16.09</v>
      </c>
    </row>
    <row r="6">
      <c r="A6" s="4">
        <v>2011.0</v>
      </c>
      <c r="B6" s="4">
        <v>156.0</v>
      </c>
      <c r="C6" s="4">
        <v>9.1</v>
      </c>
      <c r="D6" s="4">
        <v>25.45</v>
      </c>
      <c r="E6" s="4">
        <f t="shared" si="1"/>
        <v>0</v>
      </c>
      <c r="F6" s="4">
        <f t="shared" si="2"/>
        <v>0</v>
      </c>
      <c r="G6" s="4">
        <f t="shared" si="3"/>
        <v>33.72124</v>
      </c>
      <c r="H6" s="4">
        <f t="shared" si="4"/>
        <v>30.63035</v>
      </c>
      <c r="I6" s="4" t="str">
        <f t="shared" si="5"/>
        <v> </v>
      </c>
      <c r="J6" s="4">
        <v>0.0</v>
      </c>
      <c r="K6" s="4">
        <v>18.23</v>
      </c>
      <c r="L6" s="4">
        <f t="shared" si="6"/>
        <v>3</v>
      </c>
      <c r="M6" s="4">
        <f t="shared" si="7"/>
        <v>0</v>
      </c>
      <c r="N6" s="4">
        <f t="shared" si="8"/>
        <v>-12.692902</v>
      </c>
      <c r="O6" s="4">
        <f t="shared" si="9"/>
        <v>0</v>
      </c>
      <c r="P6" s="4">
        <f t="shared" si="10"/>
        <v>18.23</v>
      </c>
    </row>
    <row r="7">
      <c r="A7" s="4">
        <v>2011.0</v>
      </c>
      <c r="B7" s="4">
        <v>157.0</v>
      </c>
      <c r="C7" s="4">
        <v>10.02</v>
      </c>
      <c r="D7" s="4">
        <v>23.86</v>
      </c>
      <c r="E7" s="4">
        <f t="shared" si="1"/>
        <v>0</v>
      </c>
      <c r="F7" s="4">
        <f t="shared" si="2"/>
        <v>0</v>
      </c>
      <c r="G7" s="4">
        <f t="shared" si="3"/>
        <v>35.46418</v>
      </c>
      <c r="H7" s="4">
        <f t="shared" si="4"/>
        <v>32.83564</v>
      </c>
      <c r="I7" s="4" t="str">
        <f t="shared" si="5"/>
        <v> </v>
      </c>
      <c r="J7" s="4">
        <v>0.0</v>
      </c>
      <c r="K7" s="4">
        <v>17.7</v>
      </c>
      <c r="L7" s="4">
        <f t="shared" si="6"/>
        <v>3</v>
      </c>
      <c r="M7" s="4">
        <f t="shared" si="7"/>
        <v>0</v>
      </c>
      <c r="N7" s="4">
        <f t="shared" si="8"/>
        <v>-10.071836</v>
      </c>
      <c r="O7" s="4">
        <f t="shared" si="9"/>
        <v>0</v>
      </c>
      <c r="P7" s="4">
        <f t="shared" si="10"/>
        <v>17.7</v>
      </c>
    </row>
    <row r="8">
      <c r="A8" s="4">
        <v>2011.0</v>
      </c>
      <c r="B8" s="4">
        <v>158.0</v>
      </c>
      <c r="C8" s="4">
        <v>5.226</v>
      </c>
      <c r="D8" s="4">
        <v>22.65</v>
      </c>
      <c r="E8" s="4">
        <f t="shared" si="1"/>
        <v>0</v>
      </c>
      <c r="F8" s="4">
        <f t="shared" si="2"/>
        <v>0</v>
      </c>
      <c r="G8" s="4">
        <f t="shared" si="3"/>
        <v>36.6776</v>
      </c>
      <c r="H8" s="4">
        <f t="shared" si="4"/>
        <v>33.09689</v>
      </c>
      <c r="I8" s="4" t="str">
        <f t="shared" si="5"/>
        <v> </v>
      </c>
      <c r="J8" s="4">
        <v>0.0</v>
      </c>
      <c r="K8" s="4">
        <v>15.42</v>
      </c>
      <c r="L8" s="4">
        <f t="shared" si="6"/>
        <v>3</v>
      </c>
      <c r="M8" s="4">
        <f t="shared" si="7"/>
        <v>0</v>
      </c>
      <c r="N8" s="4">
        <f t="shared" si="8"/>
        <v>-3.612206</v>
      </c>
      <c r="O8" s="4">
        <f t="shared" si="9"/>
        <v>0</v>
      </c>
      <c r="P8" s="4">
        <f t="shared" si="10"/>
        <v>15.42</v>
      </c>
    </row>
    <row r="9">
      <c r="A9" s="4">
        <v>2011.0</v>
      </c>
      <c r="B9" s="4">
        <v>159.0</v>
      </c>
      <c r="C9" s="4">
        <v>7.49</v>
      </c>
      <c r="D9" s="4">
        <v>24.32</v>
      </c>
      <c r="E9" s="4">
        <f t="shared" si="1"/>
        <v>0</v>
      </c>
      <c r="F9" s="4">
        <f t="shared" si="2"/>
        <v>0</v>
      </c>
      <c r="G9" s="4">
        <f t="shared" si="3"/>
        <v>36.8036</v>
      </c>
      <c r="H9" s="4">
        <f t="shared" si="4"/>
        <v>34.78385</v>
      </c>
      <c r="I9" s="4" t="str">
        <f t="shared" si="5"/>
        <v> </v>
      </c>
      <c r="J9" s="4">
        <v>0.0</v>
      </c>
      <c r="K9" s="4">
        <v>16.72</v>
      </c>
      <c r="L9" s="4">
        <f t="shared" si="6"/>
        <v>3</v>
      </c>
      <c r="M9" s="4">
        <f t="shared" si="7"/>
        <v>1</v>
      </c>
      <c r="N9" s="4">
        <f t="shared" si="8"/>
        <v>5.79829</v>
      </c>
      <c r="O9" s="4">
        <f t="shared" si="9"/>
        <v>0</v>
      </c>
      <c r="P9" s="4">
        <f t="shared" si="10"/>
        <v>16.72</v>
      </c>
    </row>
    <row r="10">
      <c r="A10" s="4">
        <v>2011.0</v>
      </c>
      <c r="B10" s="4">
        <v>160.0</v>
      </c>
      <c r="C10" s="4">
        <v>11.56</v>
      </c>
      <c r="D10" s="4">
        <v>25.92</v>
      </c>
      <c r="E10" s="4">
        <f t="shared" si="1"/>
        <v>1</v>
      </c>
      <c r="F10" s="4">
        <f t="shared" si="2"/>
        <v>0</v>
      </c>
      <c r="G10" s="4">
        <f t="shared" si="3"/>
        <v>41.3591</v>
      </c>
      <c r="H10" s="4">
        <f t="shared" si="4"/>
        <v>38.9377</v>
      </c>
      <c r="I10" s="4" t="str">
        <f t="shared" si="5"/>
        <v> </v>
      </c>
      <c r="J10" s="4">
        <v>4.3</v>
      </c>
      <c r="K10" s="4">
        <v>17.62</v>
      </c>
      <c r="L10" s="4">
        <f t="shared" si="6"/>
        <v>8</v>
      </c>
      <c r="M10" s="4">
        <f t="shared" si="7"/>
        <v>1</v>
      </c>
      <c r="N10" s="4">
        <f t="shared" si="8"/>
        <v>1.73179</v>
      </c>
      <c r="O10" s="4">
        <f t="shared" si="9"/>
        <v>4.3</v>
      </c>
      <c r="P10" s="4">
        <f t="shared" si="10"/>
        <v>17.62</v>
      </c>
    </row>
    <row r="11">
      <c r="A11" s="4">
        <v>2011.0</v>
      </c>
      <c r="B11" s="4">
        <v>161.0</v>
      </c>
      <c r="C11" s="4">
        <v>13.95</v>
      </c>
      <c r="D11" s="4">
        <v>25.93</v>
      </c>
      <c r="E11" s="4">
        <f t="shared" si="1"/>
        <v>1</v>
      </c>
      <c r="F11" s="4">
        <f t="shared" si="2"/>
        <v>0</v>
      </c>
      <c r="G11" s="4">
        <f t="shared" si="3"/>
        <v>37.6858</v>
      </c>
      <c r="H11" s="4">
        <f t="shared" si="4"/>
        <v>36.67995</v>
      </c>
      <c r="I11" s="4" t="str">
        <f t="shared" si="5"/>
        <v> </v>
      </c>
      <c r="J11" s="4">
        <v>3.6</v>
      </c>
      <c r="K11" s="4">
        <v>19.04</v>
      </c>
      <c r="L11" s="4">
        <f t="shared" si="6"/>
        <v>8</v>
      </c>
      <c r="M11" s="4">
        <f t="shared" si="7"/>
        <v>0</v>
      </c>
      <c r="N11" s="4">
        <f t="shared" si="8"/>
        <v>-6.04863</v>
      </c>
      <c r="O11" s="4">
        <f t="shared" si="9"/>
        <v>3.6</v>
      </c>
      <c r="P11" s="4">
        <f t="shared" si="10"/>
        <v>19.04</v>
      </c>
    </row>
    <row r="12">
      <c r="A12" s="4">
        <v>2011.0</v>
      </c>
      <c r="B12" s="4">
        <v>162.0</v>
      </c>
      <c r="C12" s="4">
        <v>10.63</v>
      </c>
      <c r="D12" s="4">
        <v>27.91</v>
      </c>
      <c r="E12" s="4">
        <f t="shared" si="1"/>
        <v>0</v>
      </c>
      <c r="F12" s="4">
        <f t="shared" si="2"/>
        <v>0</v>
      </c>
      <c r="G12" s="4">
        <f t="shared" si="3"/>
        <v>35.8525</v>
      </c>
      <c r="H12" s="4">
        <f t="shared" si="4"/>
        <v>32.69965</v>
      </c>
      <c r="I12" s="4" t="str">
        <f t="shared" si="5"/>
        <v> </v>
      </c>
      <c r="J12" s="4">
        <v>0.0</v>
      </c>
      <c r="K12" s="4">
        <v>19.62</v>
      </c>
      <c r="L12" s="4">
        <f t="shared" si="6"/>
        <v>3</v>
      </c>
      <c r="M12" s="4">
        <f t="shared" si="7"/>
        <v>0</v>
      </c>
      <c r="N12" s="4">
        <f t="shared" si="8"/>
        <v>-12.17902</v>
      </c>
      <c r="O12" s="4">
        <f t="shared" si="9"/>
        <v>0</v>
      </c>
      <c r="P12" s="4">
        <f t="shared" si="10"/>
        <v>19.62</v>
      </c>
    </row>
    <row r="13">
      <c r="A13" s="4">
        <v>2011.0</v>
      </c>
      <c r="B13" s="4">
        <v>163.0</v>
      </c>
      <c r="C13" s="4">
        <v>12.08</v>
      </c>
      <c r="D13" s="4">
        <v>24.75</v>
      </c>
      <c r="E13" s="4">
        <f t="shared" si="1"/>
        <v>0</v>
      </c>
      <c r="F13" s="4">
        <f t="shared" si="2"/>
        <v>0</v>
      </c>
      <c r="G13" s="4">
        <f t="shared" si="3"/>
        <v>34.6082</v>
      </c>
      <c r="H13" s="4">
        <f t="shared" si="4"/>
        <v>33.30785</v>
      </c>
      <c r="I13" s="4" t="str">
        <f t="shared" si="5"/>
        <v> </v>
      </c>
      <c r="J13" s="4">
        <v>0.0</v>
      </c>
      <c r="K13" s="4">
        <v>18.92</v>
      </c>
      <c r="L13" s="4">
        <f t="shared" si="6"/>
        <v>3</v>
      </c>
      <c r="M13" s="4">
        <f t="shared" si="7"/>
        <v>0</v>
      </c>
      <c r="N13" s="4">
        <f t="shared" si="8"/>
        <v>-2.81593</v>
      </c>
      <c r="O13" s="4">
        <f t="shared" si="9"/>
        <v>0</v>
      </c>
      <c r="P13" s="4">
        <f t="shared" si="10"/>
        <v>18.92</v>
      </c>
    </row>
    <row r="14">
      <c r="A14" s="4">
        <v>2011.0</v>
      </c>
      <c r="B14" s="4">
        <v>164.0</v>
      </c>
      <c r="C14" s="4">
        <v>8.33</v>
      </c>
      <c r="D14" s="4">
        <v>25.91</v>
      </c>
      <c r="E14" s="4">
        <f t="shared" si="1"/>
        <v>0</v>
      </c>
      <c r="F14" s="4">
        <f t="shared" si="2"/>
        <v>0</v>
      </c>
      <c r="G14" s="4">
        <f t="shared" si="3"/>
        <v>34.2017</v>
      </c>
      <c r="H14" s="4">
        <f t="shared" si="4"/>
        <v>33.8323</v>
      </c>
      <c r="I14" s="4" t="str">
        <f t="shared" si="5"/>
        <v> </v>
      </c>
      <c r="J14" s="4">
        <v>0.0</v>
      </c>
      <c r="K14" s="4">
        <v>18.43</v>
      </c>
      <c r="L14" s="4">
        <f t="shared" si="6"/>
        <v>3</v>
      </c>
      <c r="M14" s="4">
        <f t="shared" si="7"/>
        <v>1</v>
      </c>
      <c r="N14" s="4">
        <f t="shared" si="8"/>
        <v>5.08698</v>
      </c>
      <c r="O14" s="4">
        <f t="shared" si="9"/>
        <v>0</v>
      </c>
      <c r="P14" s="4">
        <f t="shared" si="10"/>
        <v>18.43</v>
      </c>
    </row>
    <row r="15">
      <c r="A15" s="4">
        <v>2011.0</v>
      </c>
      <c r="B15" s="4">
        <v>165.0</v>
      </c>
      <c r="C15" s="4">
        <v>13.55</v>
      </c>
      <c r="D15" s="4">
        <v>22.39</v>
      </c>
      <c r="E15" s="4">
        <f t="shared" si="1"/>
        <v>1</v>
      </c>
      <c r="F15" s="4">
        <f t="shared" si="2"/>
        <v>1</v>
      </c>
      <c r="G15" s="4">
        <f t="shared" si="3"/>
        <v>36.4743</v>
      </c>
      <c r="H15" s="4">
        <f t="shared" si="4"/>
        <v>36.9883</v>
      </c>
      <c r="I15" s="4">
        <f t="shared" si="5"/>
        <v>0.514</v>
      </c>
      <c r="J15" s="4">
        <v>8.7</v>
      </c>
      <c r="K15" s="4">
        <v>16.36</v>
      </c>
      <c r="L15" s="4">
        <f t="shared" si="6"/>
        <v>8</v>
      </c>
      <c r="M15" s="4">
        <f t="shared" si="7"/>
        <v>1</v>
      </c>
      <c r="N15" s="4">
        <f t="shared" si="8"/>
        <v>10.84441</v>
      </c>
      <c r="O15" s="4">
        <f t="shared" si="9"/>
        <v>8.7</v>
      </c>
      <c r="P15" s="4">
        <f t="shared" si="10"/>
        <v>16.36</v>
      </c>
    </row>
    <row r="16">
      <c r="A16" s="4">
        <v>2011.0</v>
      </c>
      <c r="B16" s="4">
        <v>166.0</v>
      </c>
      <c r="C16" s="4">
        <v>12.09</v>
      </c>
      <c r="D16" s="4">
        <v>22.04</v>
      </c>
      <c r="E16" s="4">
        <f t="shared" si="1"/>
        <v>1</v>
      </c>
      <c r="F16" s="4">
        <f t="shared" si="2"/>
        <v>1</v>
      </c>
      <c r="G16" s="4">
        <f t="shared" si="3"/>
        <v>35.6161</v>
      </c>
      <c r="H16" s="4">
        <f t="shared" si="4"/>
        <v>37.65105</v>
      </c>
      <c r="I16" s="4">
        <f t="shared" si="5"/>
        <v>2.03495</v>
      </c>
      <c r="J16" s="4">
        <v>1.9</v>
      </c>
      <c r="K16" s="4">
        <v>16.37</v>
      </c>
      <c r="L16" s="4">
        <f t="shared" si="6"/>
        <v>8</v>
      </c>
      <c r="M16" s="4">
        <f t="shared" si="7"/>
        <v>1</v>
      </c>
      <c r="N16" s="4">
        <f t="shared" si="8"/>
        <v>8.07778</v>
      </c>
      <c r="O16" s="4">
        <f t="shared" si="9"/>
        <v>1.9</v>
      </c>
      <c r="P16" s="4">
        <f t="shared" si="10"/>
        <v>16.37</v>
      </c>
    </row>
    <row r="17">
      <c r="A17" s="4">
        <v>2011.0</v>
      </c>
      <c r="B17" s="4">
        <v>167.0</v>
      </c>
      <c r="C17" s="4">
        <v>13.96</v>
      </c>
      <c r="D17" s="4">
        <v>22.6</v>
      </c>
      <c r="E17" s="4">
        <f t="shared" si="1"/>
        <v>1</v>
      </c>
      <c r="F17" s="4">
        <f t="shared" si="2"/>
        <v>1</v>
      </c>
      <c r="G17" s="4">
        <f t="shared" si="3"/>
        <v>39.4908</v>
      </c>
      <c r="H17" s="4">
        <f t="shared" si="4"/>
        <v>40.2336</v>
      </c>
      <c r="I17" s="4">
        <f t="shared" si="5"/>
        <v>0.7428</v>
      </c>
      <c r="J17" s="4">
        <v>0.2</v>
      </c>
      <c r="K17" s="4">
        <v>17.83</v>
      </c>
      <c r="L17" s="4">
        <f t="shared" si="6"/>
        <v>8</v>
      </c>
      <c r="M17" s="4">
        <f t="shared" si="7"/>
        <v>1</v>
      </c>
      <c r="N17" s="4">
        <f t="shared" si="8"/>
        <v>3.28907</v>
      </c>
      <c r="O17" s="4">
        <f t="shared" si="9"/>
        <v>0.2</v>
      </c>
      <c r="P17" s="4">
        <f t="shared" si="10"/>
        <v>17.83</v>
      </c>
    </row>
    <row r="18">
      <c r="A18" s="4">
        <v>2011.0</v>
      </c>
      <c r="B18" s="4">
        <v>168.0</v>
      </c>
      <c r="C18" s="4">
        <v>9.96</v>
      </c>
      <c r="D18" s="4">
        <v>21.74</v>
      </c>
      <c r="E18" s="4">
        <f t="shared" si="1"/>
        <v>1</v>
      </c>
      <c r="F18" s="4">
        <f t="shared" si="2"/>
        <v>1</v>
      </c>
      <c r="G18" s="4">
        <f t="shared" si="3"/>
        <v>36.2546</v>
      </c>
      <c r="H18" s="4">
        <f t="shared" si="4"/>
        <v>36.5546</v>
      </c>
      <c r="I18" s="4">
        <f t="shared" si="5"/>
        <v>0.3</v>
      </c>
      <c r="J18" s="4">
        <v>0.3</v>
      </c>
      <c r="K18" s="4">
        <v>15.4</v>
      </c>
      <c r="L18" s="4">
        <f t="shared" si="6"/>
        <v>8</v>
      </c>
      <c r="M18" s="4">
        <f t="shared" si="7"/>
        <v>1</v>
      </c>
      <c r="N18" s="4">
        <f t="shared" si="8"/>
        <v>0.13337</v>
      </c>
      <c r="O18" s="4">
        <f t="shared" si="9"/>
        <v>0.3</v>
      </c>
      <c r="P18" s="4">
        <f t="shared" si="10"/>
        <v>15.4</v>
      </c>
    </row>
    <row r="19">
      <c r="A19" s="4">
        <v>2011.0</v>
      </c>
      <c r="B19" s="4">
        <v>169.0</v>
      </c>
      <c r="C19" s="4">
        <v>8.83</v>
      </c>
      <c r="D19" s="4">
        <v>23.89</v>
      </c>
      <c r="E19" s="4">
        <f t="shared" si="1"/>
        <v>0</v>
      </c>
      <c r="F19" s="4">
        <f t="shared" si="2"/>
        <v>1</v>
      </c>
      <c r="G19" s="4">
        <f t="shared" si="3"/>
        <v>36.3161</v>
      </c>
      <c r="H19" s="4">
        <f t="shared" si="4"/>
        <v>37.3349</v>
      </c>
      <c r="I19" s="4">
        <f t="shared" si="5"/>
        <v>1.0188</v>
      </c>
      <c r="J19" s="4">
        <v>0.0</v>
      </c>
      <c r="K19" s="4">
        <v>16.46</v>
      </c>
      <c r="L19" s="4">
        <f t="shared" si="6"/>
        <v>3</v>
      </c>
      <c r="M19" s="4">
        <f t="shared" si="7"/>
        <v>1</v>
      </c>
      <c r="N19" s="4">
        <f t="shared" si="8"/>
        <v>5.15304</v>
      </c>
      <c r="O19" s="4">
        <f t="shared" si="9"/>
        <v>0</v>
      </c>
      <c r="P19" s="4">
        <f t="shared" si="10"/>
        <v>16.46</v>
      </c>
    </row>
    <row r="20">
      <c r="A20" s="4">
        <v>2011.0</v>
      </c>
      <c r="B20" s="4">
        <v>170.0</v>
      </c>
      <c r="C20" s="4">
        <v>11.42</v>
      </c>
      <c r="D20" s="4">
        <v>24.13</v>
      </c>
      <c r="E20" s="4">
        <f t="shared" si="1"/>
        <v>1</v>
      </c>
      <c r="F20" s="4">
        <f t="shared" si="2"/>
        <v>1</v>
      </c>
      <c r="G20" s="4">
        <f t="shared" si="3"/>
        <v>41.8215</v>
      </c>
      <c r="H20" s="4">
        <f t="shared" si="4"/>
        <v>44.1588</v>
      </c>
      <c r="I20" s="4">
        <f t="shared" si="5"/>
        <v>2.3373</v>
      </c>
      <c r="J20" s="4">
        <v>0.9</v>
      </c>
      <c r="K20" s="4">
        <v>17.04</v>
      </c>
      <c r="L20" s="4">
        <f t="shared" si="6"/>
        <v>8</v>
      </c>
      <c r="M20" s="4">
        <f t="shared" si="7"/>
        <v>1</v>
      </c>
      <c r="N20" s="4">
        <f t="shared" si="8"/>
        <v>5.98057</v>
      </c>
      <c r="O20" s="4">
        <f t="shared" si="9"/>
        <v>0.9</v>
      </c>
      <c r="P20" s="4">
        <f t="shared" si="10"/>
        <v>17.04</v>
      </c>
    </row>
    <row r="21" ht="15.75" customHeight="1">
      <c r="A21" s="4">
        <v>2011.0</v>
      </c>
      <c r="B21" s="4">
        <v>171.0</v>
      </c>
      <c r="C21" s="4">
        <v>12.32</v>
      </c>
      <c r="D21" s="4">
        <v>26.65</v>
      </c>
      <c r="E21" s="4">
        <f t="shared" si="1"/>
        <v>1</v>
      </c>
      <c r="F21" s="4">
        <f t="shared" si="2"/>
        <v>1</v>
      </c>
      <c r="G21" s="4">
        <f t="shared" si="3"/>
        <v>43.7772</v>
      </c>
      <c r="H21" s="4">
        <f t="shared" si="4"/>
        <v>45.08235</v>
      </c>
      <c r="I21" s="4">
        <f t="shared" si="5"/>
        <v>1.30515</v>
      </c>
      <c r="J21" s="4">
        <v>0.6</v>
      </c>
      <c r="K21" s="4">
        <v>19.5</v>
      </c>
      <c r="L21" s="4">
        <f t="shared" si="6"/>
        <v>8</v>
      </c>
      <c r="M21" s="4">
        <f t="shared" si="7"/>
        <v>1</v>
      </c>
      <c r="N21" s="4">
        <f t="shared" si="8"/>
        <v>7.55874</v>
      </c>
      <c r="O21" s="4">
        <f t="shared" si="9"/>
        <v>0.6</v>
      </c>
      <c r="P21" s="4">
        <f t="shared" si="10"/>
        <v>19.5</v>
      </c>
    </row>
    <row r="22" ht="15.75" customHeight="1">
      <c r="A22" s="4">
        <v>2011.0</v>
      </c>
      <c r="B22" s="4">
        <v>172.0</v>
      </c>
      <c r="C22" s="4">
        <v>8.36</v>
      </c>
      <c r="D22" s="4">
        <v>22.96</v>
      </c>
      <c r="E22" s="4">
        <f t="shared" si="1"/>
        <v>1</v>
      </c>
      <c r="F22" s="4">
        <f t="shared" si="2"/>
        <v>1</v>
      </c>
      <c r="G22" s="4">
        <f t="shared" si="3"/>
        <v>40.0612</v>
      </c>
      <c r="H22" s="4">
        <f t="shared" si="4"/>
        <v>43.2108</v>
      </c>
      <c r="I22" s="4">
        <f t="shared" si="5"/>
        <v>3.1496</v>
      </c>
      <c r="J22" s="4">
        <v>0.2</v>
      </c>
      <c r="K22" s="4">
        <v>16.22</v>
      </c>
      <c r="L22" s="4">
        <f t="shared" si="6"/>
        <v>8</v>
      </c>
      <c r="M22" s="4">
        <f t="shared" si="7"/>
        <v>1</v>
      </c>
      <c r="N22" s="4">
        <f t="shared" si="8"/>
        <v>9.42711</v>
      </c>
      <c r="O22" s="4">
        <f t="shared" si="9"/>
        <v>0.2</v>
      </c>
      <c r="P22" s="4">
        <f t="shared" si="10"/>
        <v>16.22</v>
      </c>
    </row>
    <row r="23" ht="15.75" customHeight="1">
      <c r="A23" s="4">
        <v>2011.0</v>
      </c>
      <c r="B23" s="4">
        <v>173.0</v>
      </c>
      <c r="C23" s="4">
        <v>9.56</v>
      </c>
      <c r="D23" s="4">
        <v>23.1</v>
      </c>
      <c r="E23" s="4">
        <f t="shared" si="1"/>
        <v>1</v>
      </c>
      <c r="F23" s="4">
        <f t="shared" si="2"/>
        <v>1</v>
      </c>
      <c r="G23" s="4">
        <f t="shared" si="3"/>
        <v>42.0358</v>
      </c>
      <c r="H23" s="4">
        <f t="shared" si="4"/>
        <v>44.1423</v>
      </c>
      <c r="I23" s="4">
        <f t="shared" si="5"/>
        <v>2.1065</v>
      </c>
      <c r="J23" s="4">
        <v>0.2</v>
      </c>
      <c r="K23" s="4">
        <v>17.05</v>
      </c>
      <c r="L23" s="4">
        <f t="shared" si="6"/>
        <v>8</v>
      </c>
      <c r="M23" s="4">
        <f t="shared" si="7"/>
        <v>1</v>
      </c>
      <c r="N23" s="4">
        <f t="shared" si="8"/>
        <v>7.77861</v>
      </c>
      <c r="O23" s="4">
        <f t="shared" si="9"/>
        <v>0.2</v>
      </c>
      <c r="P23" s="4">
        <f t="shared" si="10"/>
        <v>17.05</v>
      </c>
    </row>
    <row r="24" ht="15.75" customHeight="1">
      <c r="A24" s="4">
        <v>2011.0</v>
      </c>
      <c r="B24" s="4">
        <v>174.0</v>
      </c>
      <c r="C24" s="4">
        <v>12.03</v>
      </c>
      <c r="D24" s="4">
        <v>25.05</v>
      </c>
      <c r="E24" s="4">
        <f t="shared" si="1"/>
        <v>1</v>
      </c>
      <c r="F24" s="4">
        <f t="shared" si="2"/>
        <v>0</v>
      </c>
      <c r="G24" s="4">
        <f t="shared" si="3"/>
        <v>46.7405</v>
      </c>
      <c r="H24" s="4">
        <f t="shared" si="4"/>
        <v>45.97315</v>
      </c>
      <c r="I24" s="4" t="str">
        <f t="shared" si="5"/>
        <v> </v>
      </c>
      <c r="J24" s="4">
        <v>0.1</v>
      </c>
      <c r="K24" s="4">
        <v>18.31</v>
      </c>
      <c r="L24" s="4">
        <f t="shared" si="6"/>
        <v>8</v>
      </c>
      <c r="M24" s="4">
        <f t="shared" si="7"/>
        <v>1</v>
      </c>
      <c r="N24" s="4">
        <f t="shared" si="8"/>
        <v>10.81809</v>
      </c>
      <c r="O24" s="4">
        <f t="shared" si="9"/>
        <v>0.1</v>
      </c>
      <c r="P24" s="4">
        <f t="shared" si="10"/>
        <v>18.31</v>
      </c>
    </row>
    <row r="25" ht="15.75" customHeight="1">
      <c r="A25" s="4">
        <v>2011.0</v>
      </c>
      <c r="B25" s="4">
        <v>175.0</v>
      </c>
      <c r="C25" s="4">
        <v>10.84</v>
      </c>
      <c r="D25" s="4">
        <v>25.73</v>
      </c>
      <c r="E25" s="4">
        <f t="shared" si="1"/>
        <v>1</v>
      </c>
      <c r="F25" s="4">
        <f t="shared" si="2"/>
        <v>0</v>
      </c>
      <c r="G25" s="4">
        <f t="shared" si="3"/>
        <v>45.8644</v>
      </c>
      <c r="H25" s="4">
        <f t="shared" si="4"/>
        <v>44.3401</v>
      </c>
      <c r="I25" s="4" t="str">
        <f t="shared" si="5"/>
        <v> </v>
      </c>
      <c r="J25" s="4">
        <v>0.1</v>
      </c>
      <c r="K25" s="4">
        <v>18.71</v>
      </c>
      <c r="L25" s="4">
        <f t="shared" si="6"/>
        <v>8</v>
      </c>
      <c r="M25" s="4">
        <f t="shared" si="7"/>
        <v>1</v>
      </c>
      <c r="N25" s="4">
        <f t="shared" si="8"/>
        <v>10.22709</v>
      </c>
      <c r="O25" s="4">
        <f t="shared" si="9"/>
        <v>0.1</v>
      </c>
      <c r="P25" s="4">
        <f t="shared" si="10"/>
        <v>18.71</v>
      </c>
    </row>
    <row r="26" ht="15.75" customHeight="1">
      <c r="A26" s="4">
        <v>2011.0</v>
      </c>
      <c r="B26" s="4">
        <v>176.0</v>
      </c>
      <c r="C26" s="4">
        <v>16.14</v>
      </c>
      <c r="D26" s="4">
        <v>25.32</v>
      </c>
      <c r="E26" s="4">
        <f t="shared" si="1"/>
        <v>1</v>
      </c>
      <c r="F26" s="4">
        <f t="shared" si="2"/>
        <v>0</v>
      </c>
      <c r="G26" s="4">
        <f t="shared" si="3"/>
        <v>47.6863</v>
      </c>
      <c r="H26" s="4">
        <f t="shared" si="4"/>
        <v>46.79685</v>
      </c>
      <c r="I26" s="4" t="str">
        <f t="shared" si="5"/>
        <v> </v>
      </c>
      <c r="J26" s="4">
        <v>0.1</v>
      </c>
      <c r="K26" s="4">
        <v>19.97</v>
      </c>
      <c r="L26" s="4">
        <f t="shared" si="6"/>
        <v>8</v>
      </c>
      <c r="M26" s="4">
        <f t="shared" si="7"/>
        <v>1</v>
      </c>
      <c r="N26" s="4">
        <f t="shared" si="8"/>
        <v>4.44015</v>
      </c>
      <c r="O26" s="4">
        <f t="shared" si="9"/>
        <v>0.1</v>
      </c>
      <c r="P26" s="4">
        <f t="shared" si="10"/>
        <v>19.97</v>
      </c>
    </row>
    <row r="27" ht="15.75" customHeight="1">
      <c r="A27" s="4">
        <v>2011.0</v>
      </c>
      <c r="B27" s="4">
        <v>177.0</v>
      </c>
      <c r="C27" s="4">
        <v>16.81</v>
      </c>
      <c r="D27" s="4">
        <v>25.59</v>
      </c>
      <c r="E27" s="4">
        <f t="shared" si="1"/>
        <v>1</v>
      </c>
      <c r="F27" s="4">
        <f t="shared" si="2"/>
        <v>0</v>
      </c>
      <c r="G27" s="4">
        <f t="shared" si="3"/>
        <v>49.9117</v>
      </c>
      <c r="H27" s="4">
        <f t="shared" si="4"/>
        <v>46.1485</v>
      </c>
      <c r="I27" s="4" t="str">
        <f t="shared" si="5"/>
        <v> </v>
      </c>
      <c r="J27" s="4">
        <v>0.1</v>
      </c>
      <c r="K27" s="4">
        <v>20.57</v>
      </c>
      <c r="L27" s="4">
        <f t="shared" si="6"/>
        <v>8</v>
      </c>
      <c r="M27" s="4">
        <f t="shared" si="7"/>
        <v>0</v>
      </c>
      <c r="N27" s="4">
        <f t="shared" si="8"/>
        <v>-5.97009</v>
      </c>
      <c r="O27" s="4">
        <f t="shared" si="9"/>
        <v>0.1</v>
      </c>
      <c r="P27" s="4">
        <f t="shared" si="10"/>
        <v>20.57</v>
      </c>
    </row>
    <row r="28" ht="15.75" customHeight="1">
      <c r="A28" s="4">
        <v>2011.0</v>
      </c>
      <c r="B28" s="4">
        <v>178.0</v>
      </c>
      <c r="C28" s="4">
        <v>15.86</v>
      </c>
      <c r="D28" s="4">
        <v>30.43</v>
      </c>
      <c r="E28" s="4">
        <f t="shared" si="1"/>
        <v>0</v>
      </c>
      <c r="F28" s="4">
        <f t="shared" si="2"/>
        <v>0</v>
      </c>
      <c r="G28" s="4">
        <f t="shared" si="3"/>
        <v>50.901</v>
      </c>
      <c r="H28" s="4">
        <f t="shared" si="4"/>
        <v>45.3555</v>
      </c>
      <c r="I28" s="4" t="str">
        <f t="shared" si="5"/>
        <v> </v>
      </c>
      <c r="J28" s="4">
        <v>0.0</v>
      </c>
      <c r="K28" s="4">
        <v>23.05</v>
      </c>
      <c r="L28" s="4">
        <f t="shared" si="6"/>
        <v>3</v>
      </c>
      <c r="M28" s="4">
        <f t="shared" si="7"/>
        <v>0</v>
      </c>
      <c r="N28" s="4">
        <f t="shared" si="8"/>
        <v>-5.8634</v>
      </c>
      <c r="O28" s="4">
        <f t="shared" si="9"/>
        <v>0</v>
      </c>
      <c r="P28" s="4">
        <f t="shared" si="10"/>
        <v>23.05</v>
      </c>
    </row>
    <row r="29" ht="15.75" customHeight="1">
      <c r="A29" s="4">
        <v>2011.0</v>
      </c>
      <c r="B29" s="4">
        <v>179.0</v>
      </c>
      <c r="C29" s="4">
        <v>15.35</v>
      </c>
      <c r="D29" s="4">
        <v>30.5</v>
      </c>
      <c r="E29" s="4">
        <f t="shared" si="1"/>
        <v>0</v>
      </c>
      <c r="F29" s="4">
        <f t="shared" si="2"/>
        <v>0</v>
      </c>
      <c r="G29" s="4">
        <f t="shared" si="3"/>
        <v>47.5857</v>
      </c>
      <c r="H29" s="4">
        <f t="shared" si="4"/>
        <v>42.1291</v>
      </c>
      <c r="I29" s="4" t="str">
        <f t="shared" si="5"/>
        <v> </v>
      </c>
      <c r="J29" s="4">
        <v>0.0</v>
      </c>
      <c r="K29" s="4">
        <v>23.08</v>
      </c>
      <c r="L29" s="4">
        <f t="shared" si="6"/>
        <v>3</v>
      </c>
      <c r="M29" s="4">
        <f t="shared" si="7"/>
        <v>0</v>
      </c>
      <c r="N29" s="4">
        <f t="shared" si="8"/>
        <v>-0.86724</v>
      </c>
      <c r="O29" s="4">
        <f t="shared" si="9"/>
        <v>0</v>
      </c>
      <c r="P29" s="4">
        <f t="shared" si="10"/>
        <v>23.08</v>
      </c>
    </row>
    <row r="30" ht="15.75" customHeight="1">
      <c r="A30" s="4">
        <v>2011.0</v>
      </c>
      <c r="B30" s="4">
        <v>180.0</v>
      </c>
      <c r="C30" s="4">
        <v>15.42</v>
      </c>
      <c r="D30" s="4">
        <v>30.23</v>
      </c>
      <c r="E30" s="4">
        <f t="shared" si="1"/>
        <v>1</v>
      </c>
      <c r="F30" s="4">
        <f t="shared" si="2"/>
        <v>0</v>
      </c>
      <c r="G30" s="4">
        <f t="shared" si="3"/>
        <v>49.0295</v>
      </c>
      <c r="H30" s="4">
        <f t="shared" si="4"/>
        <v>43.8711</v>
      </c>
      <c r="I30" s="4" t="str">
        <f t="shared" si="5"/>
        <v> </v>
      </c>
      <c r="J30" s="4">
        <v>0.1</v>
      </c>
      <c r="K30" s="4">
        <v>22.04</v>
      </c>
      <c r="L30" s="4">
        <f t="shared" si="6"/>
        <v>8</v>
      </c>
      <c r="M30" s="4">
        <f t="shared" si="7"/>
        <v>0</v>
      </c>
      <c r="N30" s="4">
        <f t="shared" si="8"/>
        <v>-5.5127</v>
      </c>
      <c r="O30" s="4">
        <f t="shared" si="9"/>
        <v>0.1</v>
      </c>
      <c r="P30" s="4">
        <f t="shared" si="10"/>
        <v>22.04</v>
      </c>
    </row>
    <row r="31" ht="15.75" customHeight="1">
      <c r="A31" s="4">
        <v>2011.0</v>
      </c>
      <c r="B31" s="4">
        <v>181.0</v>
      </c>
      <c r="C31" s="4">
        <v>15.96</v>
      </c>
      <c r="D31" s="4">
        <v>30.83</v>
      </c>
      <c r="E31" s="4">
        <f t="shared" si="1"/>
        <v>0</v>
      </c>
      <c r="F31" s="4">
        <f t="shared" si="2"/>
        <v>0</v>
      </c>
      <c r="G31" s="4">
        <f t="shared" si="3"/>
        <v>47.7802</v>
      </c>
      <c r="H31" s="4">
        <f t="shared" si="4"/>
        <v>42.6228</v>
      </c>
      <c r="I31" s="4" t="str">
        <f t="shared" si="5"/>
        <v> </v>
      </c>
      <c r="J31" s="4">
        <v>0.0</v>
      </c>
      <c r="K31" s="4">
        <v>24.12</v>
      </c>
      <c r="L31" s="4">
        <f t="shared" si="6"/>
        <v>3</v>
      </c>
      <c r="M31" s="4">
        <f t="shared" si="7"/>
        <v>0</v>
      </c>
      <c r="N31" s="4">
        <f t="shared" si="8"/>
        <v>-10.04295</v>
      </c>
      <c r="O31" s="4">
        <f t="shared" si="9"/>
        <v>0</v>
      </c>
      <c r="P31" s="4">
        <f t="shared" si="10"/>
        <v>24.12</v>
      </c>
    </row>
    <row r="32" ht="15.75" customHeight="1">
      <c r="A32" s="4">
        <v>2011.0</v>
      </c>
      <c r="B32" s="4">
        <v>182.0</v>
      </c>
      <c r="C32" s="4">
        <v>17.94</v>
      </c>
      <c r="D32" s="4">
        <v>31.07</v>
      </c>
      <c r="E32" s="4">
        <f t="shared" si="1"/>
        <v>0</v>
      </c>
      <c r="F32" s="4">
        <f t="shared" si="2"/>
        <v>0</v>
      </c>
      <c r="G32" s="4">
        <f t="shared" si="3"/>
        <v>45.7007</v>
      </c>
      <c r="H32" s="4">
        <f t="shared" si="4"/>
        <v>41.7715</v>
      </c>
      <c r="I32" s="4" t="str">
        <f t="shared" si="5"/>
        <v> </v>
      </c>
      <c r="J32" s="4">
        <v>0.0</v>
      </c>
      <c r="K32" s="4">
        <v>24.96</v>
      </c>
      <c r="L32" s="4">
        <f t="shared" si="6"/>
        <v>3</v>
      </c>
      <c r="M32" s="4">
        <f t="shared" si="7"/>
        <v>0</v>
      </c>
      <c r="N32" s="4">
        <f t="shared" si="8"/>
        <v>-11.37594</v>
      </c>
      <c r="O32" s="4">
        <f t="shared" si="9"/>
        <v>0</v>
      </c>
      <c r="P32" s="4">
        <f t="shared" si="10"/>
        <v>24.96</v>
      </c>
    </row>
    <row r="33" ht="15.75" customHeight="1">
      <c r="A33" s="4">
        <v>2011.0</v>
      </c>
      <c r="B33" s="4">
        <v>183.0</v>
      </c>
      <c r="C33" s="4">
        <v>16.32</v>
      </c>
      <c r="D33" s="4">
        <v>26.44</v>
      </c>
      <c r="E33" s="4">
        <f t="shared" si="1"/>
        <v>0</v>
      </c>
      <c r="F33" s="4">
        <f t="shared" si="2"/>
        <v>0</v>
      </c>
      <c r="G33" s="4">
        <f t="shared" si="3"/>
        <v>43.4071</v>
      </c>
      <c r="H33" s="4">
        <f t="shared" si="4"/>
        <v>39.4581</v>
      </c>
      <c r="I33" s="4" t="str">
        <f t="shared" si="5"/>
        <v> </v>
      </c>
      <c r="J33" s="4">
        <v>0.0</v>
      </c>
      <c r="K33" s="4">
        <v>21.98</v>
      </c>
      <c r="L33" s="4">
        <f t="shared" si="6"/>
        <v>3</v>
      </c>
      <c r="M33" s="4">
        <f t="shared" si="7"/>
        <v>0</v>
      </c>
      <c r="N33" s="4">
        <f t="shared" si="8"/>
        <v>-4.25224</v>
      </c>
      <c r="O33" s="4">
        <f t="shared" si="9"/>
        <v>0</v>
      </c>
      <c r="P33" s="4">
        <f t="shared" si="10"/>
        <v>21.98</v>
      </c>
    </row>
    <row r="34" ht="15.75" customHeight="1">
      <c r="A34" s="4">
        <v>2011.0</v>
      </c>
      <c r="B34" s="4">
        <v>184.0</v>
      </c>
      <c r="C34" s="4">
        <v>12.96</v>
      </c>
      <c r="D34" s="4">
        <v>29.3</v>
      </c>
      <c r="E34" s="4">
        <f t="shared" si="1"/>
        <v>0</v>
      </c>
      <c r="F34" s="4">
        <f t="shared" si="2"/>
        <v>0</v>
      </c>
      <c r="G34" s="4">
        <f t="shared" si="3"/>
        <v>44.4039</v>
      </c>
      <c r="H34" s="4">
        <f t="shared" si="4"/>
        <v>41.9953</v>
      </c>
      <c r="I34" s="4" t="str">
        <f t="shared" si="5"/>
        <v> </v>
      </c>
      <c r="J34" s="4">
        <v>0.0</v>
      </c>
      <c r="K34" s="4">
        <v>21.47</v>
      </c>
      <c r="L34" s="4">
        <f t="shared" si="6"/>
        <v>3</v>
      </c>
      <c r="M34" s="4">
        <f t="shared" si="7"/>
        <v>1</v>
      </c>
      <c r="N34" s="4">
        <f t="shared" si="8"/>
        <v>5.76385</v>
      </c>
      <c r="O34" s="4">
        <f t="shared" si="9"/>
        <v>0</v>
      </c>
      <c r="P34" s="4">
        <f t="shared" si="10"/>
        <v>21.47</v>
      </c>
    </row>
    <row r="35" ht="15.75" customHeight="1">
      <c r="A35" s="4">
        <v>2011.0</v>
      </c>
      <c r="B35" s="4">
        <v>185.0</v>
      </c>
      <c r="C35" s="4">
        <v>15.82</v>
      </c>
      <c r="D35" s="4">
        <v>31.42</v>
      </c>
      <c r="E35" s="4">
        <f t="shared" si="1"/>
        <v>1</v>
      </c>
      <c r="F35" s="4">
        <f t="shared" si="2"/>
        <v>0</v>
      </c>
      <c r="G35" s="4">
        <f t="shared" si="3"/>
        <v>48.4241</v>
      </c>
      <c r="H35" s="4">
        <f t="shared" si="4"/>
        <v>46.13605</v>
      </c>
      <c r="I35" s="4" t="str">
        <f t="shared" si="5"/>
        <v> </v>
      </c>
      <c r="J35" s="4">
        <v>0.3</v>
      </c>
      <c r="K35" s="4">
        <v>22.06</v>
      </c>
      <c r="L35" s="4">
        <f t="shared" si="6"/>
        <v>8</v>
      </c>
      <c r="M35" s="4">
        <f t="shared" si="7"/>
        <v>1</v>
      </c>
      <c r="N35" s="4">
        <f t="shared" si="8"/>
        <v>4.2992</v>
      </c>
      <c r="O35" s="4">
        <f t="shared" si="9"/>
        <v>0.3</v>
      </c>
      <c r="P35" s="4">
        <f t="shared" si="10"/>
        <v>22.06</v>
      </c>
    </row>
    <row r="36" ht="15.75" customHeight="1">
      <c r="A36" s="4">
        <v>2011.0</v>
      </c>
      <c r="B36" s="4">
        <v>186.0</v>
      </c>
      <c r="C36" s="4">
        <v>18.08</v>
      </c>
      <c r="D36" s="4">
        <v>24.21</v>
      </c>
      <c r="E36" s="4">
        <f t="shared" si="1"/>
        <v>1</v>
      </c>
      <c r="F36" s="4">
        <f t="shared" si="2"/>
        <v>0</v>
      </c>
      <c r="G36" s="4">
        <f t="shared" si="3"/>
        <v>40.6257</v>
      </c>
      <c r="H36" s="4">
        <f t="shared" si="4"/>
        <v>38.00925</v>
      </c>
      <c r="I36" s="4" t="str">
        <f t="shared" si="5"/>
        <v> </v>
      </c>
      <c r="J36" s="4">
        <v>0.2</v>
      </c>
      <c r="K36" s="4">
        <v>19.85</v>
      </c>
      <c r="L36" s="4">
        <f t="shared" si="6"/>
        <v>8</v>
      </c>
      <c r="M36" s="4">
        <f t="shared" si="7"/>
        <v>0</v>
      </c>
      <c r="N36" s="4">
        <f t="shared" si="8"/>
        <v>-0.68041</v>
      </c>
      <c r="O36" s="4">
        <f t="shared" si="9"/>
        <v>0.2</v>
      </c>
      <c r="P36" s="4">
        <f t="shared" si="10"/>
        <v>19.85</v>
      </c>
    </row>
    <row r="37" ht="15.75" customHeight="1">
      <c r="A37" s="4">
        <v>2011.0</v>
      </c>
      <c r="B37" s="4">
        <v>187.0</v>
      </c>
      <c r="C37" s="4">
        <v>16.54</v>
      </c>
      <c r="D37" s="4">
        <v>24.51</v>
      </c>
      <c r="E37" s="4">
        <f t="shared" si="1"/>
        <v>0</v>
      </c>
      <c r="F37" s="4">
        <f t="shared" si="2"/>
        <v>0</v>
      </c>
      <c r="G37" s="4">
        <f t="shared" si="3"/>
        <v>40.52</v>
      </c>
      <c r="H37" s="4">
        <f t="shared" si="4"/>
        <v>38.07635</v>
      </c>
      <c r="I37" s="4" t="str">
        <f t="shared" si="5"/>
        <v> </v>
      </c>
      <c r="J37" s="4">
        <v>0.0</v>
      </c>
      <c r="K37" s="4">
        <v>20.82</v>
      </c>
      <c r="L37" s="4">
        <f t="shared" si="6"/>
        <v>3</v>
      </c>
      <c r="M37" s="4">
        <f t="shared" si="7"/>
        <v>1</v>
      </c>
      <c r="N37" s="4">
        <f t="shared" si="8"/>
        <v>2.00503</v>
      </c>
      <c r="O37" s="4">
        <f t="shared" si="9"/>
        <v>0</v>
      </c>
      <c r="P37" s="4">
        <f t="shared" si="10"/>
        <v>20.82</v>
      </c>
    </row>
    <row r="38" ht="15.75" customHeight="1">
      <c r="A38" s="4">
        <v>2011.0</v>
      </c>
      <c r="B38" s="4">
        <v>188.0</v>
      </c>
      <c r="C38" s="4">
        <v>13.75</v>
      </c>
      <c r="D38" s="4">
        <v>26.98</v>
      </c>
      <c r="E38" s="4">
        <f t="shared" si="1"/>
        <v>1</v>
      </c>
      <c r="F38" s="4">
        <f t="shared" si="2"/>
        <v>0</v>
      </c>
      <c r="G38" s="4">
        <f t="shared" si="3"/>
        <v>45.3226</v>
      </c>
      <c r="H38" s="4">
        <f t="shared" si="4"/>
        <v>40.75455</v>
      </c>
      <c r="I38" s="4" t="str">
        <f t="shared" si="5"/>
        <v> </v>
      </c>
      <c r="J38" s="4">
        <v>0.1</v>
      </c>
      <c r="K38" s="4">
        <v>19.54</v>
      </c>
      <c r="L38" s="4">
        <f t="shared" si="6"/>
        <v>8</v>
      </c>
      <c r="M38" s="4">
        <f t="shared" si="7"/>
        <v>0</v>
      </c>
      <c r="N38" s="4">
        <f t="shared" si="8"/>
        <v>-4.79058</v>
      </c>
      <c r="O38" s="4">
        <f t="shared" si="9"/>
        <v>0.1</v>
      </c>
      <c r="P38" s="4">
        <f t="shared" si="10"/>
        <v>19.54</v>
      </c>
    </row>
    <row r="39" ht="15.75" customHeight="1">
      <c r="A39" s="4">
        <v>2011.0</v>
      </c>
      <c r="B39" s="4">
        <v>189.0</v>
      </c>
      <c r="C39" s="4">
        <v>16.71</v>
      </c>
      <c r="D39" s="4">
        <v>29.18</v>
      </c>
      <c r="E39" s="4">
        <f t="shared" si="1"/>
        <v>0</v>
      </c>
      <c r="F39" s="4">
        <f t="shared" si="2"/>
        <v>0</v>
      </c>
      <c r="G39" s="4">
        <f t="shared" si="3"/>
        <v>45.065</v>
      </c>
      <c r="H39" s="4">
        <f t="shared" si="4"/>
        <v>39.6559</v>
      </c>
      <c r="I39" s="4" t="str">
        <f t="shared" si="5"/>
        <v> </v>
      </c>
      <c r="J39" s="4">
        <v>0.0</v>
      </c>
      <c r="K39" s="4">
        <v>20.44</v>
      </c>
      <c r="L39" s="4">
        <f t="shared" si="6"/>
        <v>3</v>
      </c>
      <c r="M39" s="4">
        <f t="shared" si="7"/>
        <v>0</v>
      </c>
      <c r="N39" s="4">
        <f t="shared" si="8"/>
        <v>-3.49552</v>
      </c>
      <c r="O39" s="4">
        <f t="shared" si="9"/>
        <v>0</v>
      </c>
      <c r="P39" s="4">
        <f t="shared" si="10"/>
        <v>20.44</v>
      </c>
    </row>
    <row r="40" ht="15.75" customHeight="1">
      <c r="A40" s="4">
        <v>2011.0</v>
      </c>
      <c r="B40" s="4">
        <v>190.0</v>
      </c>
      <c r="C40" s="4">
        <v>16.37</v>
      </c>
      <c r="D40" s="4">
        <v>24.13</v>
      </c>
      <c r="E40" s="4">
        <f t="shared" si="1"/>
        <v>0</v>
      </c>
      <c r="F40" s="4">
        <f t="shared" si="2"/>
        <v>0</v>
      </c>
      <c r="G40" s="4">
        <f t="shared" si="3"/>
        <v>41.4581</v>
      </c>
      <c r="H40" s="4">
        <f t="shared" si="4"/>
        <v>37.6238</v>
      </c>
      <c r="I40" s="4" t="str">
        <f t="shared" si="5"/>
        <v> </v>
      </c>
      <c r="J40" s="4">
        <v>0.0</v>
      </c>
      <c r="K40" s="4">
        <v>19.31</v>
      </c>
      <c r="L40" s="4">
        <f t="shared" si="6"/>
        <v>3</v>
      </c>
      <c r="M40" s="4">
        <f t="shared" si="7"/>
        <v>0</v>
      </c>
      <c r="N40" s="4">
        <f t="shared" si="8"/>
        <v>-0.75021</v>
      </c>
      <c r="O40" s="4">
        <f t="shared" si="9"/>
        <v>0</v>
      </c>
      <c r="P40" s="4">
        <f t="shared" si="10"/>
        <v>19.31</v>
      </c>
    </row>
    <row r="41" ht="15.75" customHeight="1">
      <c r="A41" s="4">
        <v>2011.0</v>
      </c>
      <c r="B41" s="4">
        <v>191.0</v>
      </c>
      <c r="C41" s="4">
        <v>16.51</v>
      </c>
      <c r="D41" s="4">
        <v>27.14</v>
      </c>
      <c r="E41" s="4">
        <f t="shared" si="1"/>
        <v>1</v>
      </c>
      <c r="F41" s="4">
        <f t="shared" si="2"/>
        <v>0</v>
      </c>
      <c r="G41" s="4">
        <f t="shared" si="3"/>
        <v>46.3656</v>
      </c>
      <c r="H41" s="4">
        <f t="shared" si="4"/>
        <v>41.615</v>
      </c>
      <c r="I41" s="4" t="str">
        <f t="shared" si="5"/>
        <v> </v>
      </c>
      <c r="J41" s="4">
        <v>0.1</v>
      </c>
      <c r="K41" s="4">
        <v>21.16</v>
      </c>
      <c r="L41" s="4">
        <f t="shared" si="6"/>
        <v>8</v>
      </c>
      <c r="M41" s="4">
        <f t="shared" si="7"/>
        <v>0</v>
      </c>
      <c r="N41" s="4">
        <f t="shared" si="8"/>
        <v>-7.03137</v>
      </c>
      <c r="O41" s="4">
        <f t="shared" si="9"/>
        <v>0.1</v>
      </c>
      <c r="P41" s="4">
        <f t="shared" si="10"/>
        <v>21.16</v>
      </c>
    </row>
    <row r="42" ht="15.75" customHeight="1">
      <c r="A42" s="4">
        <v>2011.0</v>
      </c>
      <c r="B42" s="4">
        <v>192.0</v>
      </c>
      <c r="C42" s="4">
        <v>13.16</v>
      </c>
      <c r="D42" s="4">
        <v>30.06</v>
      </c>
      <c r="E42" s="4">
        <f t="shared" si="1"/>
        <v>0</v>
      </c>
      <c r="F42" s="4">
        <f t="shared" si="2"/>
        <v>0</v>
      </c>
      <c r="G42" s="4">
        <f t="shared" si="3"/>
        <v>44.7583</v>
      </c>
      <c r="H42" s="4">
        <f t="shared" si="4"/>
        <v>37.97665</v>
      </c>
      <c r="I42" s="4" t="str">
        <f t="shared" si="5"/>
        <v> </v>
      </c>
      <c r="J42" s="4">
        <v>0.0</v>
      </c>
      <c r="K42" s="4">
        <v>22.21</v>
      </c>
      <c r="L42" s="4">
        <f t="shared" si="6"/>
        <v>3</v>
      </c>
      <c r="M42" s="4">
        <f t="shared" si="7"/>
        <v>0</v>
      </c>
      <c r="N42" s="4">
        <f t="shared" si="8"/>
        <v>-9.23617</v>
      </c>
      <c r="O42" s="4">
        <f t="shared" si="9"/>
        <v>0</v>
      </c>
      <c r="P42" s="4">
        <f t="shared" si="10"/>
        <v>22.21</v>
      </c>
    </row>
    <row r="43" ht="15.75" customHeight="1">
      <c r="A43" s="4">
        <v>2011.0</v>
      </c>
      <c r="B43" s="4">
        <v>193.0</v>
      </c>
      <c r="C43" s="4">
        <v>13.3</v>
      </c>
      <c r="D43" s="4">
        <v>30.25</v>
      </c>
      <c r="E43" s="4">
        <f t="shared" si="1"/>
        <v>0</v>
      </c>
      <c r="F43" s="4">
        <f t="shared" si="2"/>
        <v>0</v>
      </c>
      <c r="G43" s="4">
        <f t="shared" si="3"/>
        <v>45.9593</v>
      </c>
      <c r="H43" s="4">
        <f t="shared" si="4"/>
        <v>39.77005</v>
      </c>
      <c r="I43" s="4" t="str">
        <f t="shared" si="5"/>
        <v> </v>
      </c>
      <c r="J43" s="4">
        <v>0.0</v>
      </c>
      <c r="K43" s="4">
        <v>22.79</v>
      </c>
      <c r="L43" s="4">
        <f t="shared" si="6"/>
        <v>3</v>
      </c>
      <c r="M43" s="4">
        <f t="shared" si="7"/>
        <v>0</v>
      </c>
      <c r="N43" s="4">
        <f t="shared" si="8"/>
        <v>-10.95653</v>
      </c>
      <c r="O43" s="4">
        <f t="shared" si="9"/>
        <v>0</v>
      </c>
      <c r="P43" s="4">
        <f t="shared" si="10"/>
        <v>22.79</v>
      </c>
    </row>
    <row r="44" ht="15.75" customHeight="1">
      <c r="A44" s="4">
        <v>2011.0</v>
      </c>
      <c r="B44" s="4">
        <v>194.0</v>
      </c>
      <c r="C44" s="4">
        <v>15.86</v>
      </c>
      <c r="D44" s="4">
        <v>26.52</v>
      </c>
      <c r="E44" s="4">
        <f t="shared" si="1"/>
        <v>0</v>
      </c>
      <c r="F44" s="4">
        <f t="shared" si="2"/>
        <v>0</v>
      </c>
      <c r="G44" s="4">
        <f t="shared" si="3"/>
        <v>41.5871</v>
      </c>
      <c r="H44" s="4">
        <f t="shared" si="4"/>
        <v>34.969</v>
      </c>
      <c r="I44" s="4" t="str">
        <f t="shared" si="5"/>
        <v> </v>
      </c>
      <c r="J44" s="4">
        <v>0.0</v>
      </c>
      <c r="K44" s="4">
        <v>21.51</v>
      </c>
      <c r="L44" s="4">
        <f t="shared" si="6"/>
        <v>3</v>
      </c>
      <c r="M44" s="4">
        <f t="shared" si="7"/>
        <v>0</v>
      </c>
      <c r="N44" s="4">
        <f t="shared" si="8"/>
        <v>-9.63959</v>
      </c>
      <c r="O44" s="4">
        <f t="shared" si="9"/>
        <v>0</v>
      </c>
      <c r="P44" s="4">
        <f t="shared" si="10"/>
        <v>21.51</v>
      </c>
    </row>
    <row r="45" ht="15.75" customHeight="1">
      <c r="A45" s="4">
        <v>2011.0</v>
      </c>
      <c r="B45" s="4">
        <v>195.0</v>
      </c>
      <c r="C45" s="4">
        <v>13.03</v>
      </c>
      <c r="D45" s="4">
        <v>28.01</v>
      </c>
      <c r="E45" s="4">
        <f t="shared" si="1"/>
        <v>0</v>
      </c>
      <c r="F45" s="4">
        <f t="shared" si="2"/>
        <v>0</v>
      </c>
      <c r="G45" s="4">
        <f t="shared" si="3"/>
        <v>44.1778</v>
      </c>
      <c r="H45" s="4">
        <f t="shared" si="4"/>
        <v>37.5469</v>
      </c>
      <c r="I45" s="4" t="str">
        <f t="shared" si="5"/>
        <v> </v>
      </c>
      <c r="J45" s="4">
        <v>0.0</v>
      </c>
      <c r="K45" s="4">
        <v>21.06</v>
      </c>
      <c r="L45" s="4">
        <f t="shared" si="6"/>
        <v>3</v>
      </c>
      <c r="M45" s="4">
        <f t="shared" si="7"/>
        <v>0</v>
      </c>
      <c r="N45" s="4">
        <f t="shared" si="8"/>
        <v>-7.28678</v>
      </c>
      <c r="O45" s="4">
        <f t="shared" si="9"/>
        <v>0</v>
      </c>
      <c r="P45" s="4">
        <f t="shared" si="10"/>
        <v>21.06</v>
      </c>
    </row>
    <row r="46" ht="15.75" customHeight="1">
      <c r="A46" s="4">
        <v>2011.0</v>
      </c>
      <c r="B46" s="4">
        <v>196.0</v>
      </c>
      <c r="C46" s="4">
        <v>13.95</v>
      </c>
      <c r="D46" s="4">
        <v>30.33</v>
      </c>
      <c r="E46" s="4">
        <f t="shared" si="1"/>
        <v>0</v>
      </c>
      <c r="F46" s="4">
        <f t="shared" si="2"/>
        <v>0</v>
      </c>
      <c r="G46" s="4">
        <f t="shared" si="3"/>
        <v>46.2889</v>
      </c>
      <c r="H46" s="4">
        <f t="shared" si="4"/>
        <v>38.72875</v>
      </c>
      <c r="I46" s="4" t="str">
        <f t="shared" si="5"/>
        <v> </v>
      </c>
      <c r="J46" s="4">
        <v>0.0</v>
      </c>
      <c r="K46" s="4">
        <v>23.08</v>
      </c>
      <c r="L46" s="4">
        <f t="shared" si="6"/>
        <v>3</v>
      </c>
      <c r="M46" s="4">
        <f t="shared" si="7"/>
        <v>0</v>
      </c>
      <c r="N46" s="4">
        <f t="shared" si="8"/>
        <v>-9.38624</v>
      </c>
      <c r="O46" s="4">
        <f t="shared" si="9"/>
        <v>0</v>
      </c>
      <c r="P46" s="4">
        <f t="shared" si="10"/>
        <v>23.08</v>
      </c>
    </row>
    <row r="47" ht="15.75" customHeight="1">
      <c r="A47" s="4">
        <v>2011.0</v>
      </c>
      <c r="B47" s="4">
        <v>197.0</v>
      </c>
      <c r="C47" s="4">
        <v>19.42</v>
      </c>
      <c r="D47" s="4">
        <v>31.58</v>
      </c>
      <c r="E47" s="4">
        <f t="shared" si="1"/>
        <v>0</v>
      </c>
      <c r="F47" s="4">
        <f t="shared" si="2"/>
        <v>0</v>
      </c>
      <c r="G47" s="4">
        <f t="shared" si="3"/>
        <v>48.6497</v>
      </c>
      <c r="H47" s="4">
        <f t="shared" si="4"/>
        <v>41.5387</v>
      </c>
      <c r="I47" s="4" t="str">
        <f t="shared" si="5"/>
        <v> </v>
      </c>
      <c r="J47" s="4">
        <v>0.0</v>
      </c>
      <c r="K47" s="4">
        <v>26.09</v>
      </c>
      <c r="L47" s="4">
        <f t="shared" si="6"/>
        <v>3</v>
      </c>
      <c r="M47" s="4">
        <f t="shared" si="7"/>
        <v>0</v>
      </c>
      <c r="N47" s="4">
        <f t="shared" si="8"/>
        <v>-10.09688</v>
      </c>
      <c r="O47" s="4">
        <f t="shared" si="9"/>
        <v>0</v>
      </c>
      <c r="P47" s="4">
        <f t="shared" si="10"/>
        <v>26.09</v>
      </c>
    </row>
    <row r="48" ht="15.75" customHeight="1">
      <c r="A48" s="4">
        <v>2011.0</v>
      </c>
      <c r="B48" s="4">
        <v>198.0</v>
      </c>
      <c r="C48" s="4">
        <v>17.56</v>
      </c>
      <c r="D48" s="4">
        <v>25.36</v>
      </c>
      <c r="E48" s="4">
        <f t="shared" si="1"/>
        <v>0</v>
      </c>
      <c r="F48" s="4">
        <f t="shared" si="2"/>
        <v>0</v>
      </c>
      <c r="G48" s="4">
        <f t="shared" si="3"/>
        <v>46.069</v>
      </c>
      <c r="H48" s="4">
        <f t="shared" si="4"/>
        <v>39.9738</v>
      </c>
      <c r="I48" s="4" t="str">
        <f t="shared" si="5"/>
        <v> </v>
      </c>
      <c r="J48" s="4">
        <v>0.0</v>
      </c>
      <c r="K48" s="4">
        <v>20.13</v>
      </c>
      <c r="L48" s="4">
        <f t="shared" si="6"/>
        <v>3</v>
      </c>
      <c r="M48" s="4">
        <f t="shared" si="7"/>
        <v>0</v>
      </c>
      <c r="N48" s="4">
        <f t="shared" si="8"/>
        <v>-10.1296</v>
      </c>
      <c r="O48" s="4">
        <f t="shared" si="9"/>
        <v>0</v>
      </c>
      <c r="P48" s="4">
        <f t="shared" si="10"/>
        <v>20.13</v>
      </c>
    </row>
    <row r="49" ht="15.75" customHeight="1">
      <c r="A49" s="4">
        <v>2011.0</v>
      </c>
      <c r="B49" s="4">
        <v>199.0</v>
      </c>
      <c r="C49" s="4">
        <v>15.35</v>
      </c>
      <c r="D49" s="4">
        <v>30.24</v>
      </c>
      <c r="E49" s="4">
        <f t="shared" si="1"/>
        <v>0</v>
      </c>
      <c r="F49" s="4">
        <f t="shared" si="2"/>
        <v>0</v>
      </c>
      <c r="G49" s="4">
        <f t="shared" si="3"/>
        <v>48.8213</v>
      </c>
      <c r="H49" s="4">
        <f t="shared" si="4"/>
        <v>41.6796</v>
      </c>
      <c r="I49" s="4" t="str">
        <f t="shared" si="5"/>
        <v> </v>
      </c>
      <c r="J49" s="4">
        <v>0.0</v>
      </c>
      <c r="K49" s="4">
        <v>22.15</v>
      </c>
      <c r="L49" s="4">
        <f t="shared" si="6"/>
        <v>3</v>
      </c>
      <c r="M49" s="4">
        <f t="shared" si="7"/>
        <v>0</v>
      </c>
      <c r="N49" s="4">
        <f t="shared" si="8"/>
        <v>-10.58035</v>
      </c>
      <c r="O49" s="4">
        <f t="shared" si="9"/>
        <v>0</v>
      </c>
      <c r="P49" s="4">
        <f t="shared" si="10"/>
        <v>22.15</v>
      </c>
    </row>
    <row r="50" ht="15.75" customHeight="1">
      <c r="A50" s="4">
        <v>2011.0</v>
      </c>
      <c r="B50" s="4">
        <v>200.0</v>
      </c>
      <c r="C50" s="4">
        <v>14.32</v>
      </c>
      <c r="D50" s="4">
        <v>31.65</v>
      </c>
      <c r="E50" s="4">
        <f t="shared" si="1"/>
        <v>0</v>
      </c>
      <c r="F50" s="4">
        <f t="shared" si="2"/>
        <v>0</v>
      </c>
      <c r="G50" s="4">
        <f t="shared" si="3"/>
        <v>49.4438</v>
      </c>
      <c r="H50" s="4">
        <f t="shared" si="4"/>
        <v>42.29875</v>
      </c>
      <c r="I50" s="4" t="str">
        <f t="shared" si="5"/>
        <v> </v>
      </c>
      <c r="J50" s="4">
        <v>0.0</v>
      </c>
      <c r="K50" s="4">
        <v>23.12</v>
      </c>
      <c r="L50" s="4">
        <f t="shared" si="6"/>
        <v>3</v>
      </c>
      <c r="M50" s="4">
        <f t="shared" si="7"/>
        <v>0</v>
      </c>
      <c r="N50" s="4">
        <f t="shared" si="8"/>
        <v>-9.04963</v>
      </c>
      <c r="O50" s="4">
        <f t="shared" si="9"/>
        <v>0</v>
      </c>
      <c r="P50" s="4">
        <f t="shared" si="10"/>
        <v>23.12</v>
      </c>
    </row>
    <row r="51" ht="15.75" customHeight="1">
      <c r="A51" s="4">
        <v>2011.0</v>
      </c>
      <c r="B51" s="4">
        <v>201.0</v>
      </c>
      <c r="C51" s="4">
        <v>15.32</v>
      </c>
      <c r="D51" s="4">
        <v>31.0</v>
      </c>
      <c r="E51" s="4">
        <f t="shared" si="1"/>
        <v>0</v>
      </c>
      <c r="F51" s="4">
        <f t="shared" si="2"/>
        <v>0</v>
      </c>
      <c r="G51" s="4">
        <f t="shared" si="3"/>
        <v>48.4635</v>
      </c>
      <c r="H51" s="4">
        <f t="shared" si="4"/>
        <v>40.8004</v>
      </c>
      <c r="I51" s="4" t="str">
        <f t="shared" si="5"/>
        <v> </v>
      </c>
      <c r="J51" s="4">
        <v>0.0</v>
      </c>
      <c r="K51" s="4">
        <v>23.52</v>
      </c>
      <c r="L51" s="4">
        <f t="shared" si="6"/>
        <v>3</v>
      </c>
      <c r="M51" s="4">
        <f t="shared" si="7"/>
        <v>0</v>
      </c>
      <c r="N51" s="4">
        <f t="shared" si="8"/>
        <v>-9.22949</v>
      </c>
      <c r="O51" s="4">
        <f t="shared" si="9"/>
        <v>0</v>
      </c>
      <c r="P51" s="4">
        <f t="shared" si="10"/>
        <v>23.52</v>
      </c>
    </row>
    <row r="52" ht="15.75" customHeight="1">
      <c r="A52" s="4">
        <v>2011.0</v>
      </c>
      <c r="B52" s="4">
        <v>202.0</v>
      </c>
      <c r="C52" s="4">
        <v>18.28</v>
      </c>
      <c r="D52" s="4">
        <v>30.77</v>
      </c>
      <c r="E52" s="4">
        <f t="shared" si="1"/>
        <v>0</v>
      </c>
      <c r="F52" s="4">
        <f t="shared" si="2"/>
        <v>0</v>
      </c>
      <c r="G52" s="4">
        <f t="shared" si="3"/>
        <v>51.3476</v>
      </c>
      <c r="H52" s="4">
        <f t="shared" si="4"/>
        <v>43.797</v>
      </c>
      <c r="I52" s="4" t="str">
        <f t="shared" si="5"/>
        <v> </v>
      </c>
      <c r="J52" s="4">
        <v>0.0</v>
      </c>
      <c r="K52" s="4">
        <v>23.31</v>
      </c>
      <c r="L52" s="4">
        <f t="shared" si="6"/>
        <v>3</v>
      </c>
      <c r="M52" s="4">
        <f t="shared" si="7"/>
        <v>0</v>
      </c>
      <c r="N52" s="4">
        <f t="shared" si="8"/>
        <v>-8.51417</v>
      </c>
      <c r="O52" s="4">
        <f t="shared" si="9"/>
        <v>0</v>
      </c>
      <c r="P52" s="4">
        <f t="shared" si="10"/>
        <v>23.31</v>
      </c>
    </row>
    <row r="53" ht="15.75" customHeight="1">
      <c r="A53" s="4">
        <v>2011.0</v>
      </c>
      <c r="B53" s="4">
        <v>203.0</v>
      </c>
      <c r="C53" s="4">
        <v>18.35</v>
      </c>
      <c r="D53" s="4">
        <v>29.98</v>
      </c>
      <c r="E53" s="4">
        <f t="shared" si="1"/>
        <v>0</v>
      </c>
      <c r="F53" s="4">
        <f t="shared" si="2"/>
        <v>0</v>
      </c>
      <c r="G53" s="4">
        <f t="shared" si="3"/>
        <v>52.4414</v>
      </c>
      <c r="H53" s="4">
        <f t="shared" si="4"/>
        <v>45.12065</v>
      </c>
      <c r="I53" s="4" t="str">
        <f t="shared" si="5"/>
        <v> </v>
      </c>
      <c r="J53" s="4">
        <v>0.0</v>
      </c>
      <c r="K53" s="4">
        <v>24.12</v>
      </c>
      <c r="L53" s="4">
        <f t="shared" si="6"/>
        <v>3</v>
      </c>
      <c r="M53" s="4">
        <f t="shared" si="7"/>
        <v>0</v>
      </c>
      <c r="N53" s="4">
        <f t="shared" si="8"/>
        <v>-10.05813</v>
      </c>
      <c r="O53" s="4">
        <f t="shared" si="9"/>
        <v>0</v>
      </c>
      <c r="P53" s="4">
        <f t="shared" si="10"/>
        <v>24.12</v>
      </c>
    </row>
    <row r="54" ht="15.75" customHeight="1">
      <c r="A54" s="4">
        <v>2011.0</v>
      </c>
      <c r="B54" s="4">
        <v>204.0</v>
      </c>
      <c r="C54" s="4">
        <v>19.42</v>
      </c>
      <c r="D54" s="4">
        <v>31.3</v>
      </c>
      <c r="E54" s="4">
        <f t="shared" si="1"/>
        <v>0</v>
      </c>
      <c r="F54" s="4">
        <f t="shared" si="2"/>
        <v>0</v>
      </c>
      <c r="G54" s="4">
        <f t="shared" si="3"/>
        <v>55.8746</v>
      </c>
      <c r="H54" s="4">
        <f t="shared" si="4"/>
        <v>47.81435</v>
      </c>
      <c r="I54" s="4" t="str">
        <f t="shared" si="5"/>
        <v> </v>
      </c>
      <c r="J54" s="4">
        <v>0.0</v>
      </c>
      <c r="K54" s="4">
        <v>25.07</v>
      </c>
      <c r="L54" s="4">
        <f t="shared" si="6"/>
        <v>3</v>
      </c>
      <c r="M54" s="4">
        <f t="shared" si="7"/>
        <v>0</v>
      </c>
      <c r="N54" s="4">
        <f t="shared" si="8"/>
        <v>-10.43901</v>
      </c>
      <c r="O54" s="4">
        <f t="shared" si="9"/>
        <v>0</v>
      </c>
      <c r="P54" s="4">
        <f t="shared" si="10"/>
        <v>25.07</v>
      </c>
    </row>
    <row r="55" ht="15.75" customHeight="1">
      <c r="A55" s="4">
        <v>2011.0</v>
      </c>
      <c r="B55" s="4">
        <v>205.0</v>
      </c>
      <c r="C55" s="4">
        <v>17.24</v>
      </c>
      <c r="D55" s="4">
        <v>30.55</v>
      </c>
      <c r="E55" s="4">
        <f t="shared" si="1"/>
        <v>0</v>
      </c>
      <c r="F55" s="4">
        <f t="shared" si="2"/>
        <v>0</v>
      </c>
      <c r="G55" s="4">
        <f t="shared" si="3"/>
        <v>56.8294</v>
      </c>
      <c r="H55" s="4">
        <f t="shared" si="4"/>
        <v>50.63505</v>
      </c>
      <c r="I55" s="4" t="str">
        <f t="shared" si="5"/>
        <v> </v>
      </c>
      <c r="J55" s="4">
        <v>0.0</v>
      </c>
      <c r="K55" s="4">
        <v>24.49</v>
      </c>
      <c r="L55" s="4">
        <f t="shared" si="6"/>
        <v>3</v>
      </c>
      <c r="M55" s="4">
        <f t="shared" si="7"/>
        <v>0</v>
      </c>
      <c r="N55" s="4">
        <f t="shared" si="8"/>
        <v>-9.14397</v>
      </c>
      <c r="O55" s="4">
        <f t="shared" si="9"/>
        <v>0</v>
      </c>
      <c r="P55" s="4">
        <f t="shared" si="10"/>
        <v>24.49</v>
      </c>
    </row>
    <row r="56" ht="15.75" customHeight="1">
      <c r="A56" s="4">
        <v>2011.0</v>
      </c>
      <c r="B56" s="4">
        <v>206.0</v>
      </c>
      <c r="C56" s="4">
        <v>16.89</v>
      </c>
      <c r="D56" s="4">
        <v>33.88</v>
      </c>
      <c r="E56" s="4">
        <f t="shared" si="1"/>
        <v>0</v>
      </c>
      <c r="F56" s="4">
        <f t="shared" si="2"/>
        <v>0</v>
      </c>
      <c r="G56" s="4">
        <f t="shared" si="3"/>
        <v>55.4131</v>
      </c>
      <c r="H56" s="4">
        <f t="shared" si="4"/>
        <v>50.5164</v>
      </c>
      <c r="I56" s="4" t="str">
        <f t="shared" si="5"/>
        <v> </v>
      </c>
      <c r="J56" s="4">
        <v>0.0</v>
      </c>
      <c r="K56" s="4">
        <v>25.12</v>
      </c>
      <c r="L56" s="4">
        <f t="shared" si="6"/>
        <v>3</v>
      </c>
      <c r="M56" s="4">
        <f t="shared" si="7"/>
        <v>0</v>
      </c>
      <c r="N56" s="4">
        <f t="shared" si="8"/>
        <v>-11.18421</v>
      </c>
      <c r="O56" s="4">
        <f t="shared" si="9"/>
        <v>0</v>
      </c>
      <c r="P56" s="4">
        <f t="shared" si="10"/>
        <v>25.12</v>
      </c>
    </row>
    <row r="57" ht="15.75" customHeight="1">
      <c r="A57" s="4">
        <v>2011.0</v>
      </c>
      <c r="B57" s="4">
        <v>207.0</v>
      </c>
      <c r="C57" s="4">
        <v>19.69</v>
      </c>
      <c r="D57" s="4">
        <v>34.22</v>
      </c>
      <c r="E57" s="4">
        <f t="shared" si="1"/>
        <v>0</v>
      </c>
      <c r="F57" s="4">
        <f t="shared" si="2"/>
        <v>0</v>
      </c>
      <c r="G57" s="4">
        <f t="shared" si="3"/>
        <v>58.2482</v>
      </c>
      <c r="H57" s="4">
        <f t="shared" si="4"/>
        <v>54.6788</v>
      </c>
      <c r="I57" s="4" t="str">
        <f t="shared" si="5"/>
        <v> </v>
      </c>
      <c r="J57" s="4">
        <v>0.0</v>
      </c>
      <c r="K57" s="4">
        <v>26.82</v>
      </c>
      <c r="L57" s="4">
        <f t="shared" si="6"/>
        <v>3</v>
      </c>
      <c r="M57" s="4">
        <f t="shared" si="7"/>
        <v>0</v>
      </c>
      <c r="N57" s="4">
        <f t="shared" si="8"/>
        <v>-7.41155</v>
      </c>
      <c r="O57" s="4">
        <f t="shared" si="9"/>
        <v>0</v>
      </c>
      <c r="P57" s="4">
        <f t="shared" si="10"/>
        <v>26.82</v>
      </c>
    </row>
    <row r="58" ht="15.75" customHeight="1">
      <c r="A58" s="4">
        <v>2011.0</v>
      </c>
      <c r="B58" s="4">
        <v>208.0</v>
      </c>
      <c r="C58" s="4">
        <v>18.61</v>
      </c>
      <c r="D58" s="4">
        <v>35.04</v>
      </c>
      <c r="E58" s="4">
        <f t="shared" si="1"/>
        <v>0</v>
      </c>
      <c r="F58" s="4">
        <f t="shared" si="2"/>
        <v>0</v>
      </c>
      <c r="G58" s="4">
        <f t="shared" si="3"/>
        <v>56.3538</v>
      </c>
      <c r="H58" s="4">
        <f t="shared" si="4"/>
        <v>51.9205</v>
      </c>
      <c r="I58" s="4" t="str">
        <f t="shared" si="5"/>
        <v> </v>
      </c>
      <c r="J58" s="4">
        <v>0.0</v>
      </c>
      <c r="K58" s="4">
        <v>26.85</v>
      </c>
      <c r="L58" s="4">
        <f t="shared" si="6"/>
        <v>3</v>
      </c>
      <c r="M58" s="4">
        <f t="shared" si="7"/>
        <v>1</v>
      </c>
      <c r="N58" s="4">
        <f t="shared" si="8"/>
        <v>2.58623</v>
      </c>
      <c r="O58" s="4">
        <f t="shared" si="9"/>
        <v>0</v>
      </c>
      <c r="P58" s="4">
        <f t="shared" si="10"/>
        <v>26.85</v>
      </c>
    </row>
    <row r="59" ht="15.75" customHeight="1">
      <c r="A59" s="4">
        <v>2011.0</v>
      </c>
      <c r="B59" s="4">
        <v>209.0</v>
      </c>
      <c r="C59" s="4">
        <v>17.52</v>
      </c>
      <c r="D59" s="4">
        <v>35.6</v>
      </c>
      <c r="E59" s="4">
        <f t="shared" si="1"/>
        <v>1</v>
      </c>
      <c r="F59" s="4">
        <f t="shared" si="2"/>
        <v>0</v>
      </c>
      <c r="G59" s="4">
        <f t="shared" si="3"/>
        <v>53.6541</v>
      </c>
      <c r="H59" s="4">
        <f t="shared" si="4"/>
        <v>53.23655</v>
      </c>
      <c r="I59" s="4" t="str">
        <f t="shared" si="5"/>
        <v> </v>
      </c>
      <c r="J59" s="4">
        <v>0.2</v>
      </c>
      <c r="K59" s="4">
        <v>25.44</v>
      </c>
      <c r="L59" s="4">
        <f t="shared" si="6"/>
        <v>8</v>
      </c>
      <c r="M59" s="4">
        <f t="shared" si="7"/>
        <v>1</v>
      </c>
      <c r="N59" s="4">
        <f t="shared" si="8"/>
        <v>6.86561</v>
      </c>
      <c r="O59" s="4">
        <f t="shared" si="9"/>
        <v>0.2</v>
      </c>
      <c r="P59" s="4">
        <f t="shared" si="10"/>
        <v>25.44</v>
      </c>
    </row>
    <row r="60" ht="15.75" customHeight="1">
      <c r="A60" s="4">
        <v>2011.0</v>
      </c>
      <c r="B60" s="4">
        <v>210.0</v>
      </c>
      <c r="C60" s="4">
        <v>17.28</v>
      </c>
      <c r="D60" s="4">
        <v>27.31</v>
      </c>
      <c r="E60" s="4">
        <f t="shared" si="1"/>
        <v>1</v>
      </c>
      <c r="F60" s="4">
        <f t="shared" si="2"/>
        <v>0</v>
      </c>
      <c r="G60" s="4">
        <f t="shared" si="3"/>
        <v>39.5561</v>
      </c>
      <c r="H60" s="4">
        <f t="shared" si="4"/>
        <v>37.96625</v>
      </c>
      <c r="I60" s="4" t="str">
        <f t="shared" si="5"/>
        <v> </v>
      </c>
      <c r="J60" s="4">
        <v>1.8</v>
      </c>
      <c r="K60" s="4">
        <v>21.88</v>
      </c>
      <c r="L60" s="4">
        <f t="shared" si="6"/>
        <v>8</v>
      </c>
      <c r="M60" s="4">
        <f t="shared" si="7"/>
        <v>1</v>
      </c>
      <c r="N60" s="4">
        <f t="shared" si="8"/>
        <v>3.39971</v>
      </c>
      <c r="O60" s="4">
        <f t="shared" si="9"/>
        <v>1.8</v>
      </c>
      <c r="P60" s="4">
        <f t="shared" si="10"/>
        <v>21.88</v>
      </c>
    </row>
    <row r="61" ht="15.75" customHeight="1">
      <c r="A61" s="4">
        <v>2011.0</v>
      </c>
      <c r="B61" s="4">
        <v>211.0</v>
      </c>
      <c r="C61" s="4">
        <v>16.36</v>
      </c>
      <c r="D61" s="4">
        <v>28.94</v>
      </c>
      <c r="E61" s="4">
        <f t="shared" si="1"/>
        <v>1</v>
      </c>
      <c r="F61" s="4">
        <f t="shared" si="2"/>
        <v>0</v>
      </c>
      <c r="G61" s="4">
        <f t="shared" si="3"/>
        <v>39.4145</v>
      </c>
      <c r="H61" s="4">
        <f t="shared" si="4"/>
        <v>38.754</v>
      </c>
      <c r="I61" s="4" t="str">
        <f t="shared" si="5"/>
        <v> </v>
      </c>
      <c r="J61" s="4">
        <v>0.1</v>
      </c>
      <c r="K61" s="4">
        <v>22.15</v>
      </c>
      <c r="L61" s="4">
        <f t="shared" si="6"/>
        <v>8</v>
      </c>
      <c r="M61" s="4">
        <f t="shared" si="7"/>
        <v>0</v>
      </c>
      <c r="N61" s="4">
        <f t="shared" si="8"/>
        <v>-0.71867</v>
      </c>
      <c r="O61" s="4">
        <f t="shared" si="9"/>
        <v>0.1</v>
      </c>
      <c r="P61" s="4">
        <f t="shared" si="10"/>
        <v>22.15</v>
      </c>
    </row>
    <row r="62" ht="15.75" customHeight="1">
      <c r="A62" s="4">
        <v>2011.0</v>
      </c>
      <c r="B62" s="4">
        <v>212.0</v>
      </c>
      <c r="C62" s="4">
        <v>15.25</v>
      </c>
      <c r="D62" s="4">
        <v>27.65</v>
      </c>
      <c r="E62" s="4">
        <f t="shared" si="1"/>
        <v>0</v>
      </c>
      <c r="F62" s="4">
        <f t="shared" si="2"/>
        <v>0</v>
      </c>
      <c r="G62" s="4">
        <f t="shared" si="3"/>
        <v>34.6602</v>
      </c>
      <c r="H62" s="4">
        <f t="shared" si="4"/>
        <v>30.45305</v>
      </c>
      <c r="I62" s="4" t="str">
        <f t="shared" si="5"/>
        <v> </v>
      </c>
      <c r="J62" s="4">
        <v>0.0</v>
      </c>
      <c r="K62" s="4">
        <v>20.69</v>
      </c>
      <c r="L62" s="4">
        <f t="shared" si="6"/>
        <v>3</v>
      </c>
      <c r="M62" s="4">
        <f t="shared" si="7"/>
        <v>1</v>
      </c>
      <c r="N62" s="4">
        <f t="shared" si="8"/>
        <v>0.15541</v>
      </c>
      <c r="O62" s="4">
        <f t="shared" si="9"/>
        <v>0</v>
      </c>
      <c r="P62" s="4">
        <f t="shared" si="10"/>
        <v>20.69</v>
      </c>
    </row>
    <row r="63" ht="15.75" customHeight="1">
      <c r="A63" s="4">
        <v>2011.0</v>
      </c>
      <c r="B63" s="4">
        <v>213.0</v>
      </c>
      <c r="C63" s="4">
        <v>15.69</v>
      </c>
      <c r="D63" s="4">
        <v>25.71</v>
      </c>
      <c r="E63" s="4">
        <f t="shared" si="1"/>
        <v>1</v>
      </c>
      <c r="F63" s="4">
        <f t="shared" si="2"/>
        <v>0</v>
      </c>
      <c r="G63" s="4">
        <f t="shared" si="3"/>
        <v>34.4911</v>
      </c>
      <c r="H63" s="4">
        <f t="shared" si="4"/>
        <v>32.2472</v>
      </c>
      <c r="I63" s="4" t="str">
        <f t="shared" si="5"/>
        <v> </v>
      </c>
      <c r="J63" s="4">
        <v>0.1</v>
      </c>
      <c r="K63" s="4">
        <v>19.39</v>
      </c>
      <c r="L63" s="4">
        <f t="shared" si="6"/>
        <v>8</v>
      </c>
      <c r="M63" s="4">
        <f t="shared" si="7"/>
        <v>1</v>
      </c>
      <c r="N63" s="4">
        <f t="shared" si="8"/>
        <v>0.05845</v>
      </c>
      <c r="O63" s="4">
        <f t="shared" si="9"/>
        <v>0.1</v>
      </c>
      <c r="P63" s="4">
        <f t="shared" si="10"/>
        <v>19.39</v>
      </c>
    </row>
    <row r="64" ht="15.75" customHeight="1">
      <c r="A64" s="4">
        <v>2011.0</v>
      </c>
      <c r="B64" s="4">
        <v>214.0</v>
      </c>
      <c r="C64" s="4">
        <v>12.56</v>
      </c>
      <c r="D64" s="4">
        <v>16.33</v>
      </c>
      <c r="E64" s="4">
        <f t="shared" si="1"/>
        <v>0</v>
      </c>
      <c r="F64" s="4">
        <f t="shared" si="2"/>
        <v>0</v>
      </c>
      <c r="G64" s="4">
        <f t="shared" si="3"/>
        <v>29.0328</v>
      </c>
      <c r="H64" s="4">
        <f t="shared" si="4"/>
        <v>27.99725</v>
      </c>
      <c r="I64" s="4" t="str">
        <f t="shared" si="5"/>
        <v> </v>
      </c>
      <c r="J64" s="4">
        <v>0.0</v>
      </c>
      <c r="K64" s="4">
        <v>14.15</v>
      </c>
      <c r="L64" s="4">
        <f t="shared" si="6"/>
        <v>3</v>
      </c>
      <c r="M64" s="4">
        <f t="shared" si="7"/>
        <v>1</v>
      </c>
      <c r="N64" s="4">
        <f t="shared" si="8"/>
        <v>1.60613</v>
      </c>
      <c r="O64" s="4">
        <f t="shared" si="9"/>
        <v>0</v>
      </c>
      <c r="P64" s="4">
        <f t="shared" si="10"/>
        <v>14.15</v>
      </c>
    </row>
    <row r="65" ht="15.75" customHeight="1">
      <c r="A65" s="4">
        <v>2011.0</v>
      </c>
      <c r="B65" s="4">
        <v>215.0</v>
      </c>
      <c r="C65" s="4">
        <v>10.95</v>
      </c>
      <c r="D65" s="4">
        <v>22.04</v>
      </c>
      <c r="E65" s="4">
        <f t="shared" si="1"/>
        <v>1</v>
      </c>
      <c r="F65" s="4">
        <f t="shared" si="2"/>
        <v>0</v>
      </c>
      <c r="G65" s="4">
        <f t="shared" si="3"/>
        <v>35.7382</v>
      </c>
      <c r="H65" s="4">
        <f t="shared" si="4"/>
        <v>33.63015</v>
      </c>
      <c r="I65" s="4" t="str">
        <f t="shared" si="5"/>
        <v> </v>
      </c>
      <c r="J65" s="4">
        <v>0.1</v>
      </c>
      <c r="K65" s="4">
        <v>14.95</v>
      </c>
      <c r="L65" s="4">
        <f t="shared" si="6"/>
        <v>8</v>
      </c>
      <c r="M65" s="4">
        <f t="shared" si="7"/>
        <v>0</v>
      </c>
      <c r="N65" s="4">
        <f t="shared" si="8"/>
        <v>-6.20557</v>
      </c>
      <c r="O65" s="4">
        <f t="shared" si="9"/>
        <v>0.1</v>
      </c>
      <c r="P65" s="4">
        <f t="shared" si="10"/>
        <v>14.95</v>
      </c>
    </row>
    <row r="66" ht="15.75" customHeight="1">
      <c r="A66" s="4">
        <v>2011.0</v>
      </c>
      <c r="B66" s="4">
        <v>216.0</v>
      </c>
      <c r="C66" s="4">
        <v>9.9</v>
      </c>
      <c r="D66" s="4">
        <v>23.26</v>
      </c>
      <c r="E66" s="4">
        <f t="shared" si="1"/>
        <v>0</v>
      </c>
      <c r="F66" s="4">
        <f t="shared" si="2"/>
        <v>0</v>
      </c>
      <c r="G66" s="4">
        <f t="shared" si="3"/>
        <v>37.2178</v>
      </c>
      <c r="H66" s="4">
        <f t="shared" si="4"/>
        <v>33.1968</v>
      </c>
      <c r="I66" s="4" t="str">
        <f t="shared" si="5"/>
        <v> </v>
      </c>
      <c r="J66" s="4">
        <v>0.0</v>
      </c>
      <c r="K66" s="4">
        <v>16.5</v>
      </c>
      <c r="L66" s="4">
        <f t="shared" si="6"/>
        <v>3</v>
      </c>
      <c r="M66" s="4">
        <f t="shared" si="7"/>
        <v>0</v>
      </c>
      <c r="N66" s="4">
        <f t="shared" si="8"/>
        <v>-5.23813</v>
      </c>
      <c r="O66" s="4">
        <f t="shared" si="9"/>
        <v>0</v>
      </c>
      <c r="P66" s="4">
        <f t="shared" si="10"/>
        <v>16.5</v>
      </c>
    </row>
    <row r="67" ht="15.75" customHeight="1">
      <c r="A67" s="4">
        <v>2011.0</v>
      </c>
      <c r="B67" s="4">
        <v>217.0</v>
      </c>
      <c r="C67" s="4">
        <v>8.83</v>
      </c>
      <c r="D67" s="4">
        <v>24.39</v>
      </c>
      <c r="E67" s="4">
        <f t="shared" si="1"/>
        <v>0</v>
      </c>
      <c r="F67" s="4">
        <f t="shared" si="2"/>
        <v>0</v>
      </c>
      <c r="G67" s="4">
        <f t="shared" si="3"/>
        <v>39.4336</v>
      </c>
      <c r="H67" s="4">
        <f t="shared" si="4"/>
        <v>36.06355</v>
      </c>
      <c r="I67" s="4" t="str">
        <f t="shared" si="5"/>
        <v> </v>
      </c>
      <c r="J67" s="4">
        <v>0.0</v>
      </c>
      <c r="K67" s="4">
        <v>16.56</v>
      </c>
      <c r="L67" s="4">
        <f t="shared" si="6"/>
        <v>3</v>
      </c>
      <c r="M67" s="4">
        <f t="shared" si="7"/>
        <v>0</v>
      </c>
      <c r="N67" s="4">
        <f t="shared" si="8"/>
        <v>-0.04412</v>
      </c>
      <c r="O67" s="4">
        <f t="shared" si="9"/>
        <v>0</v>
      </c>
      <c r="P67" s="4">
        <f t="shared" si="10"/>
        <v>16.56</v>
      </c>
    </row>
    <row r="68" ht="15.75" customHeight="1">
      <c r="A68" s="4">
        <v>2011.0</v>
      </c>
      <c r="B68" s="4">
        <v>218.0</v>
      </c>
      <c r="C68" s="4">
        <v>9.63</v>
      </c>
      <c r="D68" s="4">
        <v>26.41</v>
      </c>
      <c r="E68" s="4">
        <f t="shared" si="1"/>
        <v>1</v>
      </c>
      <c r="F68" s="4">
        <f t="shared" si="2"/>
        <v>0</v>
      </c>
      <c r="G68" s="4">
        <f t="shared" si="3"/>
        <v>34.9495</v>
      </c>
      <c r="H68" s="4">
        <f t="shared" si="4"/>
        <v>31.22155</v>
      </c>
      <c r="I68" s="4" t="str">
        <f t="shared" si="5"/>
        <v> </v>
      </c>
      <c r="J68" s="4">
        <v>0.1</v>
      </c>
      <c r="K68" s="4">
        <v>18.43</v>
      </c>
      <c r="L68" s="4">
        <f t="shared" si="6"/>
        <v>8</v>
      </c>
      <c r="M68" s="4">
        <f t="shared" si="7"/>
        <v>0</v>
      </c>
      <c r="N68" s="4">
        <f t="shared" si="8"/>
        <v>-6.67334</v>
      </c>
      <c r="O68" s="4">
        <f t="shared" si="9"/>
        <v>0.1</v>
      </c>
      <c r="P68" s="4">
        <f t="shared" si="10"/>
        <v>18.43</v>
      </c>
    </row>
    <row r="69" ht="15.75" customHeight="1">
      <c r="A69" s="4">
        <v>2011.0</v>
      </c>
      <c r="B69" s="4">
        <v>219.0</v>
      </c>
      <c r="C69" s="4">
        <v>11.36</v>
      </c>
      <c r="D69" s="4">
        <v>24.96</v>
      </c>
      <c r="E69" s="4">
        <f t="shared" si="1"/>
        <v>0</v>
      </c>
      <c r="F69" s="4">
        <f t="shared" si="2"/>
        <v>0</v>
      </c>
      <c r="G69" s="4">
        <f t="shared" si="3"/>
        <v>34.0575</v>
      </c>
      <c r="H69" s="4">
        <f t="shared" si="4"/>
        <v>30.7354</v>
      </c>
      <c r="I69" s="4" t="str">
        <f t="shared" si="5"/>
        <v> </v>
      </c>
      <c r="J69" s="4">
        <v>0.0</v>
      </c>
      <c r="K69" s="4">
        <v>18.42</v>
      </c>
      <c r="L69" s="4">
        <f t="shared" si="6"/>
        <v>3</v>
      </c>
      <c r="M69" s="4">
        <f t="shared" si="7"/>
        <v>0</v>
      </c>
      <c r="N69" s="4">
        <f t="shared" si="8"/>
        <v>-6.47299</v>
      </c>
      <c r="O69" s="4">
        <f t="shared" si="9"/>
        <v>0</v>
      </c>
      <c r="P69" s="4">
        <f t="shared" si="10"/>
        <v>18.42</v>
      </c>
    </row>
    <row r="70" ht="15.75" customHeight="1">
      <c r="A70" s="4">
        <v>2011.0</v>
      </c>
      <c r="B70" s="4">
        <v>220.0</v>
      </c>
      <c r="C70" s="4">
        <v>11.29</v>
      </c>
      <c r="D70" s="4">
        <v>28.5</v>
      </c>
      <c r="E70" s="4">
        <f t="shared" si="1"/>
        <v>0</v>
      </c>
      <c r="F70" s="4">
        <f t="shared" si="2"/>
        <v>0</v>
      </c>
      <c r="G70" s="4">
        <f t="shared" si="3"/>
        <v>33.1185</v>
      </c>
      <c r="H70" s="4">
        <f t="shared" si="4"/>
        <v>27.65875</v>
      </c>
      <c r="I70" s="4" t="str">
        <f t="shared" si="5"/>
        <v> </v>
      </c>
      <c r="J70" s="4">
        <v>0.0</v>
      </c>
      <c r="K70" s="4">
        <v>20.95</v>
      </c>
      <c r="L70" s="4">
        <f t="shared" si="6"/>
        <v>3</v>
      </c>
      <c r="M70" s="4">
        <f t="shared" si="7"/>
        <v>0</v>
      </c>
      <c r="N70" s="4">
        <f t="shared" si="8"/>
        <v>-9.59372</v>
      </c>
      <c r="O70" s="4">
        <f t="shared" si="9"/>
        <v>0</v>
      </c>
      <c r="P70" s="4">
        <f t="shared" si="10"/>
        <v>20.95</v>
      </c>
    </row>
    <row r="71" ht="15.75" customHeight="1">
      <c r="A71" s="4">
        <v>2011.0</v>
      </c>
      <c r="B71" s="4">
        <v>221.0</v>
      </c>
      <c r="C71" s="4">
        <v>18.01</v>
      </c>
      <c r="D71" s="4">
        <v>29.54</v>
      </c>
      <c r="E71" s="4">
        <f t="shared" si="1"/>
        <v>0</v>
      </c>
      <c r="F71" s="4">
        <f t="shared" si="2"/>
        <v>0</v>
      </c>
      <c r="G71" s="4">
        <f t="shared" si="3"/>
        <v>32.0192</v>
      </c>
      <c r="H71" s="4">
        <f t="shared" si="4"/>
        <v>29.758</v>
      </c>
      <c r="I71" s="4" t="str">
        <f t="shared" si="5"/>
        <v> </v>
      </c>
      <c r="J71" s="4">
        <v>0.0</v>
      </c>
      <c r="K71" s="4">
        <v>22.79</v>
      </c>
      <c r="L71" s="4">
        <f t="shared" si="6"/>
        <v>3</v>
      </c>
      <c r="M71" s="4">
        <f t="shared" si="7"/>
        <v>0</v>
      </c>
      <c r="N71" s="4">
        <f t="shared" si="8"/>
        <v>-3.97894</v>
      </c>
      <c r="O71" s="4">
        <f t="shared" si="9"/>
        <v>0</v>
      </c>
      <c r="P71" s="4">
        <f t="shared" si="10"/>
        <v>22.79</v>
      </c>
    </row>
    <row r="72" ht="15.75" customHeight="1">
      <c r="A72" s="4">
        <v>2011.0</v>
      </c>
      <c r="B72" s="4">
        <v>222.0</v>
      </c>
      <c r="C72" s="4">
        <v>14.22</v>
      </c>
      <c r="D72" s="4">
        <v>18.01</v>
      </c>
      <c r="E72" s="4">
        <f t="shared" si="1"/>
        <v>0</v>
      </c>
      <c r="F72" s="4">
        <f t="shared" si="2"/>
        <v>0</v>
      </c>
      <c r="G72" s="4">
        <f t="shared" si="3"/>
        <v>27.522</v>
      </c>
      <c r="H72" s="4">
        <f t="shared" si="4"/>
        <v>24.6362</v>
      </c>
      <c r="I72" s="4" t="str">
        <f t="shared" si="5"/>
        <v> </v>
      </c>
      <c r="J72" s="4">
        <v>0.0</v>
      </c>
      <c r="K72" s="4">
        <v>15.69</v>
      </c>
      <c r="L72" s="4">
        <f t="shared" si="6"/>
        <v>3</v>
      </c>
      <c r="M72" s="4">
        <f t="shared" si="7"/>
        <v>1</v>
      </c>
      <c r="N72" s="4">
        <f t="shared" si="8"/>
        <v>2.77622</v>
      </c>
      <c r="O72" s="4">
        <f t="shared" si="9"/>
        <v>0</v>
      </c>
      <c r="P72" s="4">
        <f t="shared" si="10"/>
        <v>15.69</v>
      </c>
    </row>
    <row r="73" ht="15.75" customHeight="1">
      <c r="A73" s="4">
        <v>2011.0</v>
      </c>
      <c r="B73" s="4">
        <v>231.0</v>
      </c>
      <c r="C73" s="4">
        <v>12.85</v>
      </c>
      <c r="D73" s="4">
        <v>24.19</v>
      </c>
      <c r="E73" s="4">
        <f t="shared" si="1"/>
        <v>1</v>
      </c>
      <c r="F73" s="4">
        <f t="shared" si="2"/>
        <v>0</v>
      </c>
      <c r="G73" s="4">
        <f t="shared" si="3"/>
        <v>32.24691</v>
      </c>
      <c r="H73" s="4">
        <f t="shared" si="4"/>
        <v>29.6134</v>
      </c>
      <c r="I73" s="4" t="str">
        <f t="shared" si="5"/>
        <v> </v>
      </c>
      <c r="J73" s="4">
        <v>0.1</v>
      </c>
      <c r="K73" s="4">
        <v>17.33</v>
      </c>
      <c r="L73" s="4">
        <f t="shared" si="6"/>
        <v>8</v>
      </c>
      <c r="M73" s="4">
        <f t="shared" si="7"/>
        <v>1</v>
      </c>
      <c r="N73" s="4">
        <f t="shared" si="8"/>
        <v>1.39826</v>
      </c>
      <c r="O73" s="4">
        <f t="shared" si="9"/>
        <v>0.1</v>
      </c>
      <c r="P73" s="4">
        <f t="shared" si="10"/>
        <v>17.33</v>
      </c>
    </row>
    <row r="74" ht="15.75" customHeight="1">
      <c r="A74" s="4">
        <v>2011.0</v>
      </c>
      <c r="B74" s="4">
        <v>232.0</v>
      </c>
      <c r="C74" s="4">
        <v>13.1</v>
      </c>
      <c r="D74" s="4">
        <v>21.14</v>
      </c>
      <c r="E74" s="4">
        <f t="shared" si="1"/>
        <v>0</v>
      </c>
      <c r="F74" s="4">
        <f t="shared" si="2"/>
        <v>0</v>
      </c>
      <c r="G74" s="4">
        <f t="shared" si="3"/>
        <v>28.16413</v>
      </c>
      <c r="H74" s="4">
        <f t="shared" si="4"/>
        <v>27.104065</v>
      </c>
      <c r="I74" s="4" t="str">
        <f t="shared" si="5"/>
        <v> </v>
      </c>
      <c r="J74" s="4">
        <v>0.0</v>
      </c>
      <c r="K74" s="4">
        <v>16.71</v>
      </c>
      <c r="L74" s="4">
        <f t="shared" si="6"/>
        <v>3</v>
      </c>
      <c r="M74" s="4">
        <f t="shared" si="7"/>
        <v>1</v>
      </c>
      <c r="N74" s="4">
        <f t="shared" si="8"/>
        <v>0.71361</v>
      </c>
      <c r="O74" s="4">
        <f t="shared" si="9"/>
        <v>0</v>
      </c>
      <c r="P74" s="4">
        <f t="shared" si="10"/>
        <v>16.71</v>
      </c>
    </row>
    <row r="75" ht="15.75" customHeight="1">
      <c r="A75" s="4">
        <v>2011.0</v>
      </c>
      <c r="B75" s="4">
        <v>233.0</v>
      </c>
      <c r="C75" s="4">
        <v>13.48</v>
      </c>
      <c r="D75" s="4">
        <v>18.3</v>
      </c>
      <c r="E75" s="4">
        <f t="shared" si="1"/>
        <v>1</v>
      </c>
      <c r="F75" s="4">
        <f t="shared" si="2"/>
        <v>0</v>
      </c>
      <c r="G75" s="4">
        <f t="shared" si="3"/>
        <v>32.9261</v>
      </c>
      <c r="H75" s="4">
        <f t="shared" si="4"/>
        <v>30.905705</v>
      </c>
      <c r="I75" s="4" t="str">
        <f t="shared" si="5"/>
        <v> </v>
      </c>
      <c r="J75" s="4">
        <v>0.1</v>
      </c>
      <c r="K75" s="4">
        <v>15.32</v>
      </c>
      <c r="L75" s="4">
        <f t="shared" si="6"/>
        <v>8</v>
      </c>
      <c r="M75" s="4">
        <f t="shared" si="7"/>
        <v>0</v>
      </c>
      <c r="N75" s="4">
        <f t="shared" si="8"/>
        <v>-6.900622</v>
      </c>
      <c r="O75" s="4">
        <f t="shared" si="9"/>
        <v>0.1</v>
      </c>
      <c r="P75" s="4">
        <f t="shared" si="10"/>
        <v>15.32</v>
      </c>
    </row>
    <row r="76" ht="15.75" customHeight="1">
      <c r="A76" s="4">
        <v>2011.0</v>
      </c>
      <c r="B76" s="4">
        <v>234.0</v>
      </c>
      <c r="C76" s="4">
        <v>9.63</v>
      </c>
      <c r="D76" s="4">
        <v>22.99</v>
      </c>
      <c r="E76" s="4">
        <f t="shared" si="1"/>
        <v>0</v>
      </c>
      <c r="F76" s="4">
        <f t="shared" si="2"/>
        <v>0</v>
      </c>
      <c r="G76" s="4">
        <f t="shared" si="3"/>
        <v>32.43874</v>
      </c>
      <c r="H76" s="4">
        <f t="shared" si="4"/>
        <v>29.08775</v>
      </c>
      <c r="I76" s="4" t="str">
        <f t="shared" si="5"/>
        <v> </v>
      </c>
      <c r="J76" s="4">
        <v>0.0</v>
      </c>
      <c r="K76" s="4">
        <v>15.89</v>
      </c>
      <c r="L76" s="4">
        <f t="shared" si="6"/>
        <v>3</v>
      </c>
      <c r="M76" s="4">
        <f t="shared" si="7"/>
        <v>0</v>
      </c>
      <c r="N76" s="4">
        <f t="shared" si="8"/>
        <v>-6.077595</v>
      </c>
      <c r="O76" s="4">
        <f t="shared" si="9"/>
        <v>0</v>
      </c>
      <c r="P76" s="4">
        <f t="shared" si="10"/>
        <v>15.89</v>
      </c>
    </row>
    <row r="77" ht="15.75" customHeight="1">
      <c r="A77" s="4">
        <v>2011.0</v>
      </c>
      <c r="B77" s="4">
        <v>235.0</v>
      </c>
      <c r="C77" s="4">
        <v>6.231</v>
      </c>
      <c r="D77" s="4">
        <v>24.21</v>
      </c>
      <c r="E77" s="4">
        <f t="shared" si="1"/>
        <v>0</v>
      </c>
      <c r="F77" s="4">
        <f t="shared" si="2"/>
        <v>0</v>
      </c>
      <c r="G77" s="4">
        <f t="shared" si="3"/>
        <v>34.63481</v>
      </c>
      <c r="H77" s="4">
        <f t="shared" si="4"/>
        <v>33.911355</v>
      </c>
      <c r="I77" s="4" t="str">
        <f t="shared" si="5"/>
        <v> </v>
      </c>
      <c r="J77" s="4">
        <v>0.0</v>
      </c>
      <c r="K77" s="4">
        <v>14.83</v>
      </c>
      <c r="L77" s="4">
        <f t="shared" si="6"/>
        <v>3</v>
      </c>
      <c r="M77" s="4">
        <f t="shared" si="7"/>
        <v>0</v>
      </c>
      <c r="N77" s="4">
        <f t="shared" si="8"/>
        <v>-2.874421</v>
      </c>
      <c r="O77" s="4">
        <f t="shared" si="9"/>
        <v>0</v>
      </c>
      <c r="P77" s="4">
        <f t="shared" si="10"/>
        <v>14.83</v>
      </c>
    </row>
    <row r="78" ht="15.75" customHeight="1">
      <c r="A78" s="4">
        <v>2011.0</v>
      </c>
      <c r="B78" s="4">
        <v>236.0</v>
      </c>
      <c r="C78" s="4">
        <v>6.767</v>
      </c>
      <c r="D78" s="4">
        <v>22.86</v>
      </c>
      <c r="E78" s="4">
        <f t="shared" si="1"/>
        <v>1</v>
      </c>
      <c r="F78" s="4">
        <f t="shared" si="2"/>
        <v>0</v>
      </c>
      <c r="G78" s="4">
        <f t="shared" si="3"/>
        <v>37.06608</v>
      </c>
      <c r="H78" s="4">
        <f t="shared" si="4"/>
        <v>34.11369</v>
      </c>
      <c r="I78" s="4" t="str">
        <f t="shared" si="5"/>
        <v> </v>
      </c>
      <c r="J78" s="4">
        <v>0.1</v>
      </c>
      <c r="K78" s="4">
        <v>14.53</v>
      </c>
      <c r="L78" s="4">
        <f t="shared" si="6"/>
        <v>8</v>
      </c>
      <c r="M78" s="4">
        <f t="shared" si="7"/>
        <v>0</v>
      </c>
      <c r="N78" s="4">
        <f t="shared" si="8"/>
        <v>-7.362774</v>
      </c>
      <c r="O78" s="4">
        <f t="shared" si="9"/>
        <v>0.1</v>
      </c>
      <c r="P78" s="4">
        <f t="shared" si="10"/>
        <v>14.53</v>
      </c>
    </row>
    <row r="79" ht="15.75" customHeight="1">
      <c r="A79" s="4">
        <v>2011.0</v>
      </c>
      <c r="B79" s="4">
        <v>237.0</v>
      </c>
      <c r="C79" s="4">
        <v>4.994</v>
      </c>
      <c r="D79" s="4">
        <v>25.2</v>
      </c>
      <c r="E79" s="4">
        <f t="shared" si="1"/>
        <v>0</v>
      </c>
      <c r="F79" s="4">
        <f t="shared" si="2"/>
        <v>0</v>
      </c>
      <c r="G79" s="4">
        <f t="shared" si="3"/>
        <v>35.91197</v>
      </c>
      <c r="H79" s="4">
        <f t="shared" si="4"/>
        <v>32.34577</v>
      </c>
      <c r="I79" s="4" t="str">
        <f t="shared" si="5"/>
        <v> </v>
      </c>
      <c r="J79" s="4">
        <v>0.0</v>
      </c>
      <c r="K79" s="4">
        <v>14.45</v>
      </c>
      <c r="L79" s="4">
        <f t="shared" si="6"/>
        <v>3</v>
      </c>
      <c r="M79" s="4">
        <f t="shared" si="7"/>
        <v>0</v>
      </c>
      <c r="N79" s="4">
        <f t="shared" si="8"/>
        <v>-3.694363</v>
      </c>
      <c r="O79" s="4">
        <f t="shared" si="9"/>
        <v>0</v>
      </c>
      <c r="P79" s="4">
        <f t="shared" si="10"/>
        <v>14.45</v>
      </c>
    </row>
    <row r="80" ht="15.75" customHeight="1">
      <c r="A80" s="4">
        <v>2011.0</v>
      </c>
      <c r="B80" s="4">
        <v>238.0</v>
      </c>
      <c r="C80" s="4">
        <v>6.499</v>
      </c>
      <c r="D80" s="4">
        <v>24.12</v>
      </c>
      <c r="E80" s="4">
        <f t="shared" si="1"/>
        <v>0</v>
      </c>
      <c r="F80" s="4">
        <f t="shared" si="2"/>
        <v>0</v>
      </c>
      <c r="G80" s="4">
        <f t="shared" si="3"/>
        <v>37.0349</v>
      </c>
      <c r="H80" s="4">
        <f t="shared" si="4"/>
        <v>33.60976</v>
      </c>
      <c r="I80" s="4" t="str">
        <f t="shared" si="5"/>
        <v> </v>
      </c>
      <c r="J80" s="4">
        <v>0.0</v>
      </c>
      <c r="K80" s="4">
        <v>15.01</v>
      </c>
      <c r="L80" s="4">
        <f t="shared" si="6"/>
        <v>3</v>
      </c>
      <c r="M80" s="4">
        <f t="shared" si="7"/>
        <v>0</v>
      </c>
      <c r="N80" s="4">
        <f t="shared" si="8"/>
        <v>-1.843594</v>
      </c>
      <c r="O80" s="4">
        <f t="shared" si="9"/>
        <v>0</v>
      </c>
      <c r="P80" s="4">
        <f t="shared" si="10"/>
        <v>15.01</v>
      </c>
    </row>
    <row r="81" ht="15.75" customHeight="1">
      <c r="A81" s="4">
        <v>2011.0</v>
      </c>
      <c r="B81" s="4">
        <v>239.0</v>
      </c>
      <c r="C81" s="4">
        <v>11.96</v>
      </c>
      <c r="D81" s="4">
        <v>25.83</v>
      </c>
      <c r="E81" s="4">
        <f t="shared" si="1"/>
        <v>1</v>
      </c>
      <c r="F81" s="4">
        <f t="shared" si="2"/>
        <v>0</v>
      </c>
      <c r="G81" s="4">
        <f t="shared" si="3"/>
        <v>39.7602</v>
      </c>
      <c r="H81" s="4">
        <f t="shared" si="4"/>
        <v>35.6922</v>
      </c>
      <c r="I81" s="4" t="str">
        <f t="shared" si="5"/>
        <v> </v>
      </c>
      <c r="J81" s="4">
        <v>0.1</v>
      </c>
      <c r="K81" s="4">
        <v>18.12</v>
      </c>
      <c r="L81" s="4">
        <f t="shared" si="6"/>
        <v>8</v>
      </c>
      <c r="M81" s="4">
        <f t="shared" si="7"/>
        <v>0</v>
      </c>
      <c r="N81" s="4">
        <f t="shared" si="8"/>
        <v>-6.53774</v>
      </c>
      <c r="O81" s="4">
        <f t="shared" si="9"/>
        <v>0.1</v>
      </c>
      <c r="P81" s="4">
        <f t="shared" si="10"/>
        <v>18.12</v>
      </c>
    </row>
    <row r="82" ht="15.75" customHeight="1">
      <c r="A82" s="4">
        <v>2011.0</v>
      </c>
      <c r="B82" s="4">
        <v>240.0</v>
      </c>
      <c r="C82" s="4">
        <v>9.03</v>
      </c>
      <c r="D82" s="4">
        <v>25.78</v>
      </c>
      <c r="E82" s="4">
        <f t="shared" si="1"/>
        <v>0</v>
      </c>
      <c r="F82" s="4">
        <f t="shared" si="2"/>
        <v>0</v>
      </c>
      <c r="G82" s="4">
        <f t="shared" si="3"/>
        <v>16.6691</v>
      </c>
      <c r="H82" s="4">
        <f t="shared" si="4"/>
        <v>12.1829</v>
      </c>
      <c r="I82" s="4" t="str">
        <f t="shared" si="5"/>
        <v> </v>
      </c>
      <c r="J82" s="4">
        <v>0.0</v>
      </c>
      <c r="K82" s="4">
        <v>17.73</v>
      </c>
      <c r="L82" s="4">
        <f t="shared" si="6"/>
        <v>3</v>
      </c>
      <c r="M82" s="4">
        <f t="shared" si="7"/>
        <v>0</v>
      </c>
      <c r="N82" s="4">
        <f t="shared" si="8"/>
        <v>-9.07856</v>
      </c>
      <c r="O82" s="4">
        <f t="shared" si="9"/>
        <v>0</v>
      </c>
      <c r="P82" s="4">
        <f t="shared" si="10"/>
        <v>17.73</v>
      </c>
    </row>
    <row r="83" ht="15.75" customHeight="1">
      <c r="A83" s="4">
        <v>2011.0</v>
      </c>
      <c r="B83" s="4">
        <v>241.0</v>
      </c>
      <c r="C83" s="4">
        <v>10.7</v>
      </c>
      <c r="D83" s="4">
        <v>27.41</v>
      </c>
      <c r="E83" s="4">
        <f t="shared" si="1"/>
        <v>0</v>
      </c>
      <c r="F83" s="4">
        <f t="shared" si="2"/>
        <v>0</v>
      </c>
      <c r="G83" s="4">
        <f t="shared" si="3"/>
        <v>10.2679</v>
      </c>
      <c r="H83" s="4">
        <f t="shared" si="4"/>
        <v>8.6091</v>
      </c>
      <c r="I83" s="4" t="str">
        <f t="shared" si="5"/>
        <v> </v>
      </c>
      <c r="J83" s="4">
        <v>0.0</v>
      </c>
      <c r="K83" s="4">
        <v>18.9</v>
      </c>
      <c r="L83" s="4">
        <f t="shared" si="6"/>
        <v>3</v>
      </c>
      <c r="M83" s="4">
        <f t="shared" si="7"/>
        <v>0</v>
      </c>
      <c r="N83" s="4">
        <f t="shared" si="8"/>
        <v>-11.2648</v>
      </c>
      <c r="O83" s="4">
        <f t="shared" si="9"/>
        <v>0</v>
      </c>
      <c r="P83" s="4">
        <f t="shared" si="10"/>
        <v>18.9</v>
      </c>
    </row>
    <row r="84" ht="15.75" customHeight="1">
      <c r="A84" s="4">
        <v>2011.0</v>
      </c>
      <c r="B84" s="4">
        <v>242.0</v>
      </c>
      <c r="C84" s="4">
        <v>13.3</v>
      </c>
      <c r="D84" s="4">
        <v>27.61</v>
      </c>
      <c r="E84" s="4">
        <f t="shared" si="1"/>
        <v>0</v>
      </c>
      <c r="F84" s="4">
        <f t="shared" si="2"/>
        <v>0</v>
      </c>
      <c r="G84" s="4">
        <f t="shared" si="3"/>
        <v>1.7682</v>
      </c>
      <c r="H84" s="4">
        <f t="shared" si="4"/>
        <v>-2.11</v>
      </c>
      <c r="I84" s="4" t="str">
        <f t="shared" si="5"/>
        <v> </v>
      </c>
      <c r="J84" s="4">
        <v>0.0</v>
      </c>
      <c r="K84" s="4">
        <v>20.25</v>
      </c>
      <c r="L84" s="4">
        <f t="shared" si="6"/>
        <v>3</v>
      </c>
      <c r="M84" s="4">
        <f t="shared" si="7"/>
        <v>0</v>
      </c>
      <c r="N84" s="4">
        <f t="shared" si="8"/>
        <v>-14.07361</v>
      </c>
      <c r="O84" s="4">
        <f t="shared" si="9"/>
        <v>0</v>
      </c>
      <c r="P84" s="4">
        <f t="shared" si="10"/>
        <v>20.25</v>
      </c>
    </row>
    <row r="85" ht="15.75" customHeight="1">
      <c r="A85" s="4">
        <v>2011.0</v>
      </c>
      <c r="B85" s="4">
        <v>243.0</v>
      </c>
      <c r="C85" s="4">
        <v>10.66</v>
      </c>
      <c r="D85" s="4">
        <v>25.09</v>
      </c>
      <c r="E85" s="4">
        <f t="shared" si="1"/>
        <v>0</v>
      </c>
      <c r="F85" s="4">
        <f t="shared" si="2"/>
        <v>0</v>
      </c>
      <c r="G85" s="4">
        <f t="shared" si="3"/>
        <v>-10.4545</v>
      </c>
      <c r="H85" s="4">
        <f t="shared" si="4"/>
        <v>-12.9749</v>
      </c>
      <c r="I85" s="4" t="str">
        <f t="shared" si="5"/>
        <v> </v>
      </c>
      <c r="J85" s="4">
        <v>0.0</v>
      </c>
      <c r="K85" s="4">
        <v>17.14</v>
      </c>
      <c r="L85" s="4">
        <f t="shared" si="6"/>
        <v>3</v>
      </c>
      <c r="M85" s="4">
        <f t="shared" si="7"/>
        <v>0</v>
      </c>
      <c r="N85" s="4">
        <f t="shared" si="8"/>
        <v>-6.9248</v>
      </c>
      <c r="O85" s="4">
        <f t="shared" si="9"/>
        <v>0</v>
      </c>
      <c r="P85" s="4">
        <f t="shared" si="10"/>
        <v>17.14</v>
      </c>
    </row>
    <row r="86" ht="15.75" customHeight="1">
      <c r="F86" s="4">
        <f t="shared" si="2"/>
        <v>1</v>
      </c>
      <c r="G86" s="4">
        <f t="shared" si="3"/>
        <v>-32.47</v>
      </c>
      <c r="H86" s="4">
        <f t="shared" si="4"/>
        <v>-31.34</v>
      </c>
      <c r="I86" s="4">
        <f t="shared" si="5"/>
        <v>1.13</v>
      </c>
      <c r="K86" s="4">
        <v>15.12</v>
      </c>
      <c r="L86" s="4">
        <f t="shared" si="6"/>
        <v>3</v>
      </c>
      <c r="M86" s="4">
        <f t="shared" si="7"/>
        <v>0</v>
      </c>
      <c r="N86" s="4">
        <f t="shared" si="8"/>
        <v>-1.548</v>
      </c>
      <c r="O86" s="4" t="str">
        <f t="shared" si="9"/>
        <v/>
      </c>
      <c r="P86" s="4">
        <f t="shared" si="10"/>
        <v>15.12</v>
      </c>
    </row>
    <row r="87" ht="15.75" customHeight="1">
      <c r="F87" s="4">
        <f t="shared" si="2"/>
        <v>1</v>
      </c>
      <c r="G87" s="4">
        <f t="shared" si="3"/>
        <v>-32.47</v>
      </c>
      <c r="H87" s="4">
        <f t="shared" si="4"/>
        <v>-31.34</v>
      </c>
      <c r="I87" s="4">
        <f t="shared" si="5"/>
        <v>1.13</v>
      </c>
      <c r="K87" s="4">
        <v>15.89</v>
      </c>
      <c r="L87" s="4">
        <f t="shared" si="6"/>
        <v>3</v>
      </c>
      <c r="M87" s="4">
        <f t="shared" si="7"/>
        <v>0</v>
      </c>
      <c r="N87" s="4">
        <f t="shared" si="8"/>
        <v>-1.548</v>
      </c>
      <c r="O87" s="4" t="str">
        <f t="shared" si="9"/>
        <v/>
      </c>
      <c r="P87" s="4">
        <f t="shared" si="10"/>
        <v>15.89</v>
      </c>
    </row>
    <row r="88" ht="15.75" customHeight="1">
      <c r="K88" s="4">
        <v>16.1</v>
      </c>
      <c r="L88" s="4">
        <f t="shared" si="6"/>
        <v>3</v>
      </c>
      <c r="O88" s="4" t="str">
        <f t="shared" si="9"/>
        <v/>
      </c>
      <c r="P88" s="4">
        <f t="shared" si="10"/>
        <v>16.1</v>
      </c>
    </row>
    <row r="89" ht="15.75" customHeight="1">
      <c r="K89" s="4">
        <v>15.19</v>
      </c>
      <c r="L89" s="4">
        <f t="shared" si="6"/>
        <v>3</v>
      </c>
      <c r="O89" s="4" t="str">
        <f t="shared" si="9"/>
        <v/>
      </c>
      <c r="P89" s="4">
        <f t="shared" si="10"/>
        <v>15.19</v>
      </c>
    </row>
    <row r="90" ht="15.75" customHeight="1">
      <c r="K90" s="4">
        <v>15.01</v>
      </c>
      <c r="L90" s="4">
        <f t="shared" si="6"/>
        <v>3</v>
      </c>
      <c r="O90" s="4" t="str">
        <f t="shared" si="9"/>
        <v/>
      </c>
      <c r="P90" s="4">
        <f t="shared" si="10"/>
        <v>15.01</v>
      </c>
    </row>
    <row r="91" ht="15.75" customHeight="1">
      <c r="K91" s="4">
        <v>14.3</v>
      </c>
      <c r="L91" s="4">
        <f t="shared" si="6"/>
        <v>3</v>
      </c>
      <c r="O91" s="4" t="str">
        <f t="shared" si="9"/>
        <v/>
      </c>
      <c r="P91" s="4">
        <f t="shared" si="10"/>
        <v>14.3</v>
      </c>
    </row>
    <row r="92" ht="15.75" customHeight="1">
      <c r="K92" s="4">
        <v>12.88</v>
      </c>
      <c r="L92" s="4">
        <f t="shared" si="6"/>
        <v>3</v>
      </c>
      <c r="O92" s="4" t="str">
        <f t="shared" si="9"/>
        <v/>
      </c>
      <c r="P92" s="4">
        <f t="shared" si="10"/>
        <v>12.88</v>
      </c>
    </row>
    <row r="93" ht="15.75" customHeight="1">
      <c r="K93" s="4">
        <v>10.77</v>
      </c>
      <c r="L93" s="4">
        <f t="shared" si="6"/>
        <v>3</v>
      </c>
      <c r="O93" s="4" t="str">
        <f t="shared" si="9"/>
        <v/>
      </c>
      <c r="P93" s="4">
        <f t="shared" si="10"/>
        <v>10.77</v>
      </c>
    </row>
    <row r="94" ht="15.75" customHeight="1"/>
    <row r="95" ht="15.75" customHeight="1"/>
    <row r="96" ht="15.75" customHeight="1">
      <c r="O96" s="4">
        <f>SUM(O2:O93)</f>
        <v>24.9</v>
      </c>
      <c r="P96" s="4">
        <f>SUMIF(P2:P93,"&gt;0")/10</f>
        <v>177.36</v>
      </c>
    </row>
    <row r="97" ht="15.75" customHeight="1"/>
    <row r="98" ht="15.75" customHeight="1">
      <c r="I98" s="4">
        <f>SUM(I2:I87)</f>
        <v>15.7691</v>
      </c>
      <c r="O98" s="4" t="s">
        <v>15</v>
      </c>
      <c r="P98" s="4">
        <f>O96/P96</f>
        <v>0.1403924222</v>
      </c>
    </row>
    <row r="99" ht="15.75" customHeight="1">
      <c r="I99" s="4">
        <f>SUM(I2:I31)</f>
        <v>13.5091</v>
      </c>
      <c r="O99" s="4" t="s">
        <v>16</v>
      </c>
      <c r="P99" s="4">
        <f>SUM(O2:O31)/(SUM(P2:P31)/10)</f>
        <v>0.3813868938</v>
      </c>
    </row>
    <row r="100" ht="15.75" customHeight="1">
      <c r="I100" s="4">
        <f>SUM(I32:I62)</f>
        <v>0</v>
      </c>
      <c r="O100" s="4" t="s">
        <v>17</v>
      </c>
      <c r="P100" s="4">
        <f>SUM(O33:O62)/(SUM(P33:P62)/10)</f>
        <v>0.04128393023</v>
      </c>
    </row>
    <row r="101" ht="15.75" customHeight="1">
      <c r="I101" s="4">
        <f>SUM(I63:I93)</f>
        <v>2.26</v>
      </c>
      <c r="O101" s="4" t="s">
        <v>18</v>
      </c>
      <c r="P101" s="4">
        <f>SUM(O63:O93)/(SUM(P63:P93)/10)</f>
        <v>0.013744355</v>
      </c>
    </row>
    <row r="102" ht="15.75" customHeight="1">
      <c r="I102" s="4">
        <f>SUMIF(I2:I87,"&gt;0")</f>
        <v>15.7691</v>
      </c>
    </row>
    <row r="103" ht="15.75" customHeight="1">
      <c r="I103" s="4">
        <f>SUMIF(I2:I31,"&gt;0")</f>
        <v>13.5091</v>
      </c>
    </row>
    <row r="104" ht="15.75" customHeight="1">
      <c r="I104" s="4">
        <f>SUMIF(I32:I62,"&gt;0")</f>
        <v>0</v>
      </c>
      <c r="P104" s="4">
        <f>SUM(O16:O35)/(SUM(P16:P35)/10)</f>
        <v>0.1287261163</v>
      </c>
    </row>
    <row r="105" ht="15.75" customHeight="1">
      <c r="I105" s="4">
        <f>SUMIF(I63:I87,"&gt;0")</f>
        <v>2.26</v>
      </c>
      <c r="P105" s="4">
        <f>SUM(O36:O55)/(SUM(P36:P55)/10)</f>
        <v>0.009013678257</v>
      </c>
    </row>
    <row r="106" ht="15.75" customHeight="1">
      <c r="P106" s="4">
        <f>SUM(O56:O77)/(SUM(P56:P77)/10)</f>
        <v>0.0609099002</v>
      </c>
    </row>
    <row r="107" ht="15.75" customHeight="1">
      <c r="P107" s="4">
        <f>SUM(O16:O77)/(SUM(P16:P77)/10)</f>
        <v>0.06393962836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2012.0</v>
      </c>
      <c r="B2" s="9">
        <v>153.0</v>
      </c>
      <c r="C2" s="4">
        <v>3.7</v>
      </c>
      <c r="D2" s="4">
        <v>18.69</v>
      </c>
      <c r="E2" s="4">
        <f t="shared" ref="E2:E93" si="1">IF(J2&gt;0,1,0)</f>
        <v>0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20.58105</v>
      </c>
      <c r="H2" s="4">
        <f t="shared" ref="H2:H87" si="4">0.63 * D2 + 0.37 * D3 + 0.49 * D4 + 0.22 * D5 + 0.65 * D6 + 0.24 *C2 - 0.06 * C3- 0.15 * C4 - 0.135 * C5 + 0.15 * C6 + 4.88 * E2 + 3.55 * E3 + 3.34 *E4 + 2.5 * E5 + 2.29 *E6-31.34</f>
        <v>19.635545</v>
      </c>
      <c r="I2" s="4" t="str">
        <f t="shared" ref="I2:I87" si="5">IF((H2-G2)&gt;0,H2-G2," ")</f>
        <v> </v>
      </c>
      <c r="J2" s="4">
        <v>0.0</v>
      </c>
      <c r="K2" s="4">
        <v>11.37</v>
      </c>
      <c r="L2" s="4">
        <f t="shared" ref="L2:L93" si="6">IF(E2&gt;0,8,3)</f>
        <v>3</v>
      </c>
      <c r="M2" s="4">
        <f t="shared" ref="M2:M87" si="7">IF(N2&gt;=0,1,0)</f>
        <v>1</v>
      </c>
      <c r="N2" s="4">
        <f t="shared" ref="N2:N87" si="8">-0.216*D2-0.191*D3-0.119*D4+0.004*C2-0.171*C3+0.628*C4-0.479*L2+0.513*L3+0.046*L4+5.947*E2+6.699*E3+4.328*E4-1.788</f>
        <v>5.575673</v>
      </c>
      <c r="O2" s="4">
        <f t="shared" ref="O2:O93" si="9">IF(K2&gt;10,J2,0)</f>
        <v>0</v>
      </c>
      <c r="P2" s="4">
        <f t="shared" ref="P2:P93" si="10">IF(K2&gt;10,K2,0)</f>
        <v>11.37</v>
      </c>
    </row>
    <row r="3">
      <c r="A3" s="4">
        <v>2012.0</v>
      </c>
      <c r="B3" s="9">
        <v>154.0</v>
      </c>
      <c r="C3" s="4">
        <v>6.231</v>
      </c>
      <c r="D3" s="4">
        <v>20.02</v>
      </c>
      <c r="E3" s="4">
        <f t="shared" si="1"/>
        <v>1</v>
      </c>
      <c r="F3" s="4">
        <f t="shared" si="2"/>
        <v>1</v>
      </c>
      <c r="G3" s="4">
        <f t="shared" si="3"/>
        <v>25.76895</v>
      </c>
      <c r="H3" s="4">
        <f t="shared" si="4"/>
        <v>28.01233</v>
      </c>
      <c r="I3" s="4">
        <f t="shared" si="5"/>
        <v>2.24338</v>
      </c>
      <c r="J3" s="4">
        <v>3.7</v>
      </c>
      <c r="K3" s="4">
        <v>12.54</v>
      </c>
      <c r="L3" s="4">
        <f t="shared" si="6"/>
        <v>8</v>
      </c>
      <c r="M3" s="4">
        <f t="shared" si="7"/>
        <v>1</v>
      </c>
      <c r="N3" s="4">
        <f t="shared" si="8"/>
        <v>3.067537</v>
      </c>
      <c r="O3" s="4">
        <f t="shared" si="9"/>
        <v>3.7</v>
      </c>
      <c r="P3" s="4">
        <f t="shared" si="10"/>
        <v>12.54</v>
      </c>
    </row>
    <row r="4">
      <c r="A4" s="4">
        <v>2012.0</v>
      </c>
      <c r="B4" s="9">
        <v>155.0</v>
      </c>
      <c r="C4" s="4">
        <v>5.963</v>
      </c>
      <c r="D4" s="4">
        <v>12.87</v>
      </c>
      <c r="E4" s="4">
        <f t="shared" si="1"/>
        <v>1</v>
      </c>
      <c r="F4" s="4">
        <f t="shared" si="2"/>
        <v>1</v>
      </c>
      <c r="G4" s="4">
        <f t="shared" si="3"/>
        <v>19.59223</v>
      </c>
      <c r="H4" s="4">
        <f t="shared" si="4"/>
        <v>21.38795</v>
      </c>
      <c r="I4" s="4">
        <f t="shared" si="5"/>
        <v>1.79572</v>
      </c>
      <c r="J4" s="4">
        <v>2.0</v>
      </c>
      <c r="K4" s="4">
        <v>8.61</v>
      </c>
      <c r="L4" s="4">
        <f t="shared" si="6"/>
        <v>8</v>
      </c>
      <c r="M4" s="4">
        <f t="shared" si="7"/>
        <v>0</v>
      </c>
      <c r="N4" s="4">
        <f t="shared" si="8"/>
        <v>-4.765271</v>
      </c>
      <c r="O4" s="4">
        <f t="shared" si="9"/>
        <v>0</v>
      </c>
      <c r="P4" s="4">
        <f t="shared" si="10"/>
        <v>0</v>
      </c>
    </row>
    <row r="5">
      <c r="A5" s="4">
        <v>2012.0</v>
      </c>
      <c r="B5" s="9">
        <v>156.0</v>
      </c>
      <c r="C5" s="4">
        <v>2.627</v>
      </c>
      <c r="D5" s="4">
        <v>17.42</v>
      </c>
      <c r="E5" s="4">
        <f t="shared" si="1"/>
        <v>0</v>
      </c>
      <c r="F5" s="4">
        <f t="shared" si="2"/>
        <v>1</v>
      </c>
      <c r="G5" s="4">
        <f t="shared" si="3"/>
        <v>23.90094</v>
      </c>
      <c r="H5" s="4">
        <f t="shared" si="4"/>
        <v>24.09765</v>
      </c>
      <c r="I5" s="4">
        <f t="shared" si="5"/>
        <v>0.19671</v>
      </c>
      <c r="J5" s="4">
        <v>0.0</v>
      </c>
      <c r="K5" s="4">
        <v>10.51</v>
      </c>
      <c r="L5" s="4">
        <f t="shared" si="6"/>
        <v>3</v>
      </c>
      <c r="M5" s="4">
        <f t="shared" si="7"/>
        <v>0</v>
      </c>
      <c r="N5" s="4">
        <f t="shared" si="8"/>
        <v>-1.11343</v>
      </c>
      <c r="O5" s="4">
        <f t="shared" si="9"/>
        <v>0</v>
      </c>
      <c r="P5" s="4">
        <f t="shared" si="10"/>
        <v>10.51</v>
      </c>
    </row>
    <row r="6">
      <c r="A6" s="4">
        <v>2012.0</v>
      </c>
      <c r="B6" s="9">
        <v>157.0</v>
      </c>
      <c r="C6" s="4">
        <v>3.968</v>
      </c>
      <c r="D6" s="4">
        <v>22.93</v>
      </c>
      <c r="E6" s="4">
        <f t="shared" si="1"/>
        <v>0</v>
      </c>
      <c r="F6" s="4">
        <f t="shared" si="2"/>
        <v>1</v>
      </c>
      <c r="G6" s="4">
        <f t="shared" si="3"/>
        <v>28.3139</v>
      </c>
      <c r="H6" s="4">
        <f t="shared" si="4"/>
        <v>28.49697</v>
      </c>
      <c r="I6" s="4">
        <f t="shared" si="5"/>
        <v>0.18307</v>
      </c>
      <c r="J6" s="4">
        <v>0.0</v>
      </c>
      <c r="K6" s="4">
        <v>14.07</v>
      </c>
      <c r="L6" s="4">
        <f t="shared" si="6"/>
        <v>3</v>
      </c>
      <c r="M6" s="4">
        <f t="shared" si="7"/>
        <v>1</v>
      </c>
      <c r="N6" s="4">
        <f t="shared" si="8"/>
        <v>7.417142</v>
      </c>
      <c r="O6" s="4">
        <f t="shared" si="9"/>
        <v>0</v>
      </c>
      <c r="P6" s="4">
        <f t="shared" si="10"/>
        <v>14.07</v>
      </c>
    </row>
    <row r="7">
      <c r="A7" s="4">
        <v>2012.0</v>
      </c>
      <c r="B7" s="9">
        <v>158.0</v>
      </c>
      <c r="C7" s="4">
        <v>12.03</v>
      </c>
      <c r="D7" s="4">
        <v>24.1</v>
      </c>
      <c r="E7" s="4">
        <f t="shared" si="1"/>
        <v>1</v>
      </c>
      <c r="F7" s="4">
        <f t="shared" si="2"/>
        <v>1</v>
      </c>
      <c r="G7" s="4">
        <f t="shared" si="3"/>
        <v>34.497</v>
      </c>
      <c r="H7" s="4">
        <f t="shared" si="4"/>
        <v>37.1801</v>
      </c>
      <c r="I7" s="4">
        <f t="shared" si="5"/>
        <v>2.6831</v>
      </c>
      <c r="J7" s="4">
        <v>6.9</v>
      </c>
      <c r="K7" s="4">
        <v>16.54</v>
      </c>
      <c r="L7" s="4">
        <f t="shared" si="6"/>
        <v>8</v>
      </c>
      <c r="M7" s="4">
        <f t="shared" si="7"/>
        <v>1</v>
      </c>
      <c r="N7" s="4">
        <f t="shared" si="8"/>
        <v>10.49618</v>
      </c>
      <c r="O7" s="4">
        <f t="shared" si="9"/>
        <v>6.9</v>
      </c>
      <c r="P7" s="4">
        <f t="shared" si="10"/>
        <v>16.54</v>
      </c>
    </row>
    <row r="8">
      <c r="A8" s="4">
        <v>2012.0</v>
      </c>
      <c r="B8" s="9">
        <v>159.0</v>
      </c>
      <c r="C8" s="4">
        <v>13.89</v>
      </c>
      <c r="D8" s="4">
        <v>16.66</v>
      </c>
      <c r="E8" s="4">
        <f t="shared" si="1"/>
        <v>1</v>
      </c>
      <c r="F8" s="4">
        <f t="shared" si="2"/>
        <v>1</v>
      </c>
      <c r="G8" s="4">
        <f t="shared" si="3"/>
        <v>33.0014</v>
      </c>
      <c r="H8" s="4">
        <f t="shared" si="4"/>
        <v>35.60835</v>
      </c>
      <c r="I8" s="4">
        <f t="shared" si="5"/>
        <v>2.60695</v>
      </c>
      <c r="J8" s="4">
        <v>2.2</v>
      </c>
      <c r="K8" s="4">
        <v>15.22</v>
      </c>
      <c r="L8" s="4">
        <f t="shared" si="6"/>
        <v>8</v>
      </c>
      <c r="M8" s="4">
        <f t="shared" si="7"/>
        <v>1</v>
      </c>
      <c r="N8" s="4">
        <f t="shared" si="8"/>
        <v>10.08421</v>
      </c>
      <c r="O8" s="4">
        <f t="shared" si="9"/>
        <v>2.2</v>
      </c>
      <c r="P8" s="4">
        <f t="shared" si="10"/>
        <v>15.22</v>
      </c>
    </row>
    <row r="9">
      <c r="A9" s="4">
        <v>2012.0</v>
      </c>
      <c r="B9" s="9">
        <v>160.0</v>
      </c>
      <c r="C9" s="4">
        <v>12.59</v>
      </c>
      <c r="D9" s="4">
        <v>21.19</v>
      </c>
      <c r="E9" s="4">
        <f t="shared" si="1"/>
        <v>1</v>
      </c>
      <c r="F9" s="4">
        <f t="shared" si="2"/>
        <v>1</v>
      </c>
      <c r="G9" s="4">
        <f t="shared" si="3"/>
        <v>38.4063</v>
      </c>
      <c r="H9" s="4">
        <f t="shared" si="4"/>
        <v>41.68715</v>
      </c>
      <c r="I9" s="4">
        <f t="shared" si="5"/>
        <v>3.28085</v>
      </c>
      <c r="J9" s="4">
        <v>1.7</v>
      </c>
      <c r="K9" s="4">
        <v>16.12</v>
      </c>
      <c r="L9" s="4">
        <f t="shared" si="6"/>
        <v>8</v>
      </c>
      <c r="M9" s="4">
        <f t="shared" si="7"/>
        <v>1</v>
      </c>
      <c r="N9" s="4">
        <f t="shared" si="8"/>
        <v>10.10079</v>
      </c>
      <c r="O9" s="4">
        <f t="shared" si="9"/>
        <v>1.7</v>
      </c>
      <c r="P9" s="4">
        <f t="shared" si="10"/>
        <v>16.12</v>
      </c>
    </row>
    <row r="10">
      <c r="A10" s="4">
        <v>2012.0</v>
      </c>
      <c r="B10" s="9">
        <v>161.0</v>
      </c>
      <c r="C10" s="4">
        <v>10.44</v>
      </c>
      <c r="D10" s="4">
        <v>21.47</v>
      </c>
      <c r="E10" s="4">
        <f t="shared" si="1"/>
        <v>1</v>
      </c>
      <c r="F10" s="4">
        <f t="shared" si="2"/>
        <v>1</v>
      </c>
      <c r="G10" s="4">
        <f t="shared" si="3"/>
        <v>36.26</v>
      </c>
      <c r="H10" s="4">
        <f t="shared" si="4"/>
        <v>38.2385</v>
      </c>
      <c r="I10" s="4">
        <f t="shared" si="5"/>
        <v>1.9785</v>
      </c>
      <c r="J10" s="4">
        <v>8.2</v>
      </c>
      <c r="K10" s="4">
        <v>15.61</v>
      </c>
      <c r="L10" s="4">
        <f t="shared" si="6"/>
        <v>8</v>
      </c>
      <c r="M10" s="4">
        <f t="shared" si="7"/>
        <v>1</v>
      </c>
      <c r="N10" s="4">
        <f t="shared" si="8"/>
        <v>8.3254</v>
      </c>
      <c r="O10" s="4">
        <f t="shared" si="9"/>
        <v>8.2</v>
      </c>
      <c r="P10" s="4">
        <f t="shared" si="10"/>
        <v>15.61</v>
      </c>
    </row>
    <row r="11">
      <c r="A11" s="4">
        <v>2012.0</v>
      </c>
      <c r="B11" s="9">
        <v>162.0</v>
      </c>
      <c r="C11" s="4">
        <v>11.83</v>
      </c>
      <c r="D11" s="4">
        <v>23.04</v>
      </c>
      <c r="E11" s="4">
        <f t="shared" si="1"/>
        <v>1</v>
      </c>
      <c r="F11" s="4">
        <f t="shared" si="2"/>
        <v>1</v>
      </c>
      <c r="G11" s="4">
        <f t="shared" si="3"/>
        <v>38.8383</v>
      </c>
      <c r="H11" s="4">
        <f t="shared" si="4"/>
        <v>41.42265</v>
      </c>
      <c r="I11" s="4">
        <f t="shared" si="5"/>
        <v>2.58435</v>
      </c>
      <c r="J11" s="4">
        <v>16.4</v>
      </c>
      <c r="K11" s="4">
        <v>16.56</v>
      </c>
      <c r="L11" s="4">
        <f t="shared" si="6"/>
        <v>8</v>
      </c>
      <c r="M11" s="4">
        <f t="shared" si="7"/>
        <v>1</v>
      </c>
      <c r="N11" s="4">
        <f t="shared" si="8"/>
        <v>12.03988</v>
      </c>
      <c r="O11" s="4">
        <f t="shared" si="9"/>
        <v>16.4</v>
      </c>
      <c r="P11" s="4">
        <f t="shared" si="10"/>
        <v>16.56</v>
      </c>
    </row>
    <row r="12">
      <c r="A12" s="4">
        <v>2012.0</v>
      </c>
      <c r="B12" s="9">
        <v>163.0</v>
      </c>
      <c r="C12" s="4">
        <v>10.13</v>
      </c>
      <c r="D12" s="4">
        <v>23.89</v>
      </c>
      <c r="E12" s="4">
        <f t="shared" si="1"/>
        <v>1</v>
      </c>
      <c r="F12" s="4">
        <f t="shared" si="2"/>
        <v>1</v>
      </c>
      <c r="G12" s="4">
        <f t="shared" si="3"/>
        <v>39.417</v>
      </c>
      <c r="H12" s="4">
        <f t="shared" si="4"/>
        <v>40.9627</v>
      </c>
      <c r="I12" s="4">
        <f t="shared" si="5"/>
        <v>1.5457</v>
      </c>
      <c r="J12" s="4">
        <v>7.6</v>
      </c>
      <c r="K12" s="4">
        <v>18.13</v>
      </c>
      <c r="L12" s="4">
        <f t="shared" si="6"/>
        <v>8</v>
      </c>
      <c r="M12" s="4">
        <f t="shared" si="7"/>
        <v>1</v>
      </c>
      <c r="N12" s="4">
        <f t="shared" si="8"/>
        <v>8.84343</v>
      </c>
      <c r="O12" s="4">
        <f t="shared" si="9"/>
        <v>7.6</v>
      </c>
      <c r="P12" s="4">
        <f t="shared" si="10"/>
        <v>18.13</v>
      </c>
    </row>
    <row r="13">
      <c r="A13" s="4">
        <v>2012.0</v>
      </c>
      <c r="B13" s="9">
        <v>164.0</v>
      </c>
      <c r="C13" s="4">
        <v>16.76</v>
      </c>
      <c r="D13" s="4">
        <v>25.94</v>
      </c>
      <c r="E13" s="4">
        <f t="shared" si="1"/>
        <v>1</v>
      </c>
      <c r="F13" s="4">
        <f t="shared" si="2"/>
        <v>1</v>
      </c>
      <c r="G13" s="4">
        <f t="shared" si="3"/>
        <v>41.4165</v>
      </c>
      <c r="H13" s="4">
        <f t="shared" si="4"/>
        <v>41.6565</v>
      </c>
      <c r="I13" s="4">
        <f t="shared" si="5"/>
        <v>0.24</v>
      </c>
      <c r="J13" s="4">
        <v>7.3</v>
      </c>
      <c r="K13" s="4">
        <v>20.4</v>
      </c>
      <c r="L13" s="4">
        <f t="shared" si="6"/>
        <v>8</v>
      </c>
      <c r="M13" s="4">
        <f t="shared" si="7"/>
        <v>1</v>
      </c>
      <c r="N13" s="4">
        <f t="shared" si="8"/>
        <v>9.93678</v>
      </c>
      <c r="O13" s="4">
        <f t="shared" si="9"/>
        <v>7.3</v>
      </c>
      <c r="P13" s="4">
        <f t="shared" si="10"/>
        <v>20.4</v>
      </c>
    </row>
    <row r="14">
      <c r="A14" s="4">
        <v>2012.0</v>
      </c>
      <c r="B14" s="9">
        <v>165.0</v>
      </c>
      <c r="C14" s="4">
        <v>13.43</v>
      </c>
      <c r="D14" s="4">
        <v>20.81</v>
      </c>
      <c r="E14" s="4">
        <f t="shared" si="1"/>
        <v>1</v>
      </c>
      <c r="F14" s="4">
        <f t="shared" si="2"/>
        <v>0</v>
      </c>
      <c r="G14" s="4">
        <f t="shared" si="3"/>
        <v>37.7681</v>
      </c>
      <c r="H14" s="4">
        <f t="shared" si="4"/>
        <v>37.13605</v>
      </c>
      <c r="I14" s="4" t="str">
        <f t="shared" si="5"/>
        <v> </v>
      </c>
      <c r="J14" s="4">
        <v>5.0</v>
      </c>
      <c r="K14" s="4">
        <v>16.26</v>
      </c>
      <c r="L14" s="4">
        <f t="shared" si="6"/>
        <v>8</v>
      </c>
      <c r="M14" s="4">
        <f t="shared" si="7"/>
        <v>1</v>
      </c>
      <c r="N14" s="4">
        <f t="shared" si="8"/>
        <v>9.21214</v>
      </c>
      <c r="O14" s="4">
        <f t="shared" si="9"/>
        <v>5</v>
      </c>
      <c r="P14" s="4">
        <f t="shared" si="10"/>
        <v>16.26</v>
      </c>
    </row>
    <row r="15">
      <c r="A15" s="4">
        <v>2012.0</v>
      </c>
      <c r="B15" s="9">
        <v>166.0</v>
      </c>
      <c r="C15" s="4">
        <v>13.96</v>
      </c>
      <c r="D15" s="4">
        <v>23.94</v>
      </c>
      <c r="E15" s="4">
        <f t="shared" si="1"/>
        <v>1</v>
      </c>
      <c r="F15" s="4">
        <f t="shared" si="2"/>
        <v>0</v>
      </c>
      <c r="G15" s="4">
        <f t="shared" si="3"/>
        <v>35.8839</v>
      </c>
      <c r="H15" s="4">
        <f t="shared" si="4"/>
        <v>34.17665</v>
      </c>
      <c r="I15" s="4" t="str">
        <f t="shared" si="5"/>
        <v> </v>
      </c>
      <c r="J15" s="4">
        <v>0.1</v>
      </c>
      <c r="K15" s="4">
        <v>17.1</v>
      </c>
      <c r="L15" s="4">
        <f t="shared" si="6"/>
        <v>8</v>
      </c>
      <c r="M15" s="4">
        <f t="shared" si="7"/>
        <v>1</v>
      </c>
      <c r="N15" s="4">
        <f t="shared" si="8"/>
        <v>5.68935</v>
      </c>
      <c r="O15" s="4">
        <f t="shared" si="9"/>
        <v>0.1</v>
      </c>
      <c r="P15" s="4">
        <f t="shared" si="10"/>
        <v>17.1</v>
      </c>
    </row>
    <row r="16">
      <c r="A16" s="4">
        <v>2012.0</v>
      </c>
      <c r="B16" s="9">
        <v>167.0</v>
      </c>
      <c r="C16" s="4">
        <v>12.36</v>
      </c>
      <c r="D16" s="4">
        <v>25.0</v>
      </c>
      <c r="E16" s="4">
        <f t="shared" si="1"/>
        <v>1</v>
      </c>
      <c r="F16" s="4">
        <f t="shared" si="2"/>
        <v>0</v>
      </c>
      <c r="G16" s="4">
        <f t="shared" si="3"/>
        <v>35.7113</v>
      </c>
      <c r="H16" s="4">
        <f t="shared" si="4"/>
        <v>31.94485</v>
      </c>
      <c r="I16" s="4" t="str">
        <f t="shared" si="5"/>
        <v> </v>
      </c>
      <c r="J16" s="4">
        <v>12.8</v>
      </c>
      <c r="K16" s="4">
        <v>18.23</v>
      </c>
      <c r="L16" s="4">
        <f t="shared" si="6"/>
        <v>8</v>
      </c>
      <c r="M16" s="4">
        <f t="shared" si="7"/>
        <v>0</v>
      </c>
      <c r="N16" s="4">
        <f t="shared" si="8"/>
        <v>-5.81871</v>
      </c>
      <c r="O16" s="4">
        <f t="shared" si="9"/>
        <v>12.8</v>
      </c>
      <c r="P16" s="4">
        <f t="shared" si="10"/>
        <v>18.23</v>
      </c>
    </row>
    <row r="17">
      <c r="A17" s="4">
        <v>2012.0</v>
      </c>
      <c r="B17" s="9">
        <v>168.0</v>
      </c>
      <c r="C17" s="4">
        <v>14.83</v>
      </c>
      <c r="D17" s="4">
        <v>24.27</v>
      </c>
      <c r="E17" s="4">
        <f t="shared" si="1"/>
        <v>0</v>
      </c>
      <c r="F17" s="4">
        <f t="shared" si="2"/>
        <v>0</v>
      </c>
      <c r="G17" s="4">
        <f t="shared" si="3"/>
        <v>31.4748</v>
      </c>
      <c r="H17" s="4">
        <f t="shared" si="4"/>
        <v>26.43825</v>
      </c>
      <c r="I17" s="4" t="str">
        <f t="shared" si="5"/>
        <v> </v>
      </c>
      <c r="J17" s="4">
        <v>0.0</v>
      </c>
      <c r="K17" s="4">
        <v>18.65</v>
      </c>
      <c r="L17" s="4">
        <f t="shared" si="6"/>
        <v>3</v>
      </c>
      <c r="M17" s="4">
        <f t="shared" si="7"/>
        <v>0</v>
      </c>
      <c r="N17" s="4">
        <f t="shared" si="8"/>
        <v>-8.33927</v>
      </c>
      <c r="O17" s="4">
        <f t="shared" si="9"/>
        <v>0</v>
      </c>
      <c r="P17" s="4">
        <f t="shared" si="10"/>
        <v>18.65</v>
      </c>
    </row>
    <row r="18">
      <c r="A18" s="4">
        <v>2012.0</v>
      </c>
      <c r="B18" s="9">
        <v>169.0</v>
      </c>
      <c r="C18" s="4">
        <v>12.37</v>
      </c>
      <c r="D18" s="4">
        <v>25.79</v>
      </c>
      <c r="E18" s="4">
        <f t="shared" si="1"/>
        <v>0</v>
      </c>
      <c r="F18" s="4">
        <f t="shared" si="2"/>
        <v>0</v>
      </c>
      <c r="G18" s="4">
        <f t="shared" si="3"/>
        <v>33.2479</v>
      </c>
      <c r="H18" s="4">
        <f t="shared" si="4"/>
        <v>27.2755</v>
      </c>
      <c r="I18" s="4" t="str">
        <f t="shared" si="5"/>
        <v> </v>
      </c>
      <c r="J18" s="4">
        <v>0.0</v>
      </c>
      <c r="K18" s="4">
        <v>19.78</v>
      </c>
      <c r="L18" s="4">
        <f t="shared" si="6"/>
        <v>3</v>
      </c>
      <c r="M18" s="4">
        <f t="shared" si="7"/>
        <v>0</v>
      </c>
      <c r="N18" s="4">
        <f t="shared" si="8"/>
        <v>-10.43636</v>
      </c>
      <c r="O18" s="4">
        <f t="shared" si="9"/>
        <v>0</v>
      </c>
      <c r="P18" s="4">
        <f t="shared" si="10"/>
        <v>19.78</v>
      </c>
    </row>
    <row r="19">
      <c r="A19" s="4">
        <v>2012.0</v>
      </c>
      <c r="B19" s="9">
        <v>170.0</v>
      </c>
      <c r="C19" s="4">
        <v>12.89</v>
      </c>
      <c r="D19" s="4">
        <v>22.37</v>
      </c>
      <c r="E19" s="4">
        <f t="shared" si="1"/>
        <v>0</v>
      </c>
      <c r="F19" s="4">
        <f t="shared" si="2"/>
        <v>0</v>
      </c>
      <c r="G19" s="4">
        <f t="shared" si="3"/>
        <v>32.8405</v>
      </c>
      <c r="H19" s="4">
        <f t="shared" si="4"/>
        <v>27.26625</v>
      </c>
      <c r="I19" s="4" t="str">
        <f t="shared" si="5"/>
        <v> </v>
      </c>
      <c r="J19" s="4">
        <v>0.0</v>
      </c>
      <c r="K19" s="4">
        <v>18.92</v>
      </c>
      <c r="L19" s="4">
        <f t="shared" si="6"/>
        <v>3</v>
      </c>
      <c r="M19" s="4">
        <f t="shared" si="7"/>
        <v>0</v>
      </c>
      <c r="N19" s="4">
        <f t="shared" si="8"/>
        <v>-7.27672</v>
      </c>
      <c r="O19" s="4">
        <f t="shared" si="9"/>
        <v>0</v>
      </c>
      <c r="P19" s="4">
        <f t="shared" si="10"/>
        <v>18.92</v>
      </c>
    </row>
    <row r="20">
      <c r="A20" s="4">
        <v>2012.0</v>
      </c>
      <c r="B20" s="9">
        <v>171.0</v>
      </c>
      <c r="C20" s="4">
        <v>9.67</v>
      </c>
      <c r="D20" s="4">
        <v>24.9</v>
      </c>
      <c r="E20" s="4">
        <f t="shared" si="1"/>
        <v>0</v>
      </c>
      <c r="F20" s="4">
        <f t="shared" si="2"/>
        <v>0</v>
      </c>
      <c r="G20" s="4">
        <f t="shared" si="3"/>
        <v>33.5006</v>
      </c>
      <c r="H20" s="4">
        <f t="shared" si="4"/>
        <v>28.3795</v>
      </c>
      <c r="I20" s="4" t="str">
        <f t="shared" si="5"/>
        <v> </v>
      </c>
      <c r="J20" s="4">
        <v>0.0</v>
      </c>
      <c r="K20" s="4">
        <v>18.33</v>
      </c>
      <c r="L20" s="4">
        <f t="shared" si="6"/>
        <v>3</v>
      </c>
      <c r="M20" s="4">
        <f t="shared" si="7"/>
        <v>0</v>
      </c>
      <c r="N20" s="4">
        <f t="shared" si="8"/>
        <v>-10.34289</v>
      </c>
      <c r="O20" s="4">
        <f t="shared" si="9"/>
        <v>0</v>
      </c>
      <c r="P20" s="4">
        <f t="shared" si="10"/>
        <v>18.33</v>
      </c>
    </row>
    <row r="21" ht="15.75" customHeight="1">
      <c r="A21" s="4">
        <v>2012.0</v>
      </c>
      <c r="B21" s="9">
        <v>172.0</v>
      </c>
      <c r="C21" s="4">
        <v>13.06</v>
      </c>
      <c r="D21" s="4">
        <v>23.03</v>
      </c>
      <c r="E21" s="4">
        <f t="shared" si="1"/>
        <v>0</v>
      </c>
      <c r="F21" s="4">
        <f t="shared" si="2"/>
        <v>0</v>
      </c>
      <c r="G21" s="4">
        <f t="shared" si="3"/>
        <v>31.4639</v>
      </c>
      <c r="H21" s="4">
        <f t="shared" si="4"/>
        <v>28.6297</v>
      </c>
      <c r="I21" s="4" t="str">
        <f t="shared" si="5"/>
        <v> </v>
      </c>
      <c r="J21" s="4">
        <v>0.0</v>
      </c>
      <c r="K21" s="4">
        <v>19.3</v>
      </c>
      <c r="L21" s="4">
        <f t="shared" si="6"/>
        <v>3</v>
      </c>
      <c r="M21" s="4">
        <f t="shared" si="7"/>
        <v>0</v>
      </c>
      <c r="N21" s="4">
        <f t="shared" si="8"/>
        <v>-10.28384</v>
      </c>
      <c r="O21" s="4">
        <f t="shared" si="9"/>
        <v>0</v>
      </c>
      <c r="P21" s="4">
        <f t="shared" si="10"/>
        <v>19.3</v>
      </c>
    </row>
    <row r="22" ht="15.75" customHeight="1">
      <c r="A22" s="4">
        <v>2012.0</v>
      </c>
      <c r="B22" s="9">
        <v>173.0</v>
      </c>
      <c r="C22" s="4">
        <v>9.83</v>
      </c>
      <c r="D22" s="4">
        <v>25.18</v>
      </c>
      <c r="E22" s="4">
        <f t="shared" si="1"/>
        <v>0</v>
      </c>
      <c r="F22" s="4">
        <f t="shared" si="2"/>
        <v>0</v>
      </c>
      <c r="G22" s="4">
        <f t="shared" si="3"/>
        <v>35.2317</v>
      </c>
      <c r="H22" s="4">
        <f t="shared" si="4"/>
        <v>30.3492</v>
      </c>
      <c r="I22" s="4" t="str">
        <f t="shared" si="5"/>
        <v> </v>
      </c>
      <c r="J22" s="4">
        <v>0.0</v>
      </c>
      <c r="K22" s="4">
        <v>18.22</v>
      </c>
      <c r="L22" s="4">
        <f t="shared" si="6"/>
        <v>3</v>
      </c>
      <c r="M22" s="4">
        <f t="shared" si="7"/>
        <v>0</v>
      </c>
      <c r="N22" s="4">
        <f t="shared" si="8"/>
        <v>-10.01983</v>
      </c>
      <c r="O22" s="4">
        <f t="shared" si="9"/>
        <v>0</v>
      </c>
      <c r="P22" s="4">
        <f t="shared" si="10"/>
        <v>18.22</v>
      </c>
    </row>
    <row r="23" ht="15.75" customHeight="1">
      <c r="A23" s="4">
        <v>2012.0</v>
      </c>
      <c r="B23" s="9">
        <v>174.0</v>
      </c>
      <c r="C23" s="4">
        <v>9.46</v>
      </c>
      <c r="D23" s="4">
        <v>27.43</v>
      </c>
      <c r="E23" s="4">
        <f t="shared" si="1"/>
        <v>0</v>
      </c>
      <c r="F23" s="4">
        <f t="shared" si="2"/>
        <v>0</v>
      </c>
      <c r="G23" s="4">
        <f t="shared" si="3"/>
        <v>36.0094</v>
      </c>
      <c r="H23" s="4">
        <f t="shared" si="4"/>
        <v>31.8352</v>
      </c>
      <c r="I23" s="4" t="str">
        <f t="shared" si="5"/>
        <v> </v>
      </c>
      <c r="J23" s="4">
        <v>0.0</v>
      </c>
      <c r="K23" s="4">
        <v>19.08</v>
      </c>
      <c r="L23" s="4">
        <f t="shared" si="6"/>
        <v>3</v>
      </c>
      <c r="M23" s="4">
        <f t="shared" si="7"/>
        <v>0</v>
      </c>
      <c r="N23" s="4">
        <f t="shared" si="8"/>
        <v>-4.48702</v>
      </c>
      <c r="O23" s="4">
        <f t="shared" si="9"/>
        <v>0</v>
      </c>
      <c r="P23" s="4">
        <f t="shared" si="10"/>
        <v>19.08</v>
      </c>
    </row>
    <row r="24" ht="15.75" customHeight="1">
      <c r="A24" s="4">
        <v>2012.0</v>
      </c>
      <c r="B24" s="9">
        <v>175.0</v>
      </c>
      <c r="C24" s="4">
        <v>10.9</v>
      </c>
      <c r="D24" s="4">
        <v>25.72</v>
      </c>
      <c r="E24" s="4">
        <f t="shared" si="1"/>
        <v>0</v>
      </c>
      <c r="F24" s="4">
        <f t="shared" si="2"/>
        <v>0</v>
      </c>
      <c r="G24" s="4">
        <f t="shared" si="3"/>
        <v>31.1776</v>
      </c>
      <c r="H24" s="4">
        <f t="shared" si="4"/>
        <v>29.45245</v>
      </c>
      <c r="I24" s="4" t="str">
        <f t="shared" si="5"/>
        <v> </v>
      </c>
      <c r="J24" s="4">
        <v>0.0</v>
      </c>
      <c r="K24" s="4">
        <v>18.4</v>
      </c>
      <c r="L24" s="4">
        <f t="shared" si="6"/>
        <v>3</v>
      </c>
      <c r="M24" s="4">
        <f t="shared" si="7"/>
        <v>0</v>
      </c>
      <c r="N24" s="4">
        <f t="shared" si="8"/>
        <v>-0.71658</v>
      </c>
      <c r="O24" s="4">
        <f t="shared" si="9"/>
        <v>0</v>
      </c>
      <c r="P24" s="4">
        <f t="shared" si="10"/>
        <v>18.4</v>
      </c>
    </row>
    <row r="25" ht="15.75" customHeight="1">
      <c r="A25" s="4">
        <v>2012.0</v>
      </c>
      <c r="B25" s="9">
        <v>176.0</v>
      </c>
      <c r="C25" s="4">
        <v>12.1</v>
      </c>
      <c r="D25" s="4">
        <v>20.44</v>
      </c>
      <c r="E25" s="4">
        <f t="shared" si="1"/>
        <v>1</v>
      </c>
      <c r="F25" s="4">
        <f t="shared" si="2"/>
        <v>1</v>
      </c>
      <c r="G25" s="4">
        <f t="shared" si="3"/>
        <v>30.8229</v>
      </c>
      <c r="H25" s="4">
        <f t="shared" si="4"/>
        <v>30.8655</v>
      </c>
      <c r="I25" s="4">
        <f t="shared" si="5"/>
        <v>0.0426</v>
      </c>
      <c r="J25" s="4">
        <v>2.4</v>
      </c>
      <c r="K25" s="4">
        <v>16.43</v>
      </c>
      <c r="L25" s="4">
        <f t="shared" si="6"/>
        <v>8</v>
      </c>
      <c r="M25" s="4">
        <f t="shared" si="7"/>
        <v>0</v>
      </c>
      <c r="N25" s="4">
        <f t="shared" si="8"/>
        <v>-3.65594</v>
      </c>
      <c r="O25" s="4">
        <f t="shared" si="9"/>
        <v>2.4</v>
      </c>
      <c r="P25" s="4">
        <f t="shared" si="10"/>
        <v>16.43</v>
      </c>
    </row>
    <row r="26" ht="15.75" customHeight="1">
      <c r="A26" s="4">
        <v>2012.0</v>
      </c>
      <c r="B26" s="9">
        <v>177.0</v>
      </c>
      <c r="C26" s="4">
        <v>9.56</v>
      </c>
      <c r="D26" s="4">
        <v>24.8</v>
      </c>
      <c r="E26" s="4">
        <f t="shared" si="1"/>
        <v>0</v>
      </c>
      <c r="F26" s="4">
        <f t="shared" si="2"/>
        <v>0</v>
      </c>
      <c r="G26" s="4">
        <f t="shared" si="3"/>
        <v>29.8627</v>
      </c>
      <c r="H26" s="4">
        <f t="shared" si="4"/>
        <v>28.3412</v>
      </c>
      <c r="I26" s="4" t="str">
        <f t="shared" si="5"/>
        <v> </v>
      </c>
      <c r="J26" s="4">
        <v>0.0</v>
      </c>
      <c r="K26" s="4">
        <v>17.84</v>
      </c>
      <c r="L26" s="4">
        <f t="shared" si="6"/>
        <v>3</v>
      </c>
      <c r="M26" s="4">
        <f t="shared" si="7"/>
        <v>0</v>
      </c>
      <c r="N26" s="4">
        <f t="shared" si="8"/>
        <v>-3.8681</v>
      </c>
      <c r="O26" s="4">
        <f t="shared" si="9"/>
        <v>0</v>
      </c>
      <c r="P26" s="4">
        <f t="shared" si="10"/>
        <v>17.84</v>
      </c>
    </row>
    <row r="27" ht="15.75" customHeight="1">
      <c r="A27" s="4">
        <v>2012.0</v>
      </c>
      <c r="B27" s="9">
        <v>178.0</v>
      </c>
      <c r="C27" s="4">
        <v>13.07</v>
      </c>
      <c r="D27" s="4">
        <v>26.3</v>
      </c>
      <c r="E27" s="4">
        <f t="shared" si="1"/>
        <v>0</v>
      </c>
      <c r="F27" s="4">
        <f t="shared" si="2"/>
        <v>0</v>
      </c>
      <c r="G27" s="4">
        <f t="shared" si="3"/>
        <v>33.4266</v>
      </c>
      <c r="H27" s="4">
        <f t="shared" si="4"/>
        <v>31.70075</v>
      </c>
      <c r="I27" s="4" t="str">
        <f t="shared" si="5"/>
        <v> </v>
      </c>
      <c r="J27" s="4">
        <v>0.0</v>
      </c>
      <c r="K27" s="4">
        <v>19.77</v>
      </c>
      <c r="L27" s="4">
        <f t="shared" si="6"/>
        <v>3</v>
      </c>
      <c r="M27" s="4">
        <f t="shared" si="7"/>
        <v>1</v>
      </c>
      <c r="N27" s="4">
        <f t="shared" si="8"/>
        <v>5.29931</v>
      </c>
      <c r="O27" s="4">
        <f t="shared" si="9"/>
        <v>0</v>
      </c>
      <c r="P27" s="4">
        <f t="shared" si="10"/>
        <v>19.77</v>
      </c>
    </row>
    <row r="28" ht="15.75" customHeight="1">
      <c r="A28" s="4">
        <v>2012.0</v>
      </c>
      <c r="B28" s="9">
        <v>179.0</v>
      </c>
      <c r="C28" s="4">
        <v>12.76</v>
      </c>
      <c r="D28" s="4">
        <v>19.45</v>
      </c>
      <c r="E28" s="4">
        <f t="shared" si="1"/>
        <v>1</v>
      </c>
      <c r="F28" s="4">
        <f t="shared" si="2"/>
        <v>0</v>
      </c>
      <c r="G28" s="4">
        <f t="shared" si="3"/>
        <v>32.3843</v>
      </c>
      <c r="H28" s="4">
        <f t="shared" si="4"/>
        <v>32.34655</v>
      </c>
      <c r="I28" s="4" t="str">
        <f t="shared" si="5"/>
        <v> </v>
      </c>
      <c r="J28" s="4">
        <v>1.8</v>
      </c>
      <c r="K28" s="4">
        <v>15.62</v>
      </c>
      <c r="L28" s="4">
        <f t="shared" si="6"/>
        <v>8</v>
      </c>
      <c r="M28" s="4">
        <f t="shared" si="7"/>
        <v>1</v>
      </c>
      <c r="N28" s="4">
        <f t="shared" si="8"/>
        <v>9.16036</v>
      </c>
      <c r="O28" s="4">
        <f t="shared" si="9"/>
        <v>1.8</v>
      </c>
      <c r="P28" s="4">
        <f t="shared" si="10"/>
        <v>15.62</v>
      </c>
    </row>
    <row r="29" ht="15.75" customHeight="1">
      <c r="A29" s="4">
        <v>2012.0</v>
      </c>
      <c r="B29" s="9">
        <v>180.0</v>
      </c>
      <c r="C29" s="4">
        <v>11.04</v>
      </c>
      <c r="D29" s="4">
        <v>20.02</v>
      </c>
      <c r="E29" s="4">
        <f t="shared" si="1"/>
        <v>1</v>
      </c>
      <c r="F29" s="4">
        <f t="shared" si="2"/>
        <v>0</v>
      </c>
      <c r="G29" s="4">
        <f t="shared" si="3"/>
        <v>35.6148</v>
      </c>
      <c r="H29" s="4">
        <f t="shared" si="4"/>
        <v>35.2083</v>
      </c>
      <c r="I29" s="4" t="str">
        <f t="shared" si="5"/>
        <v> </v>
      </c>
      <c r="J29" s="4">
        <v>0.5</v>
      </c>
      <c r="K29" s="4">
        <v>15.05</v>
      </c>
      <c r="L29" s="4">
        <f t="shared" si="6"/>
        <v>8</v>
      </c>
      <c r="M29" s="4">
        <f t="shared" si="7"/>
        <v>1</v>
      </c>
      <c r="N29" s="4">
        <f t="shared" si="8"/>
        <v>4.18687</v>
      </c>
      <c r="O29" s="4">
        <f t="shared" si="9"/>
        <v>0.5</v>
      </c>
      <c r="P29" s="4">
        <f t="shared" si="10"/>
        <v>15.05</v>
      </c>
    </row>
    <row r="30" ht="15.75" customHeight="1">
      <c r="A30" s="4">
        <v>2012.0</v>
      </c>
      <c r="B30" s="9">
        <v>181.0</v>
      </c>
      <c r="C30" s="4">
        <v>8.83</v>
      </c>
      <c r="D30" s="4">
        <v>19.74</v>
      </c>
      <c r="E30" s="4">
        <f t="shared" si="1"/>
        <v>1</v>
      </c>
      <c r="F30" s="4">
        <f t="shared" si="2"/>
        <v>0</v>
      </c>
      <c r="G30" s="4">
        <f t="shared" si="3"/>
        <v>34.4008</v>
      </c>
      <c r="H30" s="4">
        <f t="shared" si="4"/>
        <v>31.24825</v>
      </c>
      <c r="I30" s="4" t="str">
        <f t="shared" si="5"/>
        <v> </v>
      </c>
      <c r="J30" s="4">
        <v>20.7</v>
      </c>
      <c r="K30" s="4">
        <v>13.56</v>
      </c>
      <c r="L30" s="4">
        <f t="shared" si="6"/>
        <v>8</v>
      </c>
      <c r="M30" s="4">
        <f t="shared" si="7"/>
        <v>0</v>
      </c>
      <c r="N30" s="4">
        <f t="shared" si="8"/>
        <v>-6.25037</v>
      </c>
      <c r="O30" s="4">
        <f t="shared" si="9"/>
        <v>20.7</v>
      </c>
      <c r="P30" s="4">
        <f t="shared" si="10"/>
        <v>13.56</v>
      </c>
    </row>
    <row r="31" ht="15.75" customHeight="1">
      <c r="A31" s="4">
        <v>2012.0</v>
      </c>
      <c r="B31" s="9">
        <v>182.0</v>
      </c>
      <c r="C31" s="4">
        <v>8.31</v>
      </c>
      <c r="D31" s="4">
        <v>23.02</v>
      </c>
      <c r="E31" s="4">
        <f t="shared" si="1"/>
        <v>0</v>
      </c>
      <c r="F31" s="4">
        <f t="shared" si="2"/>
        <v>0</v>
      </c>
      <c r="G31" s="4">
        <f t="shared" si="3"/>
        <v>36.1624</v>
      </c>
      <c r="H31" s="4">
        <f t="shared" si="4"/>
        <v>30.8327</v>
      </c>
      <c r="I31" s="4" t="str">
        <f t="shared" si="5"/>
        <v> </v>
      </c>
      <c r="J31" s="4">
        <v>0.0</v>
      </c>
      <c r="K31" s="4">
        <v>15.78</v>
      </c>
      <c r="L31" s="4">
        <f t="shared" si="6"/>
        <v>3</v>
      </c>
      <c r="M31" s="4">
        <f t="shared" si="7"/>
        <v>0</v>
      </c>
      <c r="N31" s="4">
        <f t="shared" si="8"/>
        <v>-6.49721</v>
      </c>
      <c r="O31" s="4">
        <f t="shared" si="9"/>
        <v>0</v>
      </c>
      <c r="P31" s="4">
        <f t="shared" si="10"/>
        <v>15.78</v>
      </c>
    </row>
    <row r="32" ht="15.75" customHeight="1">
      <c r="A32" s="4">
        <v>2012.0</v>
      </c>
      <c r="B32" s="9">
        <v>183.0</v>
      </c>
      <c r="C32" s="4">
        <v>7.64</v>
      </c>
      <c r="D32" s="4">
        <v>25.26</v>
      </c>
      <c r="E32" s="4">
        <f t="shared" si="1"/>
        <v>0</v>
      </c>
      <c r="F32" s="4">
        <f t="shared" si="2"/>
        <v>0</v>
      </c>
      <c r="G32" s="4">
        <f t="shared" si="3"/>
        <v>39.2832</v>
      </c>
      <c r="H32" s="4">
        <f t="shared" si="4"/>
        <v>33.0644</v>
      </c>
      <c r="I32" s="4" t="str">
        <f t="shared" si="5"/>
        <v> </v>
      </c>
      <c r="J32" s="4">
        <v>0.0</v>
      </c>
      <c r="K32" s="4">
        <v>17.3</v>
      </c>
      <c r="L32" s="4">
        <f t="shared" si="6"/>
        <v>3</v>
      </c>
      <c r="M32" s="4">
        <f t="shared" si="7"/>
        <v>0</v>
      </c>
      <c r="N32" s="4">
        <f t="shared" si="8"/>
        <v>-8.51999</v>
      </c>
      <c r="O32" s="4">
        <f t="shared" si="9"/>
        <v>0</v>
      </c>
      <c r="P32" s="4">
        <f t="shared" si="10"/>
        <v>17.3</v>
      </c>
    </row>
    <row r="33" ht="15.75" customHeight="1">
      <c r="A33" s="4">
        <v>2012.0</v>
      </c>
      <c r="B33" s="9">
        <v>184.0</v>
      </c>
      <c r="C33" s="4">
        <v>15.35</v>
      </c>
      <c r="D33" s="4">
        <v>29.57</v>
      </c>
      <c r="E33" s="4">
        <f t="shared" si="1"/>
        <v>0</v>
      </c>
      <c r="F33" s="4">
        <f t="shared" si="2"/>
        <v>0</v>
      </c>
      <c r="G33" s="4">
        <f t="shared" si="3"/>
        <v>45.1042</v>
      </c>
      <c r="H33" s="4">
        <f t="shared" si="4"/>
        <v>38.73735</v>
      </c>
      <c r="I33" s="4" t="str">
        <f t="shared" si="5"/>
        <v> </v>
      </c>
      <c r="J33" s="4">
        <v>0.0</v>
      </c>
      <c r="K33" s="4">
        <v>20.96</v>
      </c>
      <c r="L33" s="4">
        <f t="shared" si="6"/>
        <v>3</v>
      </c>
      <c r="M33" s="4">
        <f t="shared" si="7"/>
        <v>0</v>
      </c>
      <c r="N33" s="4">
        <f t="shared" si="8"/>
        <v>-9.25923</v>
      </c>
      <c r="O33" s="4">
        <f t="shared" si="9"/>
        <v>0</v>
      </c>
      <c r="P33" s="4">
        <f t="shared" si="10"/>
        <v>20.96</v>
      </c>
    </row>
    <row r="34" ht="15.75" customHeight="1">
      <c r="A34" s="4">
        <v>2012.0</v>
      </c>
      <c r="B34" s="9">
        <v>185.0</v>
      </c>
      <c r="C34" s="4">
        <v>15.7</v>
      </c>
      <c r="D34" s="4">
        <v>26.33</v>
      </c>
      <c r="E34" s="4">
        <f t="shared" si="1"/>
        <v>0</v>
      </c>
      <c r="F34" s="4">
        <f t="shared" si="2"/>
        <v>0</v>
      </c>
      <c r="G34" s="4">
        <f t="shared" si="3"/>
        <v>43.2217</v>
      </c>
      <c r="H34" s="4">
        <f t="shared" si="4"/>
        <v>38.3411</v>
      </c>
      <c r="I34" s="4" t="str">
        <f t="shared" si="5"/>
        <v> </v>
      </c>
      <c r="J34" s="4">
        <v>0.0</v>
      </c>
      <c r="K34" s="4">
        <v>21.03</v>
      </c>
      <c r="L34" s="4">
        <f t="shared" si="6"/>
        <v>3</v>
      </c>
      <c r="M34" s="4">
        <f t="shared" si="7"/>
        <v>0</v>
      </c>
      <c r="N34" s="4">
        <f t="shared" si="8"/>
        <v>-9.5496</v>
      </c>
      <c r="O34" s="4">
        <f t="shared" si="9"/>
        <v>0</v>
      </c>
      <c r="P34" s="4">
        <f t="shared" si="10"/>
        <v>21.03</v>
      </c>
    </row>
    <row r="35" ht="15.75" customHeight="1">
      <c r="A35" s="4">
        <v>2012.0</v>
      </c>
      <c r="B35" s="9">
        <v>186.0</v>
      </c>
      <c r="C35" s="4">
        <v>15.5</v>
      </c>
      <c r="D35" s="4">
        <v>28.62</v>
      </c>
      <c r="E35" s="4">
        <f t="shared" si="1"/>
        <v>0</v>
      </c>
      <c r="F35" s="4">
        <f t="shared" si="2"/>
        <v>0</v>
      </c>
      <c r="G35" s="4">
        <f t="shared" si="3"/>
        <v>46.3781</v>
      </c>
      <c r="H35" s="4">
        <f t="shared" si="4"/>
        <v>40.2571</v>
      </c>
      <c r="I35" s="4" t="str">
        <f t="shared" si="5"/>
        <v> </v>
      </c>
      <c r="J35" s="4">
        <v>0.0</v>
      </c>
      <c r="K35" s="4">
        <v>22.09</v>
      </c>
      <c r="L35" s="4">
        <f t="shared" si="6"/>
        <v>3</v>
      </c>
      <c r="M35" s="4">
        <f t="shared" si="7"/>
        <v>0</v>
      </c>
      <c r="N35" s="4">
        <f t="shared" si="8"/>
        <v>-8.02791</v>
      </c>
      <c r="O35" s="4">
        <f t="shared" si="9"/>
        <v>0</v>
      </c>
      <c r="P35" s="4">
        <f t="shared" si="10"/>
        <v>22.09</v>
      </c>
    </row>
    <row r="36" ht="15.75" customHeight="1">
      <c r="A36" s="4">
        <v>2012.0</v>
      </c>
      <c r="B36" s="9">
        <v>187.0</v>
      </c>
      <c r="C36" s="4">
        <v>14.87</v>
      </c>
      <c r="D36" s="4">
        <v>30.24</v>
      </c>
      <c r="E36" s="4">
        <f t="shared" si="1"/>
        <v>0</v>
      </c>
      <c r="F36" s="4">
        <f t="shared" si="2"/>
        <v>0</v>
      </c>
      <c r="G36" s="4">
        <f t="shared" si="3"/>
        <v>47.9154</v>
      </c>
      <c r="H36" s="4">
        <f t="shared" si="4"/>
        <v>42.2029</v>
      </c>
      <c r="I36" s="4" t="str">
        <f t="shared" si="5"/>
        <v> </v>
      </c>
      <c r="J36" s="4">
        <v>0.0</v>
      </c>
      <c r="K36" s="4">
        <v>22.98</v>
      </c>
      <c r="L36" s="4">
        <f t="shared" si="6"/>
        <v>3</v>
      </c>
      <c r="M36" s="4">
        <f t="shared" si="7"/>
        <v>0</v>
      </c>
      <c r="N36" s="4">
        <f t="shared" si="8"/>
        <v>-5.09996</v>
      </c>
      <c r="O36" s="4">
        <f t="shared" si="9"/>
        <v>0</v>
      </c>
      <c r="P36" s="4">
        <f t="shared" si="10"/>
        <v>22.98</v>
      </c>
    </row>
    <row r="37" ht="15.75" customHeight="1">
      <c r="A37" s="4">
        <v>2012.0</v>
      </c>
      <c r="B37" s="9">
        <v>188.0</v>
      </c>
      <c r="C37" s="4">
        <v>18.46</v>
      </c>
      <c r="D37" s="4">
        <v>30.54</v>
      </c>
      <c r="E37" s="4">
        <f t="shared" si="1"/>
        <v>0</v>
      </c>
      <c r="F37" s="4">
        <f t="shared" si="2"/>
        <v>0</v>
      </c>
      <c r="G37" s="4">
        <f t="shared" si="3"/>
        <v>47.1119</v>
      </c>
      <c r="H37" s="4">
        <f t="shared" si="4"/>
        <v>42.17915</v>
      </c>
      <c r="I37" s="4" t="str">
        <f t="shared" si="5"/>
        <v> </v>
      </c>
      <c r="J37" s="4">
        <v>0.0</v>
      </c>
      <c r="K37" s="4">
        <v>23.58</v>
      </c>
      <c r="L37" s="4">
        <f t="shared" si="6"/>
        <v>3</v>
      </c>
      <c r="M37" s="4">
        <f t="shared" si="7"/>
        <v>0</v>
      </c>
      <c r="N37" s="4">
        <f t="shared" si="8"/>
        <v>-0.89141</v>
      </c>
      <c r="O37" s="4">
        <f t="shared" si="9"/>
        <v>0</v>
      </c>
      <c r="P37" s="4">
        <f t="shared" si="10"/>
        <v>23.58</v>
      </c>
    </row>
    <row r="38" ht="15.75" customHeight="1">
      <c r="A38" s="4">
        <v>2012.0</v>
      </c>
      <c r="B38" s="9">
        <v>189.0</v>
      </c>
      <c r="C38" s="4">
        <v>16.96</v>
      </c>
      <c r="D38" s="4">
        <v>27.72</v>
      </c>
      <c r="E38" s="4">
        <f t="shared" si="1"/>
        <v>1</v>
      </c>
      <c r="F38" s="4">
        <f t="shared" si="2"/>
        <v>0</v>
      </c>
      <c r="G38" s="4">
        <f t="shared" si="3"/>
        <v>45.5238</v>
      </c>
      <c r="H38" s="4">
        <f t="shared" si="4"/>
        <v>43.0031</v>
      </c>
      <c r="I38" s="4" t="str">
        <f t="shared" si="5"/>
        <v> </v>
      </c>
      <c r="J38" s="4">
        <v>0.7</v>
      </c>
      <c r="K38" s="4">
        <v>21.91</v>
      </c>
      <c r="L38" s="4">
        <f t="shared" si="6"/>
        <v>8</v>
      </c>
      <c r="M38" s="4">
        <f t="shared" si="7"/>
        <v>0</v>
      </c>
      <c r="N38" s="4">
        <f t="shared" si="8"/>
        <v>-6.16233</v>
      </c>
      <c r="O38" s="4">
        <f t="shared" si="9"/>
        <v>0.7</v>
      </c>
      <c r="P38" s="4">
        <f t="shared" si="10"/>
        <v>21.91</v>
      </c>
    </row>
    <row r="39" ht="15.75" customHeight="1">
      <c r="A39" s="4">
        <v>2012.0</v>
      </c>
      <c r="B39" s="9">
        <v>190.0</v>
      </c>
      <c r="C39" s="4">
        <v>15.2</v>
      </c>
      <c r="D39" s="4">
        <v>28.87</v>
      </c>
      <c r="E39" s="4">
        <f t="shared" si="1"/>
        <v>0</v>
      </c>
      <c r="F39" s="4">
        <f t="shared" si="2"/>
        <v>0</v>
      </c>
      <c r="G39" s="4">
        <f t="shared" si="3"/>
        <v>46.885</v>
      </c>
      <c r="H39" s="4">
        <f t="shared" si="4"/>
        <v>42.334</v>
      </c>
      <c r="I39" s="4" t="str">
        <f t="shared" si="5"/>
        <v> </v>
      </c>
      <c r="J39" s="4">
        <v>0.0</v>
      </c>
      <c r="K39" s="4">
        <v>22.08</v>
      </c>
      <c r="L39" s="4">
        <f t="shared" si="6"/>
        <v>3</v>
      </c>
      <c r="M39" s="4">
        <f t="shared" si="7"/>
        <v>0</v>
      </c>
      <c r="N39" s="4">
        <f t="shared" si="8"/>
        <v>-7.93822</v>
      </c>
      <c r="O39" s="4">
        <f t="shared" si="9"/>
        <v>0</v>
      </c>
      <c r="P39" s="4">
        <f t="shared" si="10"/>
        <v>22.08</v>
      </c>
    </row>
    <row r="40" ht="15.75" customHeight="1">
      <c r="A40" s="4">
        <v>2012.0</v>
      </c>
      <c r="B40" s="9">
        <v>191.0</v>
      </c>
      <c r="C40" s="4">
        <v>15.11</v>
      </c>
      <c r="D40" s="4">
        <v>30.44</v>
      </c>
      <c r="E40" s="4">
        <f t="shared" si="1"/>
        <v>0</v>
      </c>
      <c r="F40" s="4">
        <f t="shared" si="2"/>
        <v>0</v>
      </c>
      <c r="G40" s="4">
        <f t="shared" si="3"/>
        <v>46.6362</v>
      </c>
      <c r="H40" s="4">
        <f t="shared" si="4"/>
        <v>42.68725</v>
      </c>
      <c r="I40" s="4" t="str">
        <f t="shared" si="5"/>
        <v> </v>
      </c>
      <c r="J40" s="4">
        <v>0.0</v>
      </c>
      <c r="K40" s="4">
        <v>22.71</v>
      </c>
      <c r="L40" s="4">
        <f t="shared" si="6"/>
        <v>3</v>
      </c>
      <c r="M40" s="4">
        <f t="shared" si="7"/>
        <v>0</v>
      </c>
      <c r="N40" s="4">
        <f t="shared" si="8"/>
        <v>-3.24521</v>
      </c>
      <c r="O40" s="4">
        <f t="shared" si="9"/>
        <v>0</v>
      </c>
      <c r="P40" s="4">
        <f t="shared" si="10"/>
        <v>22.71</v>
      </c>
    </row>
    <row r="41" ht="15.75" customHeight="1">
      <c r="A41" s="4">
        <v>2012.0</v>
      </c>
      <c r="B41" s="9">
        <v>192.0</v>
      </c>
      <c r="C41" s="4">
        <v>18.22</v>
      </c>
      <c r="D41" s="4">
        <v>27.39</v>
      </c>
      <c r="E41" s="4">
        <f t="shared" si="1"/>
        <v>0</v>
      </c>
      <c r="F41" s="4">
        <f t="shared" si="2"/>
        <v>0</v>
      </c>
      <c r="G41" s="4">
        <f t="shared" si="3"/>
        <v>46.36</v>
      </c>
      <c r="H41" s="4">
        <f t="shared" si="4"/>
        <v>45.44635</v>
      </c>
      <c r="I41" s="4" t="str">
        <f t="shared" si="5"/>
        <v> </v>
      </c>
      <c r="J41" s="4">
        <v>0.0</v>
      </c>
      <c r="K41" s="4">
        <v>22.75</v>
      </c>
      <c r="L41" s="4">
        <f t="shared" si="6"/>
        <v>3</v>
      </c>
      <c r="M41" s="4">
        <f t="shared" si="7"/>
        <v>1</v>
      </c>
      <c r="N41" s="4">
        <f t="shared" si="8"/>
        <v>6.36658</v>
      </c>
      <c r="O41" s="4">
        <f t="shared" si="9"/>
        <v>0</v>
      </c>
      <c r="P41" s="4">
        <f t="shared" si="10"/>
        <v>22.75</v>
      </c>
    </row>
    <row r="42" ht="15.75" customHeight="1">
      <c r="A42" s="4">
        <v>2012.0</v>
      </c>
      <c r="B42" s="9">
        <v>193.0</v>
      </c>
      <c r="C42" s="4">
        <v>18.62</v>
      </c>
      <c r="D42" s="4">
        <v>25.94</v>
      </c>
      <c r="E42" s="4">
        <f t="shared" si="1"/>
        <v>1</v>
      </c>
      <c r="F42" s="4">
        <f t="shared" si="2"/>
        <v>1</v>
      </c>
      <c r="G42" s="4">
        <f t="shared" si="3"/>
        <v>49.6018</v>
      </c>
      <c r="H42" s="4">
        <f t="shared" si="4"/>
        <v>51.32145</v>
      </c>
      <c r="I42" s="4">
        <f t="shared" si="5"/>
        <v>1.71965</v>
      </c>
      <c r="J42" s="4">
        <v>0.4</v>
      </c>
      <c r="K42" s="4">
        <v>21.9</v>
      </c>
      <c r="L42" s="4">
        <f t="shared" si="6"/>
        <v>8</v>
      </c>
      <c r="M42" s="4">
        <f t="shared" si="7"/>
        <v>1</v>
      </c>
      <c r="N42" s="4">
        <f t="shared" si="8"/>
        <v>6.71229</v>
      </c>
      <c r="O42" s="4">
        <f t="shared" si="9"/>
        <v>0.4</v>
      </c>
      <c r="P42" s="4">
        <f t="shared" si="10"/>
        <v>21.9</v>
      </c>
    </row>
    <row r="43" ht="15.75" customHeight="1">
      <c r="A43" s="4">
        <v>2012.0</v>
      </c>
      <c r="B43" s="9">
        <v>194.0</v>
      </c>
      <c r="C43" s="4">
        <v>18.69</v>
      </c>
      <c r="D43" s="4">
        <v>30.78</v>
      </c>
      <c r="E43" s="4">
        <f t="shared" si="1"/>
        <v>1</v>
      </c>
      <c r="F43" s="4">
        <f t="shared" si="2"/>
        <v>0</v>
      </c>
      <c r="G43" s="4">
        <f t="shared" si="3"/>
        <v>49.8943</v>
      </c>
      <c r="H43" s="4">
        <f t="shared" si="4"/>
        <v>48.89905</v>
      </c>
      <c r="I43" s="4" t="str">
        <f t="shared" si="5"/>
        <v> </v>
      </c>
      <c r="J43" s="4">
        <v>0.3</v>
      </c>
      <c r="K43" s="4">
        <v>23.4</v>
      </c>
      <c r="L43" s="4">
        <f t="shared" si="6"/>
        <v>8</v>
      </c>
      <c r="M43" s="4">
        <f t="shared" si="7"/>
        <v>1</v>
      </c>
      <c r="N43" s="4">
        <f t="shared" si="8"/>
        <v>5.56143</v>
      </c>
      <c r="O43" s="4">
        <f t="shared" si="9"/>
        <v>0.3</v>
      </c>
      <c r="P43" s="4">
        <f t="shared" si="10"/>
        <v>23.4</v>
      </c>
    </row>
    <row r="44" ht="15.75" customHeight="1">
      <c r="A44" s="4">
        <v>2012.0</v>
      </c>
      <c r="B44" s="9">
        <v>195.0</v>
      </c>
      <c r="C44" s="4">
        <v>13.93</v>
      </c>
      <c r="D44" s="4">
        <v>27.38</v>
      </c>
      <c r="E44" s="4">
        <f t="shared" si="1"/>
        <v>1</v>
      </c>
      <c r="F44" s="4">
        <f t="shared" si="2"/>
        <v>0</v>
      </c>
      <c r="G44" s="4">
        <f t="shared" si="3"/>
        <v>40.8047</v>
      </c>
      <c r="H44" s="4">
        <f t="shared" si="4"/>
        <v>39.4747</v>
      </c>
      <c r="I44" s="4" t="str">
        <f t="shared" si="5"/>
        <v> </v>
      </c>
      <c r="J44" s="4">
        <v>6.9</v>
      </c>
      <c r="K44" s="4">
        <v>20.17</v>
      </c>
      <c r="L44" s="4">
        <f t="shared" si="6"/>
        <v>8</v>
      </c>
      <c r="M44" s="4">
        <f t="shared" si="7"/>
        <v>1</v>
      </c>
      <c r="N44" s="4">
        <f t="shared" si="8"/>
        <v>8.94339</v>
      </c>
      <c r="O44" s="4">
        <f t="shared" si="9"/>
        <v>6.9</v>
      </c>
      <c r="P44" s="4">
        <f t="shared" si="10"/>
        <v>20.17</v>
      </c>
    </row>
    <row r="45" ht="15.75" customHeight="1">
      <c r="A45" s="4">
        <v>2012.0</v>
      </c>
      <c r="B45" s="9">
        <v>196.0</v>
      </c>
      <c r="C45" s="4">
        <v>11.17</v>
      </c>
      <c r="D45" s="4">
        <v>26.0</v>
      </c>
      <c r="E45" s="4">
        <f t="shared" si="1"/>
        <v>1</v>
      </c>
      <c r="F45" s="4">
        <f t="shared" si="2"/>
        <v>1</v>
      </c>
      <c r="G45" s="4">
        <f t="shared" si="3"/>
        <v>35.7757</v>
      </c>
      <c r="H45" s="4">
        <f t="shared" si="4"/>
        <v>35.90165</v>
      </c>
      <c r="I45" s="4">
        <f t="shared" si="5"/>
        <v>0.12595</v>
      </c>
      <c r="J45" s="4">
        <v>0.1</v>
      </c>
      <c r="K45" s="4">
        <v>18.5</v>
      </c>
      <c r="L45" s="4">
        <f t="shared" si="6"/>
        <v>8</v>
      </c>
      <c r="M45" s="4">
        <f t="shared" si="7"/>
        <v>1</v>
      </c>
      <c r="N45" s="4">
        <f t="shared" si="8"/>
        <v>4.73224</v>
      </c>
      <c r="O45" s="4">
        <f t="shared" si="9"/>
        <v>0.1</v>
      </c>
      <c r="P45" s="4">
        <f t="shared" si="10"/>
        <v>18.5</v>
      </c>
    </row>
    <row r="46" ht="15.75" customHeight="1">
      <c r="A46" s="4">
        <v>2012.0</v>
      </c>
      <c r="B46" s="9">
        <v>197.0</v>
      </c>
      <c r="C46" s="4">
        <v>14.37</v>
      </c>
      <c r="D46" s="4">
        <v>26.66</v>
      </c>
      <c r="E46" s="4">
        <f t="shared" si="1"/>
        <v>1</v>
      </c>
      <c r="F46" s="4">
        <f t="shared" si="2"/>
        <v>0</v>
      </c>
      <c r="G46" s="4">
        <f t="shared" si="3"/>
        <v>33.5104</v>
      </c>
      <c r="H46" s="4">
        <f t="shared" si="4"/>
        <v>32.83805</v>
      </c>
      <c r="I46" s="4" t="str">
        <f t="shared" si="5"/>
        <v> </v>
      </c>
      <c r="J46" s="4">
        <v>3.7</v>
      </c>
      <c r="K46" s="4">
        <v>19.29</v>
      </c>
      <c r="L46" s="4">
        <f t="shared" si="6"/>
        <v>8</v>
      </c>
      <c r="M46" s="4">
        <f t="shared" si="7"/>
        <v>0</v>
      </c>
      <c r="N46" s="4">
        <f t="shared" si="8"/>
        <v>-6.98169</v>
      </c>
      <c r="O46" s="4">
        <f t="shared" si="9"/>
        <v>3.7</v>
      </c>
      <c r="P46" s="4">
        <f t="shared" si="10"/>
        <v>19.29</v>
      </c>
    </row>
    <row r="47" ht="15.75" customHeight="1">
      <c r="A47" s="4">
        <v>2012.0</v>
      </c>
      <c r="B47" s="9">
        <v>198.0</v>
      </c>
      <c r="C47" s="4">
        <v>15.02</v>
      </c>
      <c r="D47" s="4">
        <v>23.93</v>
      </c>
      <c r="E47" s="4">
        <f t="shared" si="1"/>
        <v>0</v>
      </c>
      <c r="F47" s="4">
        <f t="shared" si="2"/>
        <v>0</v>
      </c>
      <c r="G47" s="4">
        <f t="shared" si="3"/>
        <v>32.1994</v>
      </c>
      <c r="H47" s="4">
        <f t="shared" si="4"/>
        <v>30.84495</v>
      </c>
      <c r="I47" s="4" t="str">
        <f t="shared" si="5"/>
        <v> </v>
      </c>
      <c r="J47" s="4">
        <v>0.0</v>
      </c>
      <c r="K47" s="4">
        <v>19.38</v>
      </c>
      <c r="L47" s="4">
        <f t="shared" si="6"/>
        <v>3</v>
      </c>
      <c r="M47" s="4">
        <f t="shared" si="7"/>
        <v>0</v>
      </c>
      <c r="N47" s="4">
        <f t="shared" si="8"/>
        <v>-4.52599</v>
      </c>
      <c r="O47" s="4">
        <f t="shared" si="9"/>
        <v>0</v>
      </c>
      <c r="P47" s="4">
        <f t="shared" si="10"/>
        <v>19.38</v>
      </c>
    </row>
    <row r="48" ht="15.75" customHeight="1">
      <c r="A48" s="4">
        <v>2012.0</v>
      </c>
      <c r="B48" s="9">
        <v>199.0</v>
      </c>
      <c r="C48" s="4">
        <v>10.17</v>
      </c>
      <c r="D48" s="4">
        <v>21.28</v>
      </c>
      <c r="E48" s="4">
        <f t="shared" si="1"/>
        <v>0</v>
      </c>
      <c r="F48" s="4">
        <f t="shared" si="2"/>
        <v>1</v>
      </c>
      <c r="G48" s="4">
        <f t="shared" si="3"/>
        <v>30.7107</v>
      </c>
      <c r="H48" s="4">
        <f t="shared" si="4"/>
        <v>31.68105</v>
      </c>
      <c r="I48" s="4">
        <f t="shared" si="5"/>
        <v>0.97035</v>
      </c>
      <c r="J48" s="4">
        <v>0.0</v>
      </c>
      <c r="K48" s="4">
        <v>16.31</v>
      </c>
      <c r="L48" s="4">
        <f t="shared" si="6"/>
        <v>3</v>
      </c>
      <c r="M48" s="4">
        <f t="shared" si="7"/>
        <v>1</v>
      </c>
      <c r="N48" s="4">
        <f t="shared" si="8"/>
        <v>6.15916</v>
      </c>
      <c r="O48" s="4">
        <f t="shared" si="9"/>
        <v>0</v>
      </c>
      <c r="P48" s="4">
        <f t="shared" si="10"/>
        <v>16.31</v>
      </c>
    </row>
    <row r="49" ht="15.75" customHeight="1">
      <c r="A49" s="4">
        <v>2012.0</v>
      </c>
      <c r="B49" s="9">
        <v>200.0</v>
      </c>
      <c r="C49" s="4">
        <v>9.53</v>
      </c>
      <c r="D49" s="4">
        <v>21.92</v>
      </c>
      <c r="E49" s="4">
        <f t="shared" si="1"/>
        <v>1</v>
      </c>
      <c r="F49" s="4">
        <f t="shared" si="2"/>
        <v>1</v>
      </c>
      <c r="G49" s="4">
        <f t="shared" si="3"/>
        <v>35.2921</v>
      </c>
      <c r="H49" s="4">
        <f t="shared" si="4"/>
        <v>37.54835</v>
      </c>
      <c r="I49" s="4">
        <f t="shared" si="5"/>
        <v>2.25625</v>
      </c>
      <c r="J49" s="4">
        <v>1.0</v>
      </c>
      <c r="K49" s="4">
        <v>14.93</v>
      </c>
      <c r="L49" s="4">
        <f t="shared" si="6"/>
        <v>8</v>
      </c>
      <c r="M49" s="4">
        <f t="shared" si="7"/>
        <v>1</v>
      </c>
      <c r="N49" s="4">
        <f t="shared" si="8"/>
        <v>9.11396</v>
      </c>
      <c r="O49" s="4">
        <f t="shared" si="9"/>
        <v>1</v>
      </c>
      <c r="P49" s="4">
        <f t="shared" si="10"/>
        <v>14.93</v>
      </c>
    </row>
    <row r="50" ht="15.75" customHeight="1">
      <c r="A50" s="4">
        <v>2012.0</v>
      </c>
      <c r="B50" s="9">
        <v>201.0</v>
      </c>
      <c r="C50" s="4">
        <v>10.37</v>
      </c>
      <c r="D50" s="4">
        <v>18.95</v>
      </c>
      <c r="E50" s="4">
        <f t="shared" si="1"/>
        <v>1</v>
      </c>
      <c r="F50" s="4">
        <f t="shared" si="2"/>
        <v>1</v>
      </c>
      <c r="G50" s="4">
        <f t="shared" si="3"/>
        <v>33.9667</v>
      </c>
      <c r="H50" s="4">
        <f t="shared" si="4"/>
        <v>35.21635</v>
      </c>
      <c r="I50" s="4">
        <f t="shared" si="5"/>
        <v>1.24965</v>
      </c>
      <c r="J50" s="4">
        <v>4.2</v>
      </c>
      <c r="K50" s="4">
        <v>14.16</v>
      </c>
      <c r="L50" s="4">
        <f t="shared" si="6"/>
        <v>8</v>
      </c>
      <c r="M50" s="4">
        <f t="shared" si="7"/>
        <v>1</v>
      </c>
      <c r="N50" s="4">
        <f t="shared" si="8"/>
        <v>11.21411</v>
      </c>
      <c r="O50" s="4">
        <f t="shared" si="9"/>
        <v>4.2</v>
      </c>
      <c r="P50" s="4">
        <f t="shared" si="10"/>
        <v>14.16</v>
      </c>
    </row>
    <row r="51" ht="15.75" customHeight="1">
      <c r="A51" s="4">
        <v>2012.0</v>
      </c>
      <c r="B51" s="9">
        <v>202.0</v>
      </c>
      <c r="C51" s="4">
        <v>9.63</v>
      </c>
      <c r="D51" s="4">
        <v>22.44</v>
      </c>
      <c r="E51" s="4">
        <f t="shared" si="1"/>
        <v>1</v>
      </c>
      <c r="F51" s="4">
        <f t="shared" si="2"/>
        <v>1</v>
      </c>
      <c r="G51" s="4">
        <f t="shared" si="3"/>
        <v>36.4712</v>
      </c>
      <c r="H51" s="4">
        <f t="shared" si="4"/>
        <v>36.7888</v>
      </c>
      <c r="I51" s="4">
        <f t="shared" si="5"/>
        <v>0.3176</v>
      </c>
      <c r="J51" s="4">
        <v>6.3</v>
      </c>
      <c r="K51" s="4">
        <v>15.19</v>
      </c>
      <c r="L51" s="4">
        <f t="shared" si="6"/>
        <v>8</v>
      </c>
      <c r="M51" s="4">
        <f t="shared" si="7"/>
        <v>1</v>
      </c>
      <c r="N51" s="4">
        <f t="shared" si="8"/>
        <v>8.25398</v>
      </c>
      <c r="O51" s="4">
        <f t="shared" si="9"/>
        <v>6.3</v>
      </c>
      <c r="P51" s="4">
        <f t="shared" si="10"/>
        <v>15.19</v>
      </c>
    </row>
    <row r="52" ht="15.75" customHeight="1">
      <c r="A52" s="4">
        <v>2012.0</v>
      </c>
      <c r="B52" s="9">
        <v>203.0</v>
      </c>
      <c r="C52" s="4">
        <v>12.83</v>
      </c>
      <c r="D52" s="4">
        <v>22.56</v>
      </c>
      <c r="E52" s="4">
        <f t="shared" si="1"/>
        <v>1</v>
      </c>
      <c r="F52" s="4">
        <f t="shared" si="2"/>
        <v>0</v>
      </c>
      <c r="G52" s="4">
        <f t="shared" si="3"/>
        <v>38.5248</v>
      </c>
      <c r="H52" s="4">
        <f t="shared" si="4"/>
        <v>36.7533</v>
      </c>
      <c r="I52" s="4" t="str">
        <f t="shared" si="5"/>
        <v> </v>
      </c>
      <c r="J52" s="4">
        <v>0.4</v>
      </c>
      <c r="K52" s="4">
        <v>16.48</v>
      </c>
      <c r="L52" s="4">
        <f t="shared" si="6"/>
        <v>8</v>
      </c>
      <c r="M52" s="4">
        <f t="shared" si="7"/>
        <v>1</v>
      </c>
      <c r="N52" s="4">
        <f t="shared" si="8"/>
        <v>4.52414</v>
      </c>
      <c r="O52" s="4">
        <f t="shared" si="9"/>
        <v>0.4</v>
      </c>
      <c r="P52" s="4">
        <f t="shared" si="10"/>
        <v>16.48</v>
      </c>
    </row>
    <row r="53" ht="15.75" customHeight="1">
      <c r="A53" s="4">
        <v>2012.0</v>
      </c>
      <c r="B53" s="9">
        <v>204.0</v>
      </c>
      <c r="C53" s="4">
        <v>10.47</v>
      </c>
      <c r="D53" s="4">
        <v>23.83</v>
      </c>
      <c r="E53" s="4">
        <f t="shared" si="1"/>
        <v>1</v>
      </c>
      <c r="F53" s="4">
        <f t="shared" si="2"/>
        <v>0</v>
      </c>
      <c r="G53" s="4">
        <f t="shared" si="3"/>
        <v>38.8003</v>
      </c>
      <c r="H53" s="4">
        <f t="shared" si="4"/>
        <v>34.54125</v>
      </c>
      <c r="I53" s="4" t="str">
        <f t="shared" si="5"/>
        <v> </v>
      </c>
      <c r="J53" s="4">
        <v>2.6</v>
      </c>
      <c r="K53" s="4">
        <v>16.92</v>
      </c>
      <c r="L53" s="4">
        <f t="shared" si="6"/>
        <v>8</v>
      </c>
      <c r="M53" s="4">
        <f t="shared" si="7"/>
        <v>0</v>
      </c>
      <c r="N53" s="4">
        <f t="shared" si="8"/>
        <v>-3.63725</v>
      </c>
      <c r="O53" s="4">
        <f t="shared" si="9"/>
        <v>2.6</v>
      </c>
      <c r="P53" s="4">
        <f t="shared" si="10"/>
        <v>16.92</v>
      </c>
    </row>
    <row r="54" ht="15.75" customHeight="1">
      <c r="A54" s="4">
        <v>2012.0</v>
      </c>
      <c r="B54" s="9">
        <v>205.0</v>
      </c>
      <c r="C54" s="4">
        <v>11.54</v>
      </c>
      <c r="D54" s="4">
        <v>23.76</v>
      </c>
      <c r="E54" s="4">
        <f t="shared" si="1"/>
        <v>0</v>
      </c>
      <c r="F54" s="4">
        <f t="shared" si="2"/>
        <v>0</v>
      </c>
      <c r="G54" s="4">
        <f t="shared" si="3"/>
        <v>38.4051</v>
      </c>
      <c r="H54" s="4">
        <f t="shared" si="4"/>
        <v>34.30335</v>
      </c>
      <c r="I54" s="4" t="str">
        <f t="shared" si="5"/>
        <v> </v>
      </c>
      <c r="J54" s="4">
        <v>0.0</v>
      </c>
      <c r="K54" s="4">
        <v>17.76</v>
      </c>
      <c r="L54" s="4">
        <f t="shared" si="6"/>
        <v>3</v>
      </c>
      <c r="M54" s="4">
        <f t="shared" si="7"/>
        <v>0</v>
      </c>
      <c r="N54" s="4">
        <f t="shared" si="8"/>
        <v>-6.48011</v>
      </c>
      <c r="O54" s="4">
        <f t="shared" si="9"/>
        <v>0</v>
      </c>
      <c r="P54" s="4">
        <f t="shared" si="10"/>
        <v>17.76</v>
      </c>
    </row>
    <row r="55" ht="15.75" customHeight="1">
      <c r="A55" s="4">
        <v>2012.0</v>
      </c>
      <c r="B55" s="9">
        <v>206.0</v>
      </c>
      <c r="C55" s="4">
        <v>14.3</v>
      </c>
      <c r="D55" s="4">
        <v>25.25</v>
      </c>
      <c r="E55" s="4">
        <f t="shared" si="1"/>
        <v>0</v>
      </c>
      <c r="F55" s="4">
        <f t="shared" si="2"/>
        <v>0</v>
      </c>
      <c r="G55" s="4">
        <f t="shared" si="3"/>
        <v>42.7355</v>
      </c>
      <c r="H55" s="4">
        <f t="shared" si="4"/>
        <v>39.03195</v>
      </c>
      <c r="I55" s="4" t="str">
        <f t="shared" si="5"/>
        <v> </v>
      </c>
      <c r="J55" s="4">
        <v>0.0</v>
      </c>
      <c r="K55" s="4">
        <v>19.46</v>
      </c>
      <c r="L55" s="4">
        <f t="shared" si="6"/>
        <v>3</v>
      </c>
      <c r="M55" s="4">
        <f t="shared" si="7"/>
        <v>0</v>
      </c>
      <c r="N55" s="4">
        <f t="shared" si="8"/>
        <v>-9.10426</v>
      </c>
      <c r="O55" s="4">
        <f t="shared" si="9"/>
        <v>0</v>
      </c>
      <c r="P55" s="4">
        <f t="shared" si="10"/>
        <v>19.46</v>
      </c>
    </row>
    <row r="56" ht="15.75" customHeight="1">
      <c r="A56" s="4">
        <v>2012.0</v>
      </c>
      <c r="B56" s="9">
        <v>207.0</v>
      </c>
      <c r="C56" s="4">
        <v>17.09</v>
      </c>
      <c r="D56" s="4">
        <v>27.82</v>
      </c>
      <c r="E56" s="4">
        <f t="shared" si="1"/>
        <v>0</v>
      </c>
      <c r="F56" s="4">
        <f t="shared" si="2"/>
        <v>0</v>
      </c>
      <c r="G56" s="4">
        <f t="shared" si="3"/>
        <v>48.8397</v>
      </c>
      <c r="H56" s="4">
        <f t="shared" si="4"/>
        <v>44.36155</v>
      </c>
      <c r="I56" s="4" t="str">
        <f t="shared" si="5"/>
        <v> </v>
      </c>
      <c r="J56" s="4">
        <v>0.0</v>
      </c>
      <c r="K56" s="4">
        <v>22.07</v>
      </c>
      <c r="L56" s="4">
        <f t="shared" si="6"/>
        <v>3</v>
      </c>
      <c r="M56" s="4">
        <f t="shared" si="7"/>
        <v>0</v>
      </c>
      <c r="N56" s="4">
        <f t="shared" si="8"/>
        <v>-5.07857</v>
      </c>
      <c r="O56" s="4">
        <f t="shared" si="9"/>
        <v>0</v>
      </c>
      <c r="P56" s="4">
        <f t="shared" si="10"/>
        <v>22.07</v>
      </c>
    </row>
    <row r="57" ht="15.75" customHeight="1">
      <c r="A57" s="4">
        <v>2012.0</v>
      </c>
      <c r="B57" s="9">
        <v>208.0</v>
      </c>
      <c r="C57" s="4">
        <v>15.23</v>
      </c>
      <c r="D57" s="4">
        <v>29.31</v>
      </c>
      <c r="E57" s="4">
        <f t="shared" si="1"/>
        <v>0</v>
      </c>
      <c r="F57" s="4">
        <f t="shared" si="2"/>
        <v>0</v>
      </c>
      <c r="G57" s="4">
        <f t="shared" si="3"/>
        <v>50.1443</v>
      </c>
      <c r="H57" s="4">
        <f t="shared" si="4"/>
        <v>45.94315</v>
      </c>
      <c r="I57" s="4" t="str">
        <f t="shared" si="5"/>
        <v> </v>
      </c>
      <c r="J57" s="4">
        <v>0.0</v>
      </c>
      <c r="K57" s="4">
        <v>22.28</v>
      </c>
      <c r="L57" s="4">
        <f t="shared" si="6"/>
        <v>3</v>
      </c>
      <c r="M57" s="4">
        <f t="shared" si="7"/>
        <v>1</v>
      </c>
      <c r="N57" s="4">
        <f t="shared" si="8"/>
        <v>3.44487</v>
      </c>
      <c r="O57" s="4">
        <f t="shared" si="9"/>
        <v>0</v>
      </c>
      <c r="P57" s="4">
        <f t="shared" si="10"/>
        <v>22.28</v>
      </c>
    </row>
    <row r="58" ht="15.75" customHeight="1">
      <c r="A58" s="4">
        <v>2012.0</v>
      </c>
      <c r="B58" s="9">
        <v>209.0</v>
      </c>
      <c r="C58" s="4">
        <v>15.29</v>
      </c>
      <c r="D58" s="4">
        <v>29.81</v>
      </c>
      <c r="E58" s="4">
        <f t="shared" si="1"/>
        <v>1</v>
      </c>
      <c r="F58" s="4">
        <f t="shared" si="2"/>
        <v>0</v>
      </c>
      <c r="G58" s="4">
        <f t="shared" si="3"/>
        <v>52.0669</v>
      </c>
      <c r="H58" s="4">
        <f t="shared" si="4"/>
        <v>48.56545</v>
      </c>
      <c r="I58" s="4" t="str">
        <f t="shared" si="5"/>
        <v> </v>
      </c>
      <c r="J58" s="4">
        <v>11.0</v>
      </c>
      <c r="K58" s="4">
        <v>21.24</v>
      </c>
      <c r="L58" s="4">
        <f t="shared" si="6"/>
        <v>8</v>
      </c>
      <c r="M58" s="4">
        <f t="shared" si="7"/>
        <v>1</v>
      </c>
      <c r="N58" s="4">
        <f t="shared" si="8"/>
        <v>2.88468</v>
      </c>
      <c r="O58" s="4">
        <f t="shared" si="9"/>
        <v>11</v>
      </c>
      <c r="P58" s="4">
        <f t="shared" si="10"/>
        <v>21.24</v>
      </c>
    </row>
    <row r="59" ht="15.75" customHeight="1">
      <c r="A59" s="4">
        <v>2012.0</v>
      </c>
      <c r="B59" s="9">
        <v>210.0</v>
      </c>
      <c r="C59" s="4">
        <v>14.47</v>
      </c>
      <c r="D59" s="4">
        <v>28.05</v>
      </c>
      <c r="E59" s="4">
        <f t="shared" si="1"/>
        <v>1</v>
      </c>
      <c r="F59" s="4">
        <f t="shared" si="2"/>
        <v>0</v>
      </c>
      <c r="G59" s="4">
        <f t="shared" si="3"/>
        <v>50.6294</v>
      </c>
      <c r="H59" s="4">
        <f t="shared" si="4"/>
        <v>46.0462</v>
      </c>
      <c r="I59" s="4" t="str">
        <f t="shared" si="5"/>
        <v> </v>
      </c>
      <c r="J59" s="4">
        <v>2.0</v>
      </c>
      <c r="K59" s="4">
        <v>21.17</v>
      </c>
      <c r="L59" s="4">
        <f t="shared" si="6"/>
        <v>8</v>
      </c>
      <c r="M59" s="4">
        <f t="shared" si="7"/>
        <v>0</v>
      </c>
      <c r="N59" s="4">
        <f t="shared" si="8"/>
        <v>-6.99463</v>
      </c>
      <c r="O59" s="4">
        <f t="shared" si="9"/>
        <v>2</v>
      </c>
      <c r="P59" s="4">
        <f t="shared" si="10"/>
        <v>21.17</v>
      </c>
    </row>
    <row r="60" ht="15.75" customHeight="1">
      <c r="A60" s="4">
        <v>2012.0</v>
      </c>
      <c r="B60" s="9">
        <v>211.0</v>
      </c>
      <c r="C60" s="4">
        <v>14.97</v>
      </c>
      <c r="D60" s="4">
        <v>30.04</v>
      </c>
      <c r="E60" s="4">
        <f t="shared" si="1"/>
        <v>0</v>
      </c>
      <c r="F60" s="4">
        <f t="shared" si="2"/>
        <v>0</v>
      </c>
      <c r="G60" s="4">
        <f t="shared" si="3"/>
        <v>46.8602</v>
      </c>
      <c r="H60" s="4">
        <f t="shared" si="4"/>
        <v>40.3118</v>
      </c>
      <c r="I60" s="4" t="str">
        <f t="shared" si="5"/>
        <v> </v>
      </c>
      <c r="J60" s="4">
        <v>0.0</v>
      </c>
      <c r="K60" s="4">
        <v>22.17</v>
      </c>
      <c r="L60" s="4">
        <f t="shared" si="6"/>
        <v>3</v>
      </c>
      <c r="M60" s="4">
        <f t="shared" si="7"/>
        <v>0</v>
      </c>
      <c r="N60" s="4">
        <f t="shared" si="8"/>
        <v>-11.75817</v>
      </c>
      <c r="O60" s="4">
        <f t="shared" si="9"/>
        <v>0</v>
      </c>
      <c r="P60" s="4">
        <f t="shared" si="10"/>
        <v>22.17</v>
      </c>
    </row>
    <row r="61" ht="15.75" customHeight="1">
      <c r="A61" s="4">
        <v>2012.0</v>
      </c>
      <c r="B61" s="9">
        <v>212.0</v>
      </c>
      <c r="C61" s="4">
        <v>14.23</v>
      </c>
      <c r="D61" s="4">
        <v>30.56</v>
      </c>
      <c r="E61" s="4">
        <f t="shared" si="1"/>
        <v>0</v>
      </c>
      <c r="F61" s="4">
        <f t="shared" si="2"/>
        <v>0</v>
      </c>
      <c r="G61" s="4">
        <f t="shared" si="3"/>
        <v>48.1752</v>
      </c>
      <c r="H61" s="4">
        <f t="shared" si="4"/>
        <v>41.0079</v>
      </c>
      <c r="I61" s="4" t="str">
        <f t="shared" si="5"/>
        <v> </v>
      </c>
      <c r="J61" s="4">
        <v>0.0</v>
      </c>
      <c r="K61" s="4">
        <v>22.35</v>
      </c>
      <c r="L61" s="4">
        <f t="shared" si="6"/>
        <v>3</v>
      </c>
      <c r="M61" s="4">
        <f t="shared" si="7"/>
        <v>0</v>
      </c>
      <c r="N61" s="4">
        <f t="shared" si="8"/>
        <v>-11.13339</v>
      </c>
      <c r="O61" s="4">
        <f t="shared" si="9"/>
        <v>0</v>
      </c>
      <c r="P61" s="4">
        <f t="shared" si="10"/>
        <v>22.35</v>
      </c>
    </row>
    <row r="62" ht="15.75" customHeight="1">
      <c r="A62" s="4">
        <v>2012.0</v>
      </c>
      <c r="B62" s="9">
        <v>213.0</v>
      </c>
      <c r="C62" s="4">
        <v>13.06</v>
      </c>
      <c r="D62" s="4">
        <v>31.2</v>
      </c>
      <c r="E62" s="4">
        <f t="shared" si="1"/>
        <v>0</v>
      </c>
      <c r="F62" s="4">
        <f t="shared" si="2"/>
        <v>0</v>
      </c>
      <c r="G62" s="4">
        <f t="shared" si="3"/>
        <v>46.2116</v>
      </c>
      <c r="H62" s="4">
        <f t="shared" si="4"/>
        <v>39.4921</v>
      </c>
      <c r="I62" s="4" t="str">
        <f t="shared" si="5"/>
        <v> </v>
      </c>
      <c r="J62" s="4">
        <v>0.0</v>
      </c>
      <c r="K62" s="4">
        <v>22.87</v>
      </c>
      <c r="L62" s="4">
        <f t="shared" si="6"/>
        <v>3</v>
      </c>
      <c r="M62" s="4">
        <f t="shared" si="7"/>
        <v>0</v>
      </c>
      <c r="N62" s="4">
        <f t="shared" si="8"/>
        <v>-10.43126</v>
      </c>
      <c r="O62" s="4">
        <f t="shared" si="9"/>
        <v>0</v>
      </c>
      <c r="P62" s="4">
        <f t="shared" si="10"/>
        <v>22.87</v>
      </c>
    </row>
    <row r="63" ht="15.75" customHeight="1">
      <c r="A63" s="4">
        <v>2012.0</v>
      </c>
      <c r="B63" s="9">
        <v>214.0</v>
      </c>
      <c r="C63" s="4">
        <v>14.34</v>
      </c>
      <c r="D63" s="4">
        <v>32.39</v>
      </c>
      <c r="E63" s="4">
        <f t="shared" si="1"/>
        <v>0</v>
      </c>
      <c r="F63" s="4">
        <f t="shared" si="2"/>
        <v>0</v>
      </c>
      <c r="G63" s="4">
        <f t="shared" si="3"/>
        <v>48.1343</v>
      </c>
      <c r="H63" s="4">
        <f t="shared" si="4"/>
        <v>43.43065</v>
      </c>
      <c r="I63" s="4" t="str">
        <f t="shared" si="5"/>
        <v> </v>
      </c>
      <c r="J63" s="4">
        <v>0.0</v>
      </c>
      <c r="K63" s="4">
        <v>23.65</v>
      </c>
      <c r="L63" s="4">
        <f t="shared" si="6"/>
        <v>3</v>
      </c>
      <c r="M63" s="4">
        <f t="shared" si="7"/>
        <v>0</v>
      </c>
      <c r="N63" s="4">
        <f t="shared" si="8"/>
        <v>-12.37166</v>
      </c>
      <c r="O63" s="4">
        <f t="shared" si="9"/>
        <v>0</v>
      </c>
      <c r="P63" s="4">
        <f t="shared" si="10"/>
        <v>23.65</v>
      </c>
    </row>
    <row r="64" ht="15.75" customHeight="1">
      <c r="A64" s="4">
        <v>2012.0</v>
      </c>
      <c r="B64" s="9">
        <v>215.0</v>
      </c>
      <c r="C64" s="4">
        <v>15.46</v>
      </c>
      <c r="D64" s="4">
        <v>27.45</v>
      </c>
      <c r="E64" s="4">
        <f t="shared" si="1"/>
        <v>0</v>
      </c>
      <c r="F64" s="4">
        <f t="shared" si="2"/>
        <v>0</v>
      </c>
      <c r="G64" s="4">
        <f t="shared" si="3"/>
        <v>47.2064</v>
      </c>
      <c r="H64" s="4">
        <f t="shared" si="4"/>
        <v>40.7267</v>
      </c>
      <c r="I64" s="4" t="str">
        <f t="shared" si="5"/>
        <v> </v>
      </c>
      <c r="J64" s="4">
        <v>0.0</v>
      </c>
      <c r="K64" s="4">
        <v>21.4</v>
      </c>
      <c r="L64" s="4">
        <f t="shared" si="6"/>
        <v>3</v>
      </c>
      <c r="M64" s="4">
        <f t="shared" si="7"/>
        <v>0</v>
      </c>
      <c r="N64" s="4">
        <f t="shared" si="8"/>
        <v>-10.00129</v>
      </c>
      <c r="O64" s="4">
        <f t="shared" si="9"/>
        <v>0</v>
      </c>
      <c r="P64" s="4">
        <f t="shared" si="10"/>
        <v>21.4</v>
      </c>
    </row>
    <row r="65" ht="15.75" customHeight="1">
      <c r="A65" s="4">
        <v>2012.0</v>
      </c>
      <c r="B65" s="9">
        <v>216.0</v>
      </c>
      <c r="C65" s="4">
        <v>12.04</v>
      </c>
      <c r="D65" s="4">
        <v>29.91</v>
      </c>
      <c r="E65" s="4">
        <f t="shared" si="1"/>
        <v>0</v>
      </c>
      <c r="F65" s="4">
        <f t="shared" si="2"/>
        <v>0</v>
      </c>
      <c r="G65" s="4">
        <f t="shared" si="3"/>
        <v>49.7381</v>
      </c>
      <c r="H65" s="4">
        <f t="shared" si="4"/>
        <v>44.50285</v>
      </c>
      <c r="I65" s="4" t="str">
        <f t="shared" si="5"/>
        <v> </v>
      </c>
      <c r="J65" s="4">
        <v>0.0</v>
      </c>
      <c r="K65" s="4">
        <v>20.82</v>
      </c>
      <c r="L65" s="4">
        <f t="shared" si="6"/>
        <v>3</v>
      </c>
      <c r="M65" s="4">
        <f t="shared" si="7"/>
        <v>0</v>
      </c>
      <c r="N65" s="4">
        <f t="shared" si="8"/>
        <v>-4.05626</v>
      </c>
      <c r="O65" s="4">
        <f t="shared" si="9"/>
        <v>0</v>
      </c>
      <c r="P65" s="4">
        <f t="shared" si="10"/>
        <v>20.82</v>
      </c>
    </row>
    <row r="66" ht="15.75" customHeight="1">
      <c r="A66" s="4">
        <v>2012.0</v>
      </c>
      <c r="B66" s="9">
        <v>217.0</v>
      </c>
      <c r="C66" s="4">
        <v>13.73</v>
      </c>
      <c r="D66" s="4">
        <v>28.88</v>
      </c>
      <c r="E66" s="4">
        <f t="shared" si="1"/>
        <v>0</v>
      </c>
      <c r="F66" s="4">
        <f t="shared" si="2"/>
        <v>0</v>
      </c>
      <c r="G66" s="4">
        <f t="shared" si="3"/>
        <v>45.9473</v>
      </c>
      <c r="H66" s="4">
        <f t="shared" si="4"/>
        <v>40.45905</v>
      </c>
      <c r="I66" s="4" t="str">
        <f t="shared" si="5"/>
        <v> </v>
      </c>
      <c r="J66" s="4">
        <v>0.0</v>
      </c>
      <c r="K66" s="4">
        <v>21.42</v>
      </c>
      <c r="L66" s="4">
        <f t="shared" si="6"/>
        <v>3</v>
      </c>
      <c r="M66" s="4">
        <f t="shared" si="7"/>
        <v>0</v>
      </c>
      <c r="N66" s="4">
        <f t="shared" si="8"/>
        <v>-1.33998</v>
      </c>
      <c r="O66" s="4">
        <f t="shared" si="9"/>
        <v>0</v>
      </c>
      <c r="P66" s="4">
        <f t="shared" si="10"/>
        <v>21.42</v>
      </c>
    </row>
    <row r="67" ht="15.75" customHeight="1">
      <c r="A67" s="4">
        <v>2012.0</v>
      </c>
      <c r="B67" s="9">
        <v>218.0</v>
      </c>
      <c r="C67" s="4">
        <v>17.16</v>
      </c>
      <c r="D67" s="4">
        <v>29.97</v>
      </c>
      <c r="E67" s="4">
        <f t="shared" si="1"/>
        <v>1</v>
      </c>
      <c r="F67" s="4">
        <f t="shared" si="2"/>
        <v>0</v>
      </c>
      <c r="G67" s="4">
        <f t="shared" si="3"/>
        <v>46.361</v>
      </c>
      <c r="H67" s="4">
        <f t="shared" si="4"/>
        <v>42.0255</v>
      </c>
      <c r="I67" s="4" t="str">
        <f t="shared" si="5"/>
        <v> </v>
      </c>
      <c r="J67" s="4">
        <v>1.7</v>
      </c>
      <c r="K67" s="4">
        <v>22.15</v>
      </c>
      <c r="L67" s="4">
        <f t="shared" si="6"/>
        <v>8</v>
      </c>
      <c r="M67" s="4">
        <f t="shared" si="7"/>
        <v>0</v>
      </c>
      <c r="N67" s="4">
        <f t="shared" si="8"/>
        <v>-5.71757</v>
      </c>
      <c r="O67" s="4">
        <f t="shared" si="9"/>
        <v>1.7</v>
      </c>
      <c r="P67" s="4">
        <f t="shared" si="10"/>
        <v>22.15</v>
      </c>
    </row>
    <row r="68" ht="15.75" customHeight="1">
      <c r="A68" s="4">
        <v>2012.0</v>
      </c>
      <c r="B68" s="9">
        <v>219.0</v>
      </c>
      <c r="C68" s="4">
        <v>14.93</v>
      </c>
      <c r="D68" s="4">
        <v>30.17</v>
      </c>
      <c r="E68" s="4">
        <f t="shared" si="1"/>
        <v>0</v>
      </c>
      <c r="F68" s="4">
        <f t="shared" si="2"/>
        <v>0</v>
      </c>
      <c r="G68" s="4">
        <f t="shared" si="3"/>
        <v>41.1225</v>
      </c>
      <c r="H68" s="4">
        <f t="shared" si="4"/>
        <v>34.3261</v>
      </c>
      <c r="I68" s="4" t="str">
        <f t="shared" si="5"/>
        <v> </v>
      </c>
      <c r="J68" s="4">
        <v>0.0</v>
      </c>
      <c r="K68" s="4">
        <v>22.31</v>
      </c>
      <c r="L68" s="4">
        <f t="shared" si="6"/>
        <v>3</v>
      </c>
      <c r="M68" s="4">
        <f t="shared" si="7"/>
        <v>0</v>
      </c>
      <c r="N68" s="4">
        <f t="shared" si="8"/>
        <v>-11.53072</v>
      </c>
      <c r="O68" s="4">
        <f t="shared" si="9"/>
        <v>0</v>
      </c>
      <c r="P68" s="4">
        <f t="shared" si="10"/>
        <v>22.31</v>
      </c>
    </row>
    <row r="69" ht="15.75" customHeight="1">
      <c r="A69" s="4">
        <v>2012.0</v>
      </c>
      <c r="B69" s="9">
        <v>220.0</v>
      </c>
      <c r="C69" s="4">
        <v>17.43</v>
      </c>
      <c r="D69" s="4">
        <v>33.17</v>
      </c>
      <c r="E69" s="4">
        <f t="shared" si="1"/>
        <v>0</v>
      </c>
      <c r="F69" s="4">
        <f t="shared" si="2"/>
        <v>0</v>
      </c>
      <c r="G69" s="4">
        <f t="shared" si="3"/>
        <v>39.8787</v>
      </c>
      <c r="H69" s="4">
        <f t="shared" si="4"/>
        <v>35.47995</v>
      </c>
      <c r="I69" s="4" t="str">
        <f t="shared" si="5"/>
        <v> </v>
      </c>
      <c r="J69" s="4">
        <v>0.0</v>
      </c>
      <c r="K69" s="4">
        <v>24.86</v>
      </c>
      <c r="L69" s="4">
        <f t="shared" si="6"/>
        <v>3</v>
      </c>
      <c r="M69" s="4">
        <f t="shared" si="7"/>
        <v>0</v>
      </c>
      <c r="N69" s="4">
        <f t="shared" si="8"/>
        <v>-11.48155</v>
      </c>
      <c r="O69" s="4">
        <f t="shared" si="9"/>
        <v>0</v>
      </c>
      <c r="P69" s="4">
        <f t="shared" si="10"/>
        <v>24.86</v>
      </c>
    </row>
    <row r="70" ht="15.75" customHeight="1">
      <c r="A70" s="4">
        <v>2012.0</v>
      </c>
      <c r="B70" s="9">
        <v>221.0</v>
      </c>
      <c r="C70" s="4">
        <v>14.2</v>
      </c>
      <c r="D70" s="4">
        <v>26.28</v>
      </c>
      <c r="E70" s="4">
        <f t="shared" si="1"/>
        <v>0</v>
      </c>
      <c r="F70" s="4">
        <f t="shared" si="2"/>
        <v>0</v>
      </c>
      <c r="G70" s="4">
        <f t="shared" si="3"/>
        <v>36.4067</v>
      </c>
      <c r="H70" s="4">
        <f t="shared" si="4"/>
        <v>33.1237</v>
      </c>
      <c r="I70" s="4" t="str">
        <f t="shared" si="5"/>
        <v> </v>
      </c>
      <c r="J70" s="4">
        <v>0.0</v>
      </c>
      <c r="K70" s="4">
        <v>20.77</v>
      </c>
      <c r="L70" s="4">
        <f t="shared" si="6"/>
        <v>3</v>
      </c>
      <c r="M70" s="4">
        <f t="shared" si="7"/>
        <v>0</v>
      </c>
      <c r="N70" s="4">
        <f t="shared" si="8"/>
        <v>-11.12172</v>
      </c>
      <c r="O70" s="4">
        <f t="shared" si="9"/>
        <v>0</v>
      </c>
      <c r="P70" s="4">
        <f t="shared" si="10"/>
        <v>20.77</v>
      </c>
    </row>
    <row r="71" ht="15.75" customHeight="1">
      <c r="A71" s="4">
        <v>2012.0</v>
      </c>
      <c r="B71" s="9">
        <v>222.0</v>
      </c>
      <c r="C71" s="4">
        <v>11.98</v>
      </c>
      <c r="D71" s="4">
        <v>24.49</v>
      </c>
      <c r="E71" s="4">
        <f t="shared" si="1"/>
        <v>0</v>
      </c>
      <c r="F71" s="4">
        <f t="shared" si="2"/>
        <v>0</v>
      </c>
      <c r="G71" s="4">
        <f t="shared" si="3"/>
        <v>35.5766</v>
      </c>
      <c r="H71" s="4">
        <f t="shared" si="4"/>
        <v>32.31825</v>
      </c>
      <c r="I71" s="4" t="str">
        <f t="shared" si="5"/>
        <v> </v>
      </c>
      <c r="J71" s="4">
        <v>0.0</v>
      </c>
      <c r="K71" s="4">
        <v>18.24</v>
      </c>
      <c r="L71" s="4">
        <f t="shared" si="6"/>
        <v>3</v>
      </c>
      <c r="M71" s="4">
        <f t="shared" si="7"/>
        <v>0</v>
      </c>
      <c r="N71" s="4">
        <f t="shared" si="8"/>
        <v>-4.07312</v>
      </c>
      <c r="O71" s="4">
        <f t="shared" si="9"/>
        <v>0</v>
      </c>
      <c r="P71" s="4">
        <f t="shared" si="10"/>
        <v>18.24</v>
      </c>
    </row>
    <row r="72" ht="15.75" customHeight="1">
      <c r="A72" s="4">
        <v>2012.0</v>
      </c>
      <c r="B72" s="9">
        <v>223.0</v>
      </c>
      <c r="C72" s="4">
        <v>9.07</v>
      </c>
      <c r="D72" s="4">
        <v>24.57</v>
      </c>
      <c r="E72" s="4">
        <f t="shared" si="1"/>
        <v>0</v>
      </c>
      <c r="F72" s="4">
        <f t="shared" si="2"/>
        <v>1</v>
      </c>
      <c r="G72" s="4">
        <f t="shared" si="3"/>
        <v>30.9872</v>
      </c>
      <c r="H72" s="4">
        <f t="shared" si="4"/>
        <v>31.437</v>
      </c>
      <c r="I72" s="4">
        <f t="shared" si="5"/>
        <v>0.4498</v>
      </c>
      <c r="J72" s="4">
        <v>0.0</v>
      </c>
      <c r="K72" s="4">
        <v>16.97</v>
      </c>
      <c r="L72" s="4">
        <f t="shared" si="6"/>
        <v>3</v>
      </c>
      <c r="M72" s="4">
        <f t="shared" si="7"/>
        <v>1</v>
      </c>
      <c r="N72" s="4">
        <f t="shared" si="8"/>
        <v>4.29151</v>
      </c>
      <c r="O72" s="4">
        <f t="shared" si="9"/>
        <v>0</v>
      </c>
      <c r="P72" s="4">
        <f t="shared" si="10"/>
        <v>16.97</v>
      </c>
    </row>
    <row r="73" ht="15.75" customHeight="1">
      <c r="A73" s="4">
        <v>2012.0</v>
      </c>
      <c r="B73" s="9">
        <v>224.0</v>
      </c>
      <c r="C73" s="4">
        <v>11.24</v>
      </c>
      <c r="D73" s="4">
        <v>22.32</v>
      </c>
      <c r="E73" s="4">
        <f t="shared" si="1"/>
        <v>1</v>
      </c>
      <c r="F73" s="4">
        <f t="shared" si="2"/>
        <v>1</v>
      </c>
      <c r="G73" s="4">
        <f t="shared" si="3"/>
        <v>38.7618</v>
      </c>
      <c r="H73" s="4">
        <f t="shared" si="4"/>
        <v>39.8817</v>
      </c>
      <c r="I73" s="4">
        <f t="shared" si="5"/>
        <v>1.1199</v>
      </c>
      <c r="J73" s="4">
        <v>9.5</v>
      </c>
      <c r="K73" s="4">
        <v>15.76</v>
      </c>
      <c r="L73" s="4">
        <f t="shared" si="6"/>
        <v>8</v>
      </c>
      <c r="M73" s="4">
        <f t="shared" si="7"/>
        <v>1</v>
      </c>
      <c r="N73" s="4">
        <f t="shared" si="8"/>
        <v>4.37382</v>
      </c>
      <c r="O73" s="4">
        <f t="shared" si="9"/>
        <v>9.5</v>
      </c>
      <c r="P73" s="4">
        <f t="shared" si="10"/>
        <v>15.76</v>
      </c>
    </row>
    <row r="74" ht="15.75" customHeight="1">
      <c r="A74" s="4">
        <v>2012.0</v>
      </c>
      <c r="B74" s="9">
        <v>225.0</v>
      </c>
      <c r="C74" s="4">
        <v>10.13</v>
      </c>
      <c r="D74" s="4">
        <v>24.27</v>
      </c>
      <c r="E74" s="4">
        <f t="shared" si="1"/>
        <v>1</v>
      </c>
      <c r="F74" s="4">
        <f t="shared" si="2"/>
        <v>0</v>
      </c>
      <c r="G74" s="4">
        <f t="shared" si="3"/>
        <v>36.9613</v>
      </c>
      <c r="H74" s="4">
        <f t="shared" si="4"/>
        <v>34.66235</v>
      </c>
      <c r="I74" s="4" t="str">
        <f t="shared" si="5"/>
        <v> </v>
      </c>
      <c r="J74" s="4">
        <v>0.1</v>
      </c>
      <c r="K74" s="4">
        <v>16.81</v>
      </c>
      <c r="L74" s="4">
        <f t="shared" si="6"/>
        <v>8</v>
      </c>
      <c r="M74" s="4">
        <f t="shared" si="7"/>
        <v>1</v>
      </c>
      <c r="N74" s="4">
        <f t="shared" si="8"/>
        <v>1.39321</v>
      </c>
      <c r="O74" s="4">
        <f t="shared" si="9"/>
        <v>0.1</v>
      </c>
      <c r="P74" s="4">
        <f t="shared" si="10"/>
        <v>16.81</v>
      </c>
    </row>
    <row r="75" ht="15.75" customHeight="1">
      <c r="A75" s="4">
        <v>2012.0</v>
      </c>
      <c r="B75" s="9">
        <v>226.0</v>
      </c>
      <c r="C75" s="4">
        <v>11.44</v>
      </c>
      <c r="D75" s="4">
        <v>24.66</v>
      </c>
      <c r="E75" s="4">
        <f t="shared" si="1"/>
        <v>0</v>
      </c>
      <c r="F75" s="4">
        <f t="shared" si="2"/>
        <v>0</v>
      </c>
      <c r="G75" s="4">
        <f t="shared" si="3"/>
        <v>34.2042</v>
      </c>
      <c r="H75" s="4">
        <f t="shared" si="4"/>
        <v>33.9154</v>
      </c>
      <c r="I75" s="4" t="str">
        <f t="shared" si="5"/>
        <v> </v>
      </c>
      <c r="J75" s="4">
        <v>0.0</v>
      </c>
      <c r="K75" s="4">
        <v>18.12</v>
      </c>
      <c r="L75" s="4">
        <f t="shared" si="6"/>
        <v>3</v>
      </c>
      <c r="M75" s="4">
        <f t="shared" si="7"/>
        <v>1</v>
      </c>
      <c r="N75" s="4">
        <f t="shared" si="8"/>
        <v>7.87064</v>
      </c>
      <c r="O75" s="4">
        <f t="shared" si="9"/>
        <v>0</v>
      </c>
      <c r="P75" s="4">
        <f t="shared" si="10"/>
        <v>18.12</v>
      </c>
    </row>
    <row r="76" ht="15.75" customHeight="1">
      <c r="A76" s="4">
        <v>2012.0</v>
      </c>
      <c r="B76" s="9">
        <v>227.0</v>
      </c>
      <c r="C76" s="4">
        <v>14.16</v>
      </c>
      <c r="D76" s="4">
        <v>18.43</v>
      </c>
      <c r="E76" s="4">
        <f t="shared" si="1"/>
        <v>1</v>
      </c>
      <c r="F76" s="4">
        <f t="shared" si="2"/>
        <v>1</v>
      </c>
      <c r="G76" s="4">
        <f t="shared" si="3"/>
        <v>34.6552</v>
      </c>
      <c r="H76" s="4">
        <f t="shared" si="4"/>
        <v>36.11665</v>
      </c>
      <c r="I76" s="4">
        <f t="shared" si="5"/>
        <v>1.46145</v>
      </c>
      <c r="J76" s="4">
        <v>11.0</v>
      </c>
      <c r="K76" s="4">
        <v>15.69</v>
      </c>
      <c r="L76" s="4">
        <f t="shared" si="6"/>
        <v>8</v>
      </c>
      <c r="M76" s="4">
        <f t="shared" si="7"/>
        <v>1</v>
      </c>
      <c r="N76" s="4">
        <f t="shared" si="8"/>
        <v>5.47009</v>
      </c>
      <c r="O76" s="4">
        <f t="shared" si="9"/>
        <v>11</v>
      </c>
      <c r="P76" s="4">
        <f t="shared" si="10"/>
        <v>15.69</v>
      </c>
    </row>
    <row r="77" ht="15.75" customHeight="1">
      <c r="A77" s="4">
        <v>2012.0</v>
      </c>
      <c r="B77" s="9">
        <v>228.0</v>
      </c>
      <c r="C77" s="4">
        <v>16.09</v>
      </c>
      <c r="D77" s="4">
        <v>27.61</v>
      </c>
      <c r="E77" s="4">
        <f t="shared" si="1"/>
        <v>1</v>
      </c>
      <c r="F77" s="4">
        <f t="shared" si="2"/>
        <v>0</v>
      </c>
      <c r="G77" s="4">
        <f t="shared" si="3"/>
        <v>42.0354</v>
      </c>
      <c r="H77" s="4">
        <f t="shared" si="4"/>
        <v>41.69205</v>
      </c>
      <c r="I77" s="4" t="str">
        <f t="shared" si="5"/>
        <v> </v>
      </c>
      <c r="J77" s="4">
        <v>0.2</v>
      </c>
      <c r="K77" s="4">
        <v>19.7</v>
      </c>
      <c r="L77" s="4">
        <f t="shared" si="6"/>
        <v>8</v>
      </c>
      <c r="M77" s="4">
        <f t="shared" si="7"/>
        <v>0</v>
      </c>
      <c r="N77" s="4">
        <f t="shared" si="8"/>
        <v>-0.68338</v>
      </c>
      <c r="O77" s="4">
        <f t="shared" si="9"/>
        <v>0.2</v>
      </c>
      <c r="P77" s="4">
        <f t="shared" si="10"/>
        <v>19.7</v>
      </c>
    </row>
    <row r="78" ht="15.75" customHeight="1">
      <c r="A78" s="4">
        <v>2012.0</v>
      </c>
      <c r="B78" s="9">
        <v>229.0</v>
      </c>
      <c r="C78" s="4">
        <v>14.5</v>
      </c>
      <c r="D78" s="4">
        <v>24.83</v>
      </c>
      <c r="E78" s="4">
        <f t="shared" si="1"/>
        <v>0</v>
      </c>
      <c r="F78" s="4">
        <f t="shared" si="2"/>
        <v>0</v>
      </c>
      <c r="G78" s="4">
        <f t="shared" si="3"/>
        <v>34.7836</v>
      </c>
      <c r="H78" s="4">
        <f t="shared" si="4"/>
        <v>34.12935</v>
      </c>
      <c r="I78" s="4" t="str">
        <f t="shared" si="5"/>
        <v> </v>
      </c>
      <c r="J78" s="4">
        <v>0.0</v>
      </c>
      <c r="K78" s="4">
        <v>17.86</v>
      </c>
      <c r="L78" s="4">
        <f t="shared" si="6"/>
        <v>3</v>
      </c>
      <c r="M78" s="4">
        <f t="shared" si="7"/>
        <v>1</v>
      </c>
      <c r="N78" s="4">
        <f t="shared" si="8"/>
        <v>6.60216</v>
      </c>
      <c r="O78" s="4">
        <f t="shared" si="9"/>
        <v>0</v>
      </c>
      <c r="P78" s="4">
        <f t="shared" si="10"/>
        <v>17.86</v>
      </c>
    </row>
    <row r="79" ht="15.75" customHeight="1">
      <c r="A79" s="4">
        <v>2012.0</v>
      </c>
      <c r="B79" s="9">
        <v>230.0</v>
      </c>
      <c r="C79" s="4">
        <v>13.77</v>
      </c>
      <c r="D79" s="4">
        <v>23.29</v>
      </c>
      <c r="E79" s="4">
        <f t="shared" si="1"/>
        <v>1</v>
      </c>
      <c r="F79" s="4">
        <f t="shared" si="2"/>
        <v>1</v>
      </c>
      <c r="G79" s="4">
        <f t="shared" si="3"/>
        <v>32.09073</v>
      </c>
      <c r="H79" s="4">
        <f t="shared" si="4"/>
        <v>33.07165</v>
      </c>
      <c r="I79" s="4">
        <f t="shared" si="5"/>
        <v>0.98092</v>
      </c>
      <c r="J79" s="4">
        <v>8.4</v>
      </c>
      <c r="K79" s="4">
        <v>17.23</v>
      </c>
      <c r="L79" s="4">
        <f t="shared" si="6"/>
        <v>8</v>
      </c>
      <c r="M79" s="4">
        <f t="shared" si="7"/>
        <v>1</v>
      </c>
      <c r="N79" s="4">
        <f t="shared" si="8"/>
        <v>10.06586</v>
      </c>
      <c r="O79" s="4">
        <f t="shared" si="9"/>
        <v>8.4</v>
      </c>
      <c r="P79" s="4">
        <f t="shared" si="10"/>
        <v>17.23</v>
      </c>
    </row>
    <row r="80" ht="15.75" customHeight="1">
      <c r="A80" s="4">
        <v>2012.0</v>
      </c>
      <c r="B80" s="9">
        <v>231.0</v>
      </c>
      <c r="C80" s="4">
        <v>14.49</v>
      </c>
      <c r="D80" s="4">
        <v>22.38</v>
      </c>
      <c r="E80" s="4">
        <f t="shared" si="1"/>
        <v>1</v>
      </c>
      <c r="F80" s="4">
        <f t="shared" si="2"/>
        <v>1</v>
      </c>
      <c r="G80" s="4">
        <f t="shared" si="3"/>
        <v>31.62227</v>
      </c>
      <c r="H80" s="4">
        <f t="shared" si="4"/>
        <v>31.624545</v>
      </c>
      <c r="I80" s="4">
        <f t="shared" si="5"/>
        <v>0.002275</v>
      </c>
      <c r="J80" s="4">
        <v>2.7</v>
      </c>
      <c r="K80" s="4">
        <v>17.1</v>
      </c>
      <c r="L80" s="4">
        <f t="shared" si="6"/>
        <v>8</v>
      </c>
      <c r="M80" s="4">
        <f t="shared" si="7"/>
        <v>1</v>
      </c>
      <c r="N80" s="4">
        <f t="shared" si="8"/>
        <v>7.51998</v>
      </c>
      <c r="O80" s="4">
        <f t="shared" si="9"/>
        <v>2.7</v>
      </c>
      <c r="P80" s="4">
        <f t="shared" si="10"/>
        <v>17.1</v>
      </c>
    </row>
    <row r="81" ht="15.75" customHeight="1">
      <c r="A81" s="4">
        <v>2012.0</v>
      </c>
      <c r="B81" s="9">
        <v>232.0</v>
      </c>
      <c r="C81" s="4">
        <v>14.17</v>
      </c>
      <c r="D81" s="4">
        <v>24.63</v>
      </c>
      <c r="E81" s="4">
        <f t="shared" si="1"/>
        <v>1</v>
      </c>
      <c r="F81" s="4">
        <f t="shared" si="2"/>
        <v>1</v>
      </c>
      <c r="G81" s="4">
        <f t="shared" si="3"/>
        <v>31.30856</v>
      </c>
      <c r="H81" s="4">
        <f t="shared" si="4"/>
        <v>32.006685</v>
      </c>
      <c r="I81" s="4">
        <f t="shared" si="5"/>
        <v>0.698125</v>
      </c>
      <c r="J81" s="4">
        <v>0.5</v>
      </c>
      <c r="K81" s="4">
        <v>18.53</v>
      </c>
      <c r="L81" s="4">
        <f t="shared" si="6"/>
        <v>8</v>
      </c>
      <c r="M81" s="4">
        <f t="shared" si="7"/>
        <v>1</v>
      </c>
      <c r="N81" s="4">
        <f t="shared" si="8"/>
        <v>2.283134</v>
      </c>
      <c r="O81" s="4">
        <f t="shared" si="9"/>
        <v>0.5</v>
      </c>
      <c r="P81" s="4">
        <f t="shared" si="10"/>
        <v>18.53</v>
      </c>
    </row>
    <row r="82" ht="15.75" customHeight="1">
      <c r="A82" s="4">
        <v>2012.0</v>
      </c>
      <c r="B82" s="9">
        <v>233.0</v>
      </c>
      <c r="C82" s="4">
        <v>9.56</v>
      </c>
      <c r="D82" s="4">
        <v>20.22</v>
      </c>
      <c r="E82" s="4">
        <f t="shared" si="1"/>
        <v>1</v>
      </c>
      <c r="F82" s="4">
        <f t="shared" si="2"/>
        <v>0</v>
      </c>
      <c r="G82" s="4">
        <f t="shared" si="3"/>
        <v>25.41335</v>
      </c>
      <c r="H82" s="4">
        <f t="shared" si="4"/>
        <v>24.56682</v>
      </c>
      <c r="I82" s="4" t="str">
        <f t="shared" si="5"/>
        <v> </v>
      </c>
      <c r="J82" s="4">
        <v>8.2</v>
      </c>
      <c r="K82" s="4">
        <v>15.56</v>
      </c>
      <c r="L82" s="4">
        <f t="shared" si="6"/>
        <v>8</v>
      </c>
      <c r="M82" s="4">
        <f t="shared" si="7"/>
        <v>0</v>
      </c>
      <c r="N82" s="4">
        <f t="shared" si="8"/>
        <v>-6.783831</v>
      </c>
      <c r="O82" s="4">
        <f t="shared" si="9"/>
        <v>8.2</v>
      </c>
      <c r="P82" s="4">
        <f t="shared" si="10"/>
        <v>15.56</v>
      </c>
    </row>
    <row r="83" ht="15.75" customHeight="1">
      <c r="A83" s="4">
        <v>2012.0</v>
      </c>
      <c r="B83" s="9">
        <v>234.0</v>
      </c>
      <c r="C83" s="4">
        <v>5.963</v>
      </c>
      <c r="D83" s="4">
        <v>16.55</v>
      </c>
      <c r="E83" s="4">
        <f t="shared" si="1"/>
        <v>0</v>
      </c>
      <c r="F83" s="4">
        <f t="shared" si="2"/>
        <v>0</v>
      </c>
      <c r="G83" s="4">
        <f t="shared" si="3"/>
        <v>21.63167</v>
      </c>
      <c r="H83" s="4">
        <f t="shared" si="4"/>
        <v>19.20133</v>
      </c>
      <c r="I83" s="4" t="str">
        <f t="shared" si="5"/>
        <v> </v>
      </c>
      <c r="J83" s="4">
        <v>0.0</v>
      </c>
      <c r="K83" s="4">
        <v>10.85</v>
      </c>
      <c r="L83" s="4">
        <f t="shared" si="6"/>
        <v>3</v>
      </c>
      <c r="M83" s="4">
        <f t="shared" si="7"/>
        <v>0</v>
      </c>
      <c r="N83" s="4">
        <f t="shared" si="8"/>
        <v>-2.892957</v>
      </c>
      <c r="O83" s="4">
        <f t="shared" si="9"/>
        <v>0</v>
      </c>
      <c r="P83" s="4">
        <f t="shared" si="10"/>
        <v>10.85</v>
      </c>
    </row>
    <row r="84" ht="15.75" customHeight="1">
      <c r="A84" s="4">
        <v>2012.0</v>
      </c>
      <c r="B84" s="9">
        <v>235.0</v>
      </c>
      <c r="C84" s="4">
        <v>3.499</v>
      </c>
      <c r="D84" s="4">
        <v>20.8</v>
      </c>
      <c r="E84" s="4">
        <f t="shared" si="1"/>
        <v>0</v>
      </c>
      <c r="F84" s="4">
        <f t="shared" si="2"/>
        <v>0</v>
      </c>
      <c r="G84" s="4">
        <f t="shared" si="3"/>
        <v>25.3777</v>
      </c>
      <c r="H84" s="4">
        <f t="shared" si="4"/>
        <v>24.57051</v>
      </c>
      <c r="I84" s="4" t="str">
        <f t="shared" si="5"/>
        <v> </v>
      </c>
      <c r="J84" s="4">
        <v>0.0</v>
      </c>
      <c r="K84" s="4">
        <v>11.62</v>
      </c>
      <c r="L84" s="4">
        <f t="shared" si="6"/>
        <v>3</v>
      </c>
      <c r="M84" s="4">
        <f t="shared" si="7"/>
        <v>1</v>
      </c>
      <c r="N84" s="4">
        <f t="shared" si="8"/>
        <v>2.421256</v>
      </c>
      <c r="O84" s="4">
        <f t="shared" si="9"/>
        <v>0</v>
      </c>
      <c r="P84" s="4">
        <f t="shared" si="10"/>
        <v>11.62</v>
      </c>
    </row>
    <row r="85" ht="15.75" customHeight="1">
      <c r="A85" s="4">
        <v>2012.0</v>
      </c>
      <c r="B85" s="9">
        <v>236.0</v>
      </c>
      <c r="C85" s="4">
        <v>7.71</v>
      </c>
      <c r="D85" s="4">
        <v>22.04</v>
      </c>
      <c r="E85" s="4">
        <f t="shared" si="1"/>
        <v>1</v>
      </c>
      <c r="F85" s="4">
        <f t="shared" si="2"/>
        <v>1</v>
      </c>
      <c r="G85" s="4">
        <f t="shared" si="3"/>
        <v>26.2481</v>
      </c>
      <c r="H85" s="4">
        <f t="shared" si="4"/>
        <v>26.3298</v>
      </c>
      <c r="I85" s="4">
        <f t="shared" si="5"/>
        <v>0.0817</v>
      </c>
      <c r="J85" s="4">
        <v>0.2</v>
      </c>
      <c r="K85" s="4">
        <v>14.64</v>
      </c>
      <c r="L85" s="4">
        <f t="shared" si="6"/>
        <v>8</v>
      </c>
      <c r="M85" s="4">
        <f t="shared" si="7"/>
        <v>0</v>
      </c>
      <c r="N85" s="4">
        <f t="shared" si="8"/>
        <v>-4.36596</v>
      </c>
      <c r="O85" s="4">
        <f t="shared" si="9"/>
        <v>0.2</v>
      </c>
      <c r="P85" s="4">
        <f t="shared" si="10"/>
        <v>14.64</v>
      </c>
    </row>
    <row r="86" ht="15.75" customHeight="1">
      <c r="A86" s="4">
        <v>2012.0</v>
      </c>
      <c r="B86" s="9">
        <v>237.0</v>
      </c>
      <c r="C86" s="4">
        <v>11.17</v>
      </c>
      <c r="D86" s="4">
        <v>19.35</v>
      </c>
      <c r="E86" s="4">
        <f t="shared" si="1"/>
        <v>0</v>
      </c>
      <c r="F86" s="4">
        <f t="shared" si="2"/>
        <v>1</v>
      </c>
      <c r="G86" s="4">
        <f t="shared" si="3"/>
        <v>23.0309</v>
      </c>
      <c r="H86" s="4">
        <f t="shared" si="4"/>
        <v>23.4654</v>
      </c>
      <c r="I86" s="4">
        <f t="shared" si="5"/>
        <v>0.4345</v>
      </c>
      <c r="J86" s="4">
        <v>0.0</v>
      </c>
      <c r="K86" s="4">
        <v>15.12</v>
      </c>
      <c r="L86" s="4">
        <f t="shared" si="6"/>
        <v>3</v>
      </c>
      <c r="M86" s="4">
        <f t="shared" si="7"/>
        <v>0</v>
      </c>
      <c r="N86" s="4">
        <f t="shared" si="8"/>
        <v>-1.70112</v>
      </c>
      <c r="O86" s="4">
        <f t="shared" si="9"/>
        <v>0</v>
      </c>
      <c r="P86" s="4">
        <f t="shared" si="10"/>
        <v>15.12</v>
      </c>
    </row>
    <row r="87" ht="15.75" customHeight="1">
      <c r="A87" s="4">
        <v>2012.0</v>
      </c>
      <c r="B87" s="9">
        <v>238.0</v>
      </c>
      <c r="C87" s="4">
        <v>10.37</v>
      </c>
      <c r="D87" s="4">
        <v>21.4</v>
      </c>
      <c r="E87" s="4">
        <f t="shared" si="1"/>
        <v>0</v>
      </c>
      <c r="F87" s="4">
        <f t="shared" si="2"/>
        <v>1</v>
      </c>
      <c r="G87" s="4">
        <f t="shared" si="3"/>
        <v>23.7622</v>
      </c>
      <c r="H87" s="4">
        <f t="shared" si="4"/>
        <v>24.65815</v>
      </c>
      <c r="I87" s="4">
        <f t="shared" si="5"/>
        <v>0.89595</v>
      </c>
      <c r="J87" s="4">
        <v>0.0</v>
      </c>
      <c r="K87" s="4">
        <v>15.89</v>
      </c>
      <c r="L87" s="4">
        <f t="shared" si="6"/>
        <v>3</v>
      </c>
      <c r="M87" s="4">
        <f t="shared" si="7"/>
        <v>1</v>
      </c>
      <c r="N87" s="4">
        <f t="shared" si="8"/>
        <v>6.61842</v>
      </c>
      <c r="O87" s="4">
        <f t="shared" si="9"/>
        <v>0</v>
      </c>
      <c r="P87" s="4">
        <f t="shared" si="10"/>
        <v>15.89</v>
      </c>
    </row>
    <row r="88" ht="15.75" customHeight="1">
      <c r="A88" s="4">
        <v>2012.0</v>
      </c>
      <c r="B88" s="9">
        <v>239.0</v>
      </c>
      <c r="C88" s="4">
        <v>12.9</v>
      </c>
      <c r="D88" s="4">
        <v>23.67</v>
      </c>
      <c r="E88" s="4">
        <f t="shared" si="1"/>
        <v>1</v>
      </c>
      <c r="J88" s="4">
        <v>7.5</v>
      </c>
      <c r="K88" s="4">
        <v>16.1</v>
      </c>
      <c r="L88" s="4">
        <f t="shared" si="6"/>
        <v>8</v>
      </c>
      <c r="O88" s="4">
        <f t="shared" si="9"/>
        <v>7.5</v>
      </c>
      <c r="P88" s="4">
        <f t="shared" si="10"/>
        <v>16.1</v>
      </c>
    </row>
    <row r="89" ht="15.75" customHeight="1">
      <c r="A89" s="4">
        <v>2012.0</v>
      </c>
      <c r="B89" s="9">
        <v>240.0</v>
      </c>
      <c r="C89" s="4">
        <v>12.36</v>
      </c>
      <c r="D89" s="4">
        <v>17.73</v>
      </c>
      <c r="E89" s="4">
        <f t="shared" si="1"/>
        <v>1</v>
      </c>
      <c r="J89" s="4">
        <v>0.6</v>
      </c>
      <c r="K89" s="4">
        <v>15.19</v>
      </c>
      <c r="L89" s="4">
        <f t="shared" si="6"/>
        <v>8</v>
      </c>
      <c r="O89" s="4">
        <f t="shared" si="9"/>
        <v>0.6</v>
      </c>
      <c r="P89" s="4">
        <f t="shared" si="10"/>
        <v>15.19</v>
      </c>
    </row>
    <row r="90" ht="15.75" customHeight="1">
      <c r="A90" s="4">
        <v>2012.0</v>
      </c>
      <c r="B90" s="9">
        <v>241.0</v>
      </c>
      <c r="C90" s="4">
        <v>13.93</v>
      </c>
      <c r="D90" s="4">
        <v>16.19</v>
      </c>
      <c r="E90" s="4">
        <f t="shared" si="1"/>
        <v>1</v>
      </c>
      <c r="J90" s="4">
        <v>13.1</v>
      </c>
      <c r="K90" s="4">
        <v>15.01</v>
      </c>
      <c r="L90" s="4">
        <f t="shared" si="6"/>
        <v>8</v>
      </c>
      <c r="O90" s="4">
        <f t="shared" si="9"/>
        <v>13.1</v>
      </c>
      <c r="P90" s="4">
        <f t="shared" si="10"/>
        <v>15.01</v>
      </c>
    </row>
    <row r="91" ht="15.75" customHeight="1">
      <c r="A91" s="4">
        <v>2012.0</v>
      </c>
      <c r="B91" s="9">
        <v>242.0</v>
      </c>
      <c r="C91" s="4">
        <v>12.43</v>
      </c>
      <c r="D91" s="4">
        <v>15.36</v>
      </c>
      <c r="E91" s="4">
        <f t="shared" si="1"/>
        <v>1</v>
      </c>
      <c r="J91" s="4">
        <v>10.9</v>
      </c>
      <c r="K91" s="4">
        <v>14.3</v>
      </c>
      <c r="L91" s="4">
        <f t="shared" si="6"/>
        <v>8</v>
      </c>
      <c r="O91" s="4">
        <f t="shared" si="9"/>
        <v>10.9</v>
      </c>
      <c r="P91" s="4">
        <f t="shared" si="10"/>
        <v>14.3</v>
      </c>
    </row>
    <row r="92" ht="15.75" customHeight="1">
      <c r="A92" s="4">
        <v>2012.0</v>
      </c>
      <c r="B92" s="9">
        <v>243.0</v>
      </c>
      <c r="C92" s="4">
        <v>7.6</v>
      </c>
      <c r="D92" s="4">
        <v>18.85</v>
      </c>
      <c r="E92" s="4">
        <f t="shared" si="1"/>
        <v>0</v>
      </c>
      <c r="J92" s="4">
        <v>0.0</v>
      </c>
      <c r="K92" s="4">
        <v>12.88</v>
      </c>
      <c r="L92" s="4">
        <f t="shared" si="6"/>
        <v>3</v>
      </c>
      <c r="O92" s="4">
        <f t="shared" si="9"/>
        <v>0</v>
      </c>
      <c r="P92" s="4">
        <f t="shared" si="10"/>
        <v>12.88</v>
      </c>
    </row>
    <row r="93" ht="15.75" customHeight="1">
      <c r="A93" s="4">
        <v>2012.0</v>
      </c>
      <c r="B93" s="9">
        <v>244.0</v>
      </c>
      <c r="C93" s="4">
        <v>6.7</v>
      </c>
      <c r="D93" s="4">
        <v>15.49</v>
      </c>
      <c r="E93" s="4">
        <f t="shared" si="1"/>
        <v>0</v>
      </c>
      <c r="J93" s="4">
        <v>0.0</v>
      </c>
      <c r="K93" s="4">
        <v>10.77</v>
      </c>
      <c r="L93" s="4">
        <f t="shared" si="6"/>
        <v>3</v>
      </c>
      <c r="O93" s="4">
        <f t="shared" si="9"/>
        <v>0</v>
      </c>
      <c r="P93" s="4">
        <f t="shared" si="10"/>
        <v>10.77</v>
      </c>
    </row>
    <row r="94" ht="15.75" customHeight="1"/>
    <row r="95" ht="15.75" customHeight="1"/>
    <row r="96" ht="15.75" customHeight="1">
      <c r="O96" s="4">
        <f>SUM(O2:O93)</f>
        <v>211.5</v>
      </c>
      <c r="P96" s="4">
        <f>SUMIF(P2:P93,"&gt;0")/10</f>
        <v>164.61</v>
      </c>
    </row>
    <row r="97" ht="15.75" customHeight="1"/>
    <row r="98" ht="15.75" customHeight="1">
      <c r="I98" s="4">
        <f>SUM(I2:I87)</f>
        <v>32.145</v>
      </c>
      <c r="O98" s="4" t="s">
        <v>15</v>
      </c>
      <c r="P98" s="4">
        <f>O96/P96</f>
        <v>1.284855112</v>
      </c>
    </row>
    <row r="99" ht="15.75" customHeight="1">
      <c r="I99" s="4">
        <f>SUM(I2:I31)</f>
        <v>19.38093</v>
      </c>
      <c r="O99" s="4" t="s">
        <v>16</v>
      </c>
      <c r="P99" s="4">
        <f>SUM(O2:O31)/(SUM(P2:P31)/10)</f>
        <v>2.012867457</v>
      </c>
    </row>
    <row r="100" ht="15.75" customHeight="1">
      <c r="I100" s="4">
        <f>SUM(I32:I62)</f>
        <v>6.63945</v>
      </c>
      <c r="O100" s="4" t="s">
        <v>17</v>
      </c>
      <c r="P100" s="4">
        <f>SUM(O33:O62)/(SUM(P33:P62)/10)</f>
        <v>0.6512193919</v>
      </c>
    </row>
    <row r="101" ht="15.75" customHeight="1">
      <c r="I101" s="4">
        <f>SUM(I63:I93)</f>
        <v>6.12462</v>
      </c>
      <c r="O101" s="4" t="s">
        <v>18</v>
      </c>
      <c r="P101" s="4">
        <f>SUM(O63:O93)/(SUM(P63:P93)/10)</f>
        <v>1.38837192</v>
      </c>
    </row>
    <row r="102" ht="15.75" customHeight="1">
      <c r="I102" s="4">
        <f>SUMIF(I2:I87,"&gt;0")</f>
        <v>32.145</v>
      </c>
    </row>
    <row r="103" ht="15.75" customHeight="1">
      <c r="I103" s="4">
        <f>SUMIF(I2:I31,"&gt;0")</f>
        <v>19.38093</v>
      </c>
    </row>
    <row r="104" ht="15.75" customHeight="1">
      <c r="I104" s="4">
        <f>SUMIF(I32:I62,"&gt;0")</f>
        <v>6.63945</v>
      </c>
      <c r="P104" s="4">
        <f>SUM(O16:O35)/(SUM(P16:P35)/10)</f>
        <v>1.048471208</v>
      </c>
    </row>
    <row r="105" ht="15.75" customHeight="1">
      <c r="I105" s="4">
        <f>SUMIF(I63:I87,"&gt;0")</f>
        <v>6.12462</v>
      </c>
      <c r="P105" s="4">
        <f>SUM(O36:O55)/(SUM(P36:P55)/10)</f>
        <v>0.6822962089</v>
      </c>
    </row>
    <row r="106" ht="15.75" customHeight="1">
      <c r="P106" s="4">
        <f>SUM(O56:O77)/(SUM(P56:P77)/10)</f>
        <v>0.7839759728</v>
      </c>
    </row>
    <row r="107" ht="15.75" customHeight="1">
      <c r="P107" s="4">
        <f>SUM(O16:O77)/(SUM(P16:P77)/10)</f>
        <v>0.8309721463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2013.0</v>
      </c>
      <c r="B2" s="4">
        <v>152.0</v>
      </c>
      <c r="C2" s="4">
        <v>11.24</v>
      </c>
      <c r="D2" s="4">
        <v>28.05</v>
      </c>
      <c r="E2" s="4">
        <f t="shared" ref="E2:E93" si="1">IF(J2&gt;0,1,0)</f>
        <v>0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38.9115</v>
      </c>
      <c r="H2" s="4">
        <f t="shared" ref="H2:H87" si="4">0.63 * D2 + 0.37 * D3 + 0.49 * D4 + 0.22 * D5 + 0.65 * D6 + 0.24 *C2 - 0.06 * C3- 0.15 * C4 - 0.135 * C5 + 0.15 * C6 + 4.88 * E2 + 3.55 * E3 + 3.34 *E4 + 2.5 * E5 + 2.29 *E6-31.34</f>
        <v>33.0499</v>
      </c>
      <c r="I2" s="4" t="str">
        <f t="shared" ref="I2:I87" si="5">IF((H2-G2)&gt;0,H2-G2," ")</f>
        <v> </v>
      </c>
      <c r="J2" s="4">
        <v>0.0</v>
      </c>
      <c r="K2" s="4">
        <v>20.0</v>
      </c>
      <c r="L2" s="4">
        <f t="shared" ref="L2:L93" si="6">IF(E2&gt;0,8,3)</f>
        <v>3</v>
      </c>
      <c r="M2" s="4">
        <f t="shared" ref="M2:M87" si="7">IF(N2&gt;=0,1,0)</f>
        <v>0</v>
      </c>
      <c r="N2" s="4">
        <f t="shared" ref="N2:N87" si="8">-0.216*D2-0.191*D3-0.119*D4+0.004*C2-0.171*C3+0.628*C4-0.479*L2+0.513*L3+0.046*L4+5.947*E2+6.699*E3+4.328*E4-1.788</f>
        <v>-10.09156</v>
      </c>
      <c r="O2" s="4">
        <f t="shared" ref="O2:O93" si="9">IF(K2&gt;10,J2,0)</f>
        <v>0</v>
      </c>
      <c r="P2" s="4">
        <f t="shared" ref="P2:P93" si="10">IF(K2&gt;10,K2,0)</f>
        <v>20</v>
      </c>
    </row>
    <row r="3">
      <c r="A3" s="4">
        <v>2013.0</v>
      </c>
      <c r="B3" s="4">
        <v>153.0</v>
      </c>
      <c r="C3" s="4">
        <v>10.91</v>
      </c>
      <c r="D3" s="4">
        <v>25.13</v>
      </c>
      <c r="E3" s="4">
        <f t="shared" si="1"/>
        <v>0</v>
      </c>
      <c r="F3" s="4">
        <f t="shared" si="2"/>
        <v>0</v>
      </c>
      <c r="G3" s="4">
        <f t="shared" si="3"/>
        <v>35.183</v>
      </c>
      <c r="H3" s="4">
        <f t="shared" si="4"/>
        <v>29.4833</v>
      </c>
      <c r="I3" s="4" t="str">
        <f t="shared" si="5"/>
        <v> </v>
      </c>
      <c r="J3" s="4">
        <v>0.0</v>
      </c>
      <c r="K3" s="4">
        <v>18.22</v>
      </c>
      <c r="L3" s="4">
        <f t="shared" si="6"/>
        <v>3</v>
      </c>
      <c r="M3" s="4">
        <f t="shared" si="7"/>
        <v>0</v>
      </c>
      <c r="N3" s="4">
        <f t="shared" si="8"/>
        <v>-10.86141</v>
      </c>
      <c r="O3" s="4">
        <f t="shared" si="9"/>
        <v>0</v>
      </c>
      <c r="P3" s="4">
        <f t="shared" si="10"/>
        <v>18.22</v>
      </c>
    </row>
    <row r="4">
      <c r="A4" s="4">
        <v>2013.0</v>
      </c>
      <c r="B4" s="4">
        <v>154.0</v>
      </c>
      <c r="C4" s="4">
        <v>11.77</v>
      </c>
      <c r="D4" s="4">
        <v>27.36</v>
      </c>
      <c r="E4" s="4">
        <f t="shared" si="1"/>
        <v>0</v>
      </c>
      <c r="F4" s="4">
        <f t="shared" si="2"/>
        <v>0</v>
      </c>
      <c r="G4" s="4">
        <f t="shared" si="3"/>
        <v>34.2899</v>
      </c>
      <c r="H4" s="4">
        <f t="shared" si="4"/>
        <v>31.4718</v>
      </c>
      <c r="I4" s="4" t="str">
        <f t="shared" si="5"/>
        <v> </v>
      </c>
      <c r="J4" s="4">
        <v>0.0</v>
      </c>
      <c r="K4" s="4">
        <v>20.03</v>
      </c>
      <c r="L4" s="4">
        <f t="shared" si="6"/>
        <v>3</v>
      </c>
      <c r="M4" s="4">
        <f t="shared" si="7"/>
        <v>0</v>
      </c>
      <c r="N4" s="4">
        <f t="shared" si="8"/>
        <v>-10.96564</v>
      </c>
      <c r="O4" s="4">
        <f t="shared" si="9"/>
        <v>0</v>
      </c>
      <c r="P4" s="4">
        <f t="shared" si="10"/>
        <v>20.03</v>
      </c>
    </row>
    <row r="5">
      <c r="A5" s="4">
        <v>2013.0</v>
      </c>
      <c r="B5" s="4">
        <v>155.0</v>
      </c>
      <c r="C5" s="4">
        <v>10.64</v>
      </c>
      <c r="D5" s="4">
        <v>28.34</v>
      </c>
      <c r="E5" s="4">
        <f t="shared" si="1"/>
        <v>0</v>
      </c>
      <c r="F5" s="4">
        <f t="shared" si="2"/>
        <v>0</v>
      </c>
      <c r="G5" s="4">
        <f t="shared" si="3"/>
        <v>37.048</v>
      </c>
      <c r="H5" s="4">
        <f t="shared" si="4"/>
        <v>33.4953</v>
      </c>
      <c r="I5" s="4" t="str">
        <f t="shared" si="5"/>
        <v> </v>
      </c>
      <c r="J5" s="4">
        <v>0.0</v>
      </c>
      <c r="K5" s="4">
        <v>19.85</v>
      </c>
      <c r="L5" s="4">
        <f t="shared" si="6"/>
        <v>3</v>
      </c>
      <c r="M5" s="4">
        <f t="shared" si="7"/>
        <v>0</v>
      </c>
      <c r="N5" s="4">
        <f t="shared" si="8"/>
        <v>-12.84957</v>
      </c>
      <c r="O5" s="4">
        <f t="shared" si="9"/>
        <v>0</v>
      </c>
      <c r="P5" s="4">
        <f t="shared" si="10"/>
        <v>19.85</v>
      </c>
    </row>
    <row r="6">
      <c r="A6" s="4">
        <v>2013.0</v>
      </c>
      <c r="B6" s="4">
        <v>156.0</v>
      </c>
      <c r="C6" s="4">
        <v>10.9</v>
      </c>
      <c r="D6" s="4">
        <v>26.62</v>
      </c>
      <c r="E6" s="4">
        <f t="shared" si="1"/>
        <v>0</v>
      </c>
      <c r="F6" s="4">
        <f t="shared" si="2"/>
        <v>0</v>
      </c>
      <c r="G6" s="4">
        <f t="shared" si="3"/>
        <v>37.1739</v>
      </c>
      <c r="H6" s="4">
        <f t="shared" si="4"/>
        <v>33.9172</v>
      </c>
      <c r="I6" s="4" t="str">
        <f t="shared" si="5"/>
        <v> </v>
      </c>
      <c r="J6" s="4">
        <v>0.0</v>
      </c>
      <c r="K6" s="4">
        <v>19.47</v>
      </c>
      <c r="L6" s="4">
        <f t="shared" si="6"/>
        <v>3</v>
      </c>
      <c r="M6" s="4">
        <f t="shared" si="7"/>
        <v>0</v>
      </c>
      <c r="N6" s="4">
        <f t="shared" si="8"/>
        <v>-4.12934</v>
      </c>
      <c r="O6" s="4">
        <f t="shared" si="9"/>
        <v>0</v>
      </c>
      <c r="P6" s="4">
        <f t="shared" si="10"/>
        <v>19.47</v>
      </c>
    </row>
    <row r="7">
      <c r="A7" s="4">
        <v>2013.0</v>
      </c>
      <c r="B7" s="4">
        <v>157.0</v>
      </c>
      <c r="C7" s="4">
        <v>7.18</v>
      </c>
      <c r="D7" s="4">
        <v>23.39</v>
      </c>
      <c r="E7" s="4">
        <f t="shared" si="1"/>
        <v>0</v>
      </c>
      <c r="F7" s="4">
        <f t="shared" si="2"/>
        <v>0</v>
      </c>
      <c r="G7" s="4">
        <f t="shared" si="3"/>
        <v>35.75</v>
      </c>
      <c r="H7" s="4">
        <f t="shared" si="4"/>
        <v>35.1566</v>
      </c>
      <c r="I7" s="4" t="str">
        <f t="shared" si="5"/>
        <v> </v>
      </c>
      <c r="J7" s="4">
        <v>0.0</v>
      </c>
      <c r="K7" s="4">
        <v>16.24</v>
      </c>
      <c r="L7" s="4">
        <f t="shared" si="6"/>
        <v>3</v>
      </c>
      <c r="M7" s="4">
        <f t="shared" si="7"/>
        <v>1</v>
      </c>
      <c r="N7" s="4">
        <f t="shared" si="8"/>
        <v>3.94316</v>
      </c>
      <c r="O7" s="4">
        <f t="shared" si="9"/>
        <v>0</v>
      </c>
      <c r="P7" s="4">
        <f t="shared" si="10"/>
        <v>16.24</v>
      </c>
    </row>
    <row r="8">
      <c r="A8" s="4">
        <v>2013.0</v>
      </c>
      <c r="B8" s="4">
        <v>158.0</v>
      </c>
      <c r="C8" s="4">
        <v>10.7</v>
      </c>
      <c r="D8" s="4">
        <v>20.65</v>
      </c>
      <c r="E8" s="4">
        <f t="shared" si="1"/>
        <v>1</v>
      </c>
      <c r="F8" s="4">
        <f t="shared" si="2"/>
        <v>1</v>
      </c>
      <c r="G8" s="4">
        <f t="shared" si="3"/>
        <v>37.2825</v>
      </c>
      <c r="H8" s="4">
        <f t="shared" si="4"/>
        <v>37.3052</v>
      </c>
      <c r="I8" s="4">
        <f t="shared" si="5"/>
        <v>0.0227</v>
      </c>
      <c r="J8" s="4">
        <v>3.0</v>
      </c>
      <c r="K8" s="4">
        <v>14.4</v>
      </c>
      <c r="L8" s="4">
        <f t="shared" si="6"/>
        <v>8</v>
      </c>
      <c r="M8" s="4">
        <f t="shared" si="7"/>
        <v>1</v>
      </c>
      <c r="N8" s="4">
        <f t="shared" si="8"/>
        <v>5.47862</v>
      </c>
      <c r="O8" s="4">
        <f t="shared" si="9"/>
        <v>3</v>
      </c>
      <c r="P8" s="4">
        <f t="shared" si="10"/>
        <v>14.4</v>
      </c>
    </row>
    <row r="9">
      <c r="A9" s="4">
        <v>2013.0</v>
      </c>
      <c r="B9" s="4">
        <v>159.0</v>
      </c>
      <c r="C9" s="4">
        <v>8.5</v>
      </c>
      <c r="D9" s="4">
        <v>24.13</v>
      </c>
      <c r="E9" s="4">
        <f t="shared" si="1"/>
        <v>1</v>
      </c>
      <c r="F9" s="4">
        <f t="shared" si="2"/>
        <v>0</v>
      </c>
      <c r="G9" s="4">
        <f t="shared" si="3"/>
        <v>36.9088</v>
      </c>
      <c r="H9" s="4">
        <f t="shared" si="4"/>
        <v>36.396</v>
      </c>
      <c r="I9" s="4" t="str">
        <f t="shared" si="5"/>
        <v> </v>
      </c>
      <c r="J9" s="4">
        <v>0.2</v>
      </c>
      <c r="K9" s="4">
        <v>15.94</v>
      </c>
      <c r="L9" s="4">
        <f t="shared" si="6"/>
        <v>8</v>
      </c>
      <c r="M9" s="4">
        <f t="shared" si="7"/>
        <v>0</v>
      </c>
      <c r="N9" s="4">
        <f t="shared" si="8"/>
        <v>-1.40075</v>
      </c>
      <c r="O9" s="4">
        <f t="shared" si="9"/>
        <v>0.2</v>
      </c>
      <c r="P9" s="4">
        <f t="shared" si="10"/>
        <v>15.94</v>
      </c>
    </row>
    <row r="10">
      <c r="A10" s="4">
        <v>2013.0</v>
      </c>
      <c r="B10" s="4">
        <v>160.0</v>
      </c>
      <c r="C10" s="4">
        <v>12.5</v>
      </c>
      <c r="D10" s="4">
        <v>26.55</v>
      </c>
      <c r="E10" s="4">
        <f t="shared" si="1"/>
        <v>0</v>
      </c>
      <c r="F10" s="4">
        <f t="shared" si="2"/>
        <v>0</v>
      </c>
      <c r="G10" s="4">
        <f t="shared" si="3"/>
        <v>37.1104</v>
      </c>
      <c r="H10" s="4">
        <f t="shared" si="4"/>
        <v>33.3973</v>
      </c>
      <c r="I10" s="4" t="str">
        <f t="shared" si="5"/>
        <v> </v>
      </c>
      <c r="J10" s="4">
        <v>0.0</v>
      </c>
      <c r="K10" s="4">
        <v>18.48</v>
      </c>
      <c r="L10" s="4">
        <f t="shared" si="6"/>
        <v>3</v>
      </c>
      <c r="M10" s="4">
        <f t="shared" si="7"/>
        <v>1</v>
      </c>
      <c r="N10" s="4">
        <f t="shared" si="8"/>
        <v>2.0992</v>
      </c>
      <c r="O10" s="4">
        <f t="shared" si="9"/>
        <v>0</v>
      </c>
      <c r="P10" s="4">
        <f t="shared" si="10"/>
        <v>18.48</v>
      </c>
    </row>
    <row r="11">
      <c r="A11" s="4">
        <v>2013.0</v>
      </c>
      <c r="B11" s="4">
        <v>161.0</v>
      </c>
      <c r="C11" s="4">
        <v>12.1</v>
      </c>
      <c r="D11" s="4">
        <v>26.68</v>
      </c>
      <c r="E11" s="4">
        <f t="shared" si="1"/>
        <v>1</v>
      </c>
      <c r="F11" s="4">
        <f t="shared" si="2"/>
        <v>0</v>
      </c>
      <c r="G11" s="4">
        <f t="shared" si="3"/>
        <v>38.1051</v>
      </c>
      <c r="H11" s="4">
        <f t="shared" si="4"/>
        <v>35.81265</v>
      </c>
      <c r="I11" s="4" t="str">
        <f t="shared" si="5"/>
        <v> </v>
      </c>
      <c r="J11" s="4">
        <v>0.1</v>
      </c>
      <c r="K11" s="4">
        <v>20.0</v>
      </c>
      <c r="L11" s="4">
        <f t="shared" si="6"/>
        <v>8</v>
      </c>
      <c r="M11" s="4">
        <f t="shared" si="7"/>
        <v>0</v>
      </c>
      <c r="N11" s="4">
        <f t="shared" si="8"/>
        <v>-1.54368</v>
      </c>
      <c r="O11" s="4">
        <f t="shared" si="9"/>
        <v>0.1</v>
      </c>
      <c r="P11" s="4">
        <f t="shared" si="10"/>
        <v>20</v>
      </c>
    </row>
    <row r="12">
      <c r="A12" s="4">
        <v>2013.0</v>
      </c>
      <c r="B12" s="4">
        <v>162.0</v>
      </c>
      <c r="C12" s="4">
        <v>16.16</v>
      </c>
      <c r="D12" s="4">
        <v>24.5</v>
      </c>
      <c r="E12" s="4">
        <f t="shared" si="1"/>
        <v>0</v>
      </c>
      <c r="F12" s="4">
        <f t="shared" si="2"/>
        <v>0</v>
      </c>
      <c r="G12" s="4">
        <f t="shared" si="3"/>
        <v>38.4443</v>
      </c>
      <c r="H12" s="4">
        <f t="shared" si="4"/>
        <v>34.34515</v>
      </c>
      <c r="I12" s="4" t="str">
        <f t="shared" si="5"/>
        <v> </v>
      </c>
      <c r="J12" s="4">
        <v>0.0</v>
      </c>
      <c r="K12" s="4">
        <v>19.72</v>
      </c>
      <c r="L12" s="4">
        <f t="shared" si="6"/>
        <v>3</v>
      </c>
      <c r="M12" s="4">
        <f t="shared" si="7"/>
        <v>0</v>
      </c>
      <c r="N12" s="4">
        <f t="shared" si="8"/>
        <v>-0.86664</v>
      </c>
      <c r="O12" s="4">
        <f t="shared" si="9"/>
        <v>0</v>
      </c>
      <c r="P12" s="4">
        <f t="shared" si="10"/>
        <v>19.72</v>
      </c>
    </row>
    <row r="13">
      <c r="A13" s="4">
        <v>2013.0</v>
      </c>
      <c r="B13" s="4">
        <v>163.0</v>
      </c>
      <c r="C13" s="4">
        <v>12.3</v>
      </c>
      <c r="D13" s="4">
        <v>22.46</v>
      </c>
      <c r="E13" s="4">
        <f t="shared" si="1"/>
        <v>1</v>
      </c>
      <c r="F13" s="4">
        <f t="shared" si="2"/>
        <v>0</v>
      </c>
      <c r="G13" s="4">
        <f t="shared" si="3"/>
        <v>37.5186</v>
      </c>
      <c r="H13" s="4">
        <f t="shared" si="4"/>
        <v>34.4786</v>
      </c>
      <c r="I13" s="4" t="str">
        <f t="shared" si="5"/>
        <v> </v>
      </c>
      <c r="J13" s="4">
        <v>0.3</v>
      </c>
      <c r="K13" s="4">
        <v>16.97</v>
      </c>
      <c r="L13" s="4">
        <f t="shared" si="6"/>
        <v>8</v>
      </c>
      <c r="M13" s="4">
        <f t="shared" si="7"/>
        <v>0</v>
      </c>
      <c r="N13" s="4">
        <f t="shared" si="8"/>
        <v>-5.92018</v>
      </c>
      <c r="O13" s="4">
        <f t="shared" si="9"/>
        <v>0.3</v>
      </c>
      <c r="P13" s="4">
        <f t="shared" si="10"/>
        <v>16.97</v>
      </c>
    </row>
    <row r="14">
      <c r="A14" s="4">
        <v>2013.0</v>
      </c>
      <c r="B14" s="4">
        <v>164.0</v>
      </c>
      <c r="C14" s="4">
        <v>9.37</v>
      </c>
      <c r="D14" s="4">
        <v>23.92</v>
      </c>
      <c r="E14" s="4">
        <f t="shared" si="1"/>
        <v>0</v>
      </c>
      <c r="F14" s="4">
        <f t="shared" si="2"/>
        <v>0</v>
      </c>
      <c r="G14" s="4">
        <f t="shared" si="3"/>
        <v>33.4757</v>
      </c>
      <c r="H14" s="4">
        <f t="shared" si="4"/>
        <v>28.18075</v>
      </c>
      <c r="I14" s="4" t="str">
        <f t="shared" si="5"/>
        <v> </v>
      </c>
      <c r="J14" s="4">
        <v>0.0</v>
      </c>
      <c r="K14" s="4">
        <v>17.11</v>
      </c>
      <c r="L14" s="4">
        <f t="shared" si="6"/>
        <v>3</v>
      </c>
      <c r="M14" s="4">
        <f t="shared" si="7"/>
        <v>0</v>
      </c>
      <c r="N14" s="4">
        <f t="shared" si="8"/>
        <v>-9.24323</v>
      </c>
      <c r="O14" s="4">
        <f t="shared" si="9"/>
        <v>0</v>
      </c>
      <c r="P14" s="4">
        <f t="shared" si="10"/>
        <v>17.11</v>
      </c>
    </row>
    <row r="15">
      <c r="A15" s="4">
        <v>2013.0</v>
      </c>
      <c r="B15" s="4">
        <v>165.0</v>
      </c>
      <c r="C15" s="4">
        <v>9.67</v>
      </c>
      <c r="D15" s="4">
        <v>25.41</v>
      </c>
      <c r="E15" s="4">
        <f t="shared" si="1"/>
        <v>0</v>
      </c>
      <c r="F15" s="4">
        <f t="shared" si="2"/>
        <v>0</v>
      </c>
      <c r="G15" s="4">
        <f t="shared" si="3"/>
        <v>31.4412</v>
      </c>
      <c r="H15" s="4">
        <f t="shared" si="4"/>
        <v>26.1274</v>
      </c>
      <c r="I15" s="4" t="str">
        <f t="shared" si="5"/>
        <v> </v>
      </c>
      <c r="J15" s="4">
        <v>0.0</v>
      </c>
      <c r="K15" s="4">
        <v>18.47</v>
      </c>
      <c r="L15" s="4">
        <f t="shared" si="6"/>
        <v>3</v>
      </c>
      <c r="M15" s="4">
        <f t="shared" si="7"/>
        <v>0</v>
      </c>
      <c r="N15" s="4">
        <f t="shared" si="8"/>
        <v>-8.06235</v>
      </c>
      <c r="O15" s="4">
        <f t="shared" si="9"/>
        <v>0</v>
      </c>
      <c r="P15" s="4">
        <f t="shared" si="10"/>
        <v>18.47</v>
      </c>
    </row>
    <row r="16">
      <c r="A16" s="4">
        <v>2013.0</v>
      </c>
      <c r="B16" s="4">
        <v>166.0</v>
      </c>
      <c r="C16" s="4">
        <v>11.78</v>
      </c>
      <c r="D16" s="4">
        <v>29.05</v>
      </c>
      <c r="E16" s="4">
        <f t="shared" si="1"/>
        <v>0</v>
      </c>
      <c r="F16" s="4">
        <f t="shared" si="2"/>
        <v>0</v>
      </c>
      <c r="G16" s="4">
        <f t="shared" si="3"/>
        <v>33.7591</v>
      </c>
      <c r="H16" s="4">
        <f t="shared" si="4"/>
        <v>27.9711</v>
      </c>
      <c r="I16" s="4" t="str">
        <f t="shared" si="5"/>
        <v> </v>
      </c>
      <c r="J16" s="4">
        <v>0.0</v>
      </c>
      <c r="K16" s="4">
        <v>21.36</v>
      </c>
      <c r="L16" s="4">
        <f t="shared" si="6"/>
        <v>3</v>
      </c>
      <c r="M16" s="4">
        <f t="shared" si="7"/>
        <v>0</v>
      </c>
      <c r="N16" s="4">
        <f t="shared" si="8"/>
        <v>-9.68689</v>
      </c>
      <c r="O16" s="4">
        <f t="shared" si="9"/>
        <v>0</v>
      </c>
      <c r="P16" s="4">
        <f t="shared" si="10"/>
        <v>21.36</v>
      </c>
    </row>
    <row r="17">
      <c r="A17" s="4">
        <v>2013.0</v>
      </c>
      <c r="B17" s="4">
        <v>167.0</v>
      </c>
      <c r="C17" s="4">
        <v>15.43</v>
      </c>
      <c r="D17" s="4">
        <v>26.82</v>
      </c>
      <c r="E17" s="4">
        <f t="shared" si="1"/>
        <v>0</v>
      </c>
      <c r="F17" s="4">
        <f t="shared" si="2"/>
        <v>0</v>
      </c>
      <c r="G17" s="4">
        <f t="shared" si="3"/>
        <v>31.9708</v>
      </c>
      <c r="H17" s="4">
        <f t="shared" si="4"/>
        <v>25.79765</v>
      </c>
      <c r="I17" s="4" t="str">
        <f t="shared" si="5"/>
        <v> </v>
      </c>
      <c r="J17" s="4">
        <v>0.0</v>
      </c>
      <c r="K17" s="4">
        <v>20.68</v>
      </c>
      <c r="L17" s="4">
        <f t="shared" si="6"/>
        <v>3</v>
      </c>
      <c r="M17" s="4">
        <f t="shared" si="7"/>
        <v>0</v>
      </c>
      <c r="N17" s="4">
        <f t="shared" si="8"/>
        <v>-9.29464</v>
      </c>
      <c r="O17" s="4">
        <f t="shared" si="9"/>
        <v>0</v>
      </c>
      <c r="P17" s="4">
        <f t="shared" si="10"/>
        <v>20.68</v>
      </c>
    </row>
    <row r="18">
      <c r="A18" s="4">
        <v>2013.0</v>
      </c>
      <c r="B18" s="4">
        <v>168.0</v>
      </c>
      <c r="C18" s="4">
        <v>13.7</v>
      </c>
      <c r="D18" s="4">
        <v>23.14</v>
      </c>
      <c r="E18" s="4">
        <f t="shared" si="1"/>
        <v>0</v>
      </c>
      <c r="F18" s="4">
        <f t="shared" si="2"/>
        <v>0</v>
      </c>
      <c r="G18" s="4">
        <f t="shared" si="3"/>
        <v>28.1862</v>
      </c>
      <c r="H18" s="4">
        <f t="shared" si="4"/>
        <v>23.15855</v>
      </c>
      <c r="I18" s="4" t="str">
        <f t="shared" si="5"/>
        <v> </v>
      </c>
      <c r="J18" s="4">
        <v>0.0</v>
      </c>
      <c r="K18" s="4">
        <v>18.94</v>
      </c>
      <c r="L18" s="4">
        <f t="shared" si="6"/>
        <v>3</v>
      </c>
      <c r="M18" s="4">
        <f t="shared" si="7"/>
        <v>0</v>
      </c>
      <c r="N18" s="4">
        <f t="shared" si="8"/>
        <v>-8.09985</v>
      </c>
      <c r="O18" s="4">
        <f t="shared" si="9"/>
        <v>0</v>
      </c>
      <c r="P18" s="4">
        <f t="shared" si="10"/>
        <v>18.94</v>
      </c>
    </row>
    <row r="19">
      <c r="A19" s="4">
        <v>2013.0</v>
      </c>
      <c r="B19" s="4">
        <v>169.0</v>
      </c>
      <c r="C19" s="4">
        <v>11.44</v>
      </c>
      <c r="D19" s="4">
        <v>20.48</v>
      </c>
      <c r="E19" s="4">
        <f t="shared" si="1"/>
        <v>0</v>
      </c>
      <c r="F19" s="4">
        <f t="shared" si="2"/>
        <v>0</v>
      </c>
      <c r="G19" s="4">
        <f t="shared" si="3"/>
        <v>23.6265</v>
      </c>
      <c r="H19" s="4">
        <f t="shared" si="4"/>
        <v>19.74445</v>
      </c>
      <c r="I19" s="4" t="str">
        <f t="shared" si="5"/>
        <v> </v>
      </c>
      <c r="J19" s="4">
        <v>0.0</v>
      </c>
      <c r="K19" s="4">
        <v>15.74</v>
      </c>
      <c r="L19" s="4">
        <f t="shared" si="6"/>
        <v>3</v>
      </c>
      <c r="M19" s="4">
        <f t="shared" si="7"/>
        <v>0</v>
      </c>
      <c r="N19" s="4">
        <f t="shared" si="8"/>
        <v>-9.00662</v>
      </c>
      <c r="O19" s="4">
        <f t="shared" si="9"/>
        <v>0</v>
      </c>
      <c r="P19" s="4">
        <f t="shared" si="10"/>
        <v>15.74</v>
      </c>
    </row>
    <row r="20">
      <c r="A20" s="4">
        <v>2013.0</v>
      </c>
      <c r="B20" s="4">
        <v>170.0</v>
      </c>
      <c r="C20" s="4">
        <v>11.23</v>
      </c>
      <c r="D20" s="4">
        <v>23.47</v>
      </c>
      <c r="E20" s="4">
        <f t="shared" si="1"/>
        <v>0</v>
      </c>
      <c r="F20" s="4">
        <f t="shared" si="2"/>
        <v>0</v>
      </c>
      <c r="G20" s="4">
        <f t="shared" si="3"/>
        <v>29.9754</v>
      </c>
      <c r="H20" s="4">
        <f t="shared" si="4"/>
        <v>25.26495</v>
      </c>
      <c r="I20" s="4" t="str">
        <f t="shared" si="5"/>
        <v> </v>
      </c>
      <c r="J20" s="4">
        <v>0.0</v>
      </c>
      <c r="K20" s="4">
        <v>17.41</v>
      </c>
      <c r="L20" s="4">
        <f t="shared" si="6"/>
        <v>3</v>
      </c>
      <c r="M20" s="4">
        <f t="shared" si="7"/>
        <v>0</v>
      </c>
      <c r="N20" s="4">
        <f t="shared" si="8"/>
        <v>-9.72445</v>
      </c>
      <c r="O20" s="4">
        <f t="shared" si="9"/>
        <v>0</v>
      </c>
      <c r="P20" s="4">
        <f t="shared" si="10"/>
        <v>17.41</v>
      </c>
    </row>
    <row r="21" ht="15.75" customHeight="1">
      <c r="A21" s="4">
        <v>2013.0</v>
      </c>
      <c r="B21" s="4">
        <v>171.0</v>
      </c>
      <c r="C21" s="4">
        <v>9.77</v>
      </c>
      <c r="D21" s="4">
        <v>23.64</v>
      </c>
      <c r="E21" s="4">
        <f t="shared" si="1"/>
        <v>0</v>
      </c>
      <c r="F21" s="4">
        <f t="shared" si="2"/>
        <v>0</v>
      </c>
      <c r="G21" s="4">
        <f t="shared" si="3"/>
        <v>32.1316</v>
      </c>
      <c r="H21" s="4">
        <f t="shared" si="4"/>
        <v>25.8861</v>
      </c>
      <c r="I21" s="4" t="str">
        <f t="shared" si="5"/>
        <v> </v>
      </c>
      <c r="J21" s="4">
        <v>0.0</v>
      </c>
      <c r="K21" s="4">
        <v>17.18</v>
      </c>
      <c r="L21" s="4">
        <f t="shared" si="6"/>
        <v>3</v>
      </c>
      <c r="M21" s="4">
        <f t="shared" si="7"/>
        <v>0</v>
      </c>
      <c r="N21" s="4">
        <f t="shared" si="8"/>
        <v>-7.81911</v>
      </c>
      <c r="O21" s="4">
        <f t="shared" si="9"/>
        <v>0</v>
      </c>
      <c r="P21" s="4">
        <f t="shared" si="10"/>
        <v>17.18</v>
      </c>
    </row>
    <row r="22" ht="15.75" customHeight="1">
      <c r="A22" s="4">
        <v>2013.0</v>
      </c>
      <c r="B22" s="4">
        <v>172.0</v>
      </c>
      <c r="C22" s="4">
        <v>9.11</v>
      </c>
      <c r="D22" s="4">
        <v>22.58</v>
      </c>
      <c r="E22" s="4">
        <f t="shared" si="1"/>
        <v>0</v>
      </c>
      <c r="F22" s="4">
        <f t="shared" si="2"/>
        <v>0</v>
      </c>
      <c r="G22" s="4">
        <f t="shared" si="3"/>
        <v>33.2558</v>
      </c>
      <c r="H22" s="4">
        <f t="shared" si="4"/>
        <v>28.01805</v>
      </c>
      <c r="I22" s="4" t="str">
        <f t="shared" si="5"/>
        <v> </v>
      </c>
      <c r="J22" s="4">
        <v>0.0</v>
      </c>
      <c r="K22" s="4">
        <v>16.67</v>
      </c>
      <c r="L22" s="4">
        <f t="shared" si="6"/>
        <v>3</v>
      </c>
      <c r="M22" s="4">
        <f t="shared" si="7"/>
        <v>0</v>
      </c>
      <c r="N22" s="4">
        <f t="shared" si="8"/>
        <v>-6.07365</v>
      </c>
      <c r="O22" s="4">
        <f t="shared" si="9"/>
        <v>0</v>
      </c>
      <c r="P22" s="4">
        <f t="shared" si="10"/>
        <v>16.67</v>
      </c>
    </row>
    <row r="23" ht="15.75" customHeight="1">
      <c r="A23" s="4">
        <v>2013.0</v>
      </c>
      <c r="B23" s="4">
        <v>173.0</v>
      </c>
      <c r="C23" s="4">
        <v>10.91</v>
      </c>
      <c r="D23" s="4">
        <v>18.36</v>
      </c>
      <c r="E23" s="4">
        <f t="shared" si="1"/>
        <v>0</v>
      </c>
      <c r="F23" s="4">
        <f t="shared" si="2"/>
        <v>0</v>
      </c>
      <c r="G23" s="4">
        <f t="shared" si="3"/>
        <v>37.1216</v>
      </c>
      <c r="H23" s="4">
        <f t="shared" si="4"/>
        <v>31.81675</v>
      </c>
      <c r="I23" s="4" t="str">
        <f t="shared" si="5"/>
        <v> </v>
      </c>
      <c r="J23" s="4">
        <v>0.0</v>
      </c>
      <c r="K23" s="4">
        <v>15.0</v>
      </c>
      <c r="L23" s="4">
        <f t="shared" si="6"/>
        <v>3</v>
      </c>
      <c r="M23" s="4">
        <f t="shared" si="7"/>
        <v>0</v>
      </c>
      <c r="N23" s="4">
        <f t="shared" si="8"/>
        <v>-7.66622</v>
      </c>
      <c r="O23" s="4">
        <f t="shared" si="9"/>
        <v>0</v>
      </c>
      <c r="P23" s="4">
        <f t="shared" si="10"/>
        <v>15</v>
      </c>
    </row>
    <row r="24" ht="15.75" customHeight="1">
      <c r="A24" s="4">
        <v>2013.0</v>
      </c>
      <c r="B24" s="4">
        <v>174.0</v>
      </c>
      <c r="C24" s="4">
        <v>13.9</v>
      </c>
      <c r="D24" s="4">
        <v>25.56</v>
      </c>
      <c r="E24" s="4">
        <f t="shared" si="1"/>
        <v>0</v>
      </c>
      <c r="F24" s="4">
        <f t="shared" si="2"/>
        <v>0</v>
      </c>
      <c r="G24" s="4">
        <f t="shared" si="3"/>
        <v>45.5225</v>
      </c>
      <c r="H24" s="4">
        <f t="shared" si="4"/>
        <v>39.14035</v>
      </c>
      <c r="I24" s="4" t="str">
        <f t="shared" si="5"/>
        <v> </v>
      </c>
      <c r="J24" s="4">
        <v>0.0</v>
      </c>
      <c r="K24" s="4">
        <v>18.82</v>
      </c>
      <c r="L24" s="4">
        <f t="shared" si="6"/>
        <v>3</v>
      </c>
      <c r="M24" s="4">
        <f t="shared" si="7"/>
        <v>0</v>
      </c>
      <c r="N24" s="4">
        <f t="shared" si="8"/>
        <v>-8.88252</v>
      </c>
      <c r="O24" s="4">
        <f t="shared" si="9"/>
        <v>0</v>
      </c>
      <c r="P24" s="4">
        <f t="shared" si="10"/>
        <v>18.82</v>
      </c>
    </row>
    <row r="25" ht="15.75" customHeight="1">
      <c r="A25" s="4">
        <v>2013.0</v>
      </c>
      <c r="B25" s="4">
        <v>175.0</v>
      </c>
      <c r="C25" s="4">
        <v>13.61</v>
      </c>
      <c r="D25" s="4">
        <v>29.28</v>
      </c>
      <c r="E25" s="4">
        <f t="shared" si="1"/>
        <v>0</v>
      </c>
      <c r="F25" s="4">
        <f t="shared" si="2"/>
        <v>0</v>
      </c>
      <c r="G25" s="4">
        <f t="shared" si="3"/>
        <v>49.3104</v>
      </c>
      <c r="H25" s="4">
        <f t="shared" si="4"/>
        <v>42.20755</v>
      </c>
      <c r="I25" s="4" t="str">
        <f t="shared" si="5"/>
        <v> </v>
      </c>
      <c r="J25" s="4">
        <v>0.0</v>
      </c>
      <c r="K25" s="4">
        <v>21.59</v>
      </c>
      <c r="L25" s="4">
        <f t="shared" si="6"/>
        <v>3</v>
      </c>
      <c r="M25" s="4">
        <f t="shared" si="7"/>
        <v>0</v>
      </c>
      <c r="N25" s="4">
        <f t="shared" si="8"/>
        <v>-9.99484</v>
      </c>
      <c r="O25" s="4">
        <f t="shared" si="9"/>
        <v>0</v>
      </c>
      <c r="P25" s="4">
        <f t="shared" si="10"/>
        <v>21.59</v>
      </c>
    </row>
    <row r="26" ht="15.75" customHeight="1">
      <c r="A26" s="4">
        <v>2013.0</v>
      </c>
      <c r="B26" s="4">
        <v>176.0</v>
      </c>
      <c r="C26" s="4">
        <v>15.31</v>
      </c>
      <c r="D26" s="4">
        <v>29.95</v>
      </c>
      <c r="E26" s="4">
        <f t="shared" si="1"/>
        <v>0</v>
      </c>
      <c r="F26" s="4">
        <f t="shared" si="2"/>
        <v>0</v>
      </c>
      <c r="G26" s="4">
        <f t="shared" si="3"/>
        <v>51.1683</v>
      </c>
      <c r="H26" s="4">
        <f t="shared" si="4"/>
        <v>43.9662</v>
      </c>
      <c r="I26" s="4" t="str">
        <f t="shared" si="5"/>
        <v> </v>
      </c>
      <c r="J26" s="4">
        <v>0.0</v>
      </c>
      <c r="K26" s="4">
        <v>22.6</v>
      </c>
      <c r="L26" s="4">
        <f t="shared" si="6"/>
        <v>3</v>
      </c>
      <c r="M26" s="4">
        <f t="shared" si="7"/>
        <v>0</v>
      </c>
      <c r="N26" s="4">
        <f t="shared" si="8"/>
        <v>-9.44573</v>
      </c>
      <c r="O26" s="4">
        <f t="shared" si="9"/>
        <v>0</v>
      </c>
      <c r="P26" s="4">
        <f t="shared" si="10"/>
        <v>22.6</v>
      </c>
    </row>
    <row r="27" ht="15.75" customHeight="1">
      <c r="A27" s="4">
        <v>2013.0</v>
      </c>
      <c r="B27" s="4">
        <v>177.0</v>
      </c>
      <c r="C27" s="4">
        <v>15.97</v>
      </c>
      <c r="D27" s="4">
        <v>32.5</v>
      </c>
      <c r="E27" s="4">
        <f t="shared" si="1"/>
        <v>0</v>
      </c>
      <c r="F27" s="4">
        <f t="shared" si="2"/>
        <v>0</v>
      </c>
      <c r="G27" s="4">
        <f t="shared" si="3"/>
        <v>51.6248</v>
      </c>
      <c r="H27" s="4">
        <f t="shared" si="4"/>
        <v>44.2414</v>
      </c>
      <c r="I27" s="4" t="str">
        <f t="shared" si="5"/>
        <v> </v>
      </c>
      <c r="J27" s="4">
        <v>0.0</v>
      </c>
      <c r="K27" s="4">
        <v>24.82</v>
      </c>
      <c r="L27" s="4">
        <f t="shared" si="6"/>
        <v>3</v>
      </c>
      <c r="M27" s="4">
        <f t="shared" si="7"/>
        <v>0</v>
      </c>
      <c r="N27" s="4">
        <f t="shared" si="8"/>
        <v>-10.82426</v>
      </c>
      <c r="O27" s="4">
        <f t="shared" si="9"/>
        <v>0</v>
      </c>
      <c r="P27" s="4">
        <f t="shared" si="10"/>
        <v>24.82</v>
      </c>
    </row>
    <row r="28" ht="15.75" customHeight="1">
      <c r="A28" s="4">
        <v>2013.0</v>
      </c>
      <c r="B28" s="4">
        <v>178.0</v>
      </c>
      <c r="C28" s="4">
        <v>17.97</v>
      </c>
      <c r="D28" s="4">
        <v>32.24</v>
      </c>
      <c r="E28" s="4">
        <f t="shared" si="1"/>
        <v>0</v>
      </c>
      <c r="F28" s="4">
        <f t="shared" si="2"/>
        <v>0</v>
      </c>
      <c r="G28" s="4">
        <f t="shared" si="3"/>
        <v>47.9016</v>
      </c>
      <c r="H28" s="4">
        <f t="shared" si="4"/>
        <v>40.63455</v>
      </c>
      <c r="I28" s="4" t="str">
        <f t="shared" si="5"/>
        <v> </v>
      </c>
      <c r="J28" s="4">
        <v>0.0</v>
      </c>
      <c r="K28" s="4">
        <v>25.57</v>
      </c>
      <c r="L28" s="4">
        <f t="shared" si="6"/>
        <v>3</v>
      </c>
      <c r="M28" s="4">
        <f t="shared" si="7"/>
        <v>0</v>
      </c>
      <c r="N28" s="4">
        <f t="shared" si="8"/>
        <v>-10.43918</v>
      </c>
      <c r="O28" s="4">
        <f t="shared" si="9"/>
        <v>0</v>
      </c>
      <c r="P28" s="4">
        <f t="shared" si="10"/>
        <v>25.57</v>
      </c>
    </row>
    <row r="29" ht="15.75" customHeight="1">
      <c r="A29" s="4">
        <v>2013.0</v>
      </c>
      <c r="B29" s="4">
        <v>179.0</v>
      </c>
      <c r="C29" s="4">
        <v>17.1</v>
      </c>
      <c r="D29" s="4">
        <v>32.17</v>
      </c>
      <c r="E29" s="4">
        <f t="shared" si="1"/>
        <v>0</v>
      </c>
      <c r="F29" s="4">
        <f t="shared" si="2"/>
        <v>0</v>
      </c>
      <c r="G29" s="4">
        <f t="shared" si="3"/>
        <v>47.7034</v>
      </c>
      <c r="H29" s="4">
        <f t="shared" si="4"/>
        <v>40.7786</v>
      </c>
      <c r="I29" s="4" t="str">
        <f t="shared" si="5"/>
        <v> </v>
      </c>
      <c r="J29" s="4">
        <v>0.0</v>
      </c>
      <c r="K29" s="4">
        <v>24.12</v>
      </c>
      <c r="L29" s="4">
        <f t="shared" si="6"/>
        <v>3</v>
      </c>
      <c r="M29" s="4">
        <f t="shared" si="7"/>
        <v>0</v>
      </c>
      <c r="N29" s="4">
        <f t="shared" si="8"/>
        <v>-10.14879</v>
      </c>
      <c r="O29" s="4">
        <f t="shared" si="9"/>
        <v>0</v>
      </c>
      <c r="P29" s="4">
        <f t="shared" si="10"/>
        <v>24.12</v>
      </c>
    </row>
    <row r="30" ht="15.75" customHeight="1">
      <c r="A30" s="4">
        <v>2013.0</v>
      </c>
      <c r="B30" s="4">
        <v>180.0</v>
      </c>
      <c r="C30" s="4">
        <v>17.44</v>
      </c>
      <c r="D30" s="4">
        <v>32.63</v>
      </c>
      <c r="E30" s="4">
        <f t="shared" si="1"/>
        <v>0</v>
      </c>
      <c r="F30" s="4">
        <f t="shared" si="2"/>
        <v>0</v>
      </c>
      <c r="G30" s="4">
        <f t="shared" si="3"/>
        <v>47.9902</v>
      </c>
      <c r="H30" s="4">
        <f t="shared" si="4"/>
        <v>40.09165</v>
      </c>
      <c r="I30" s="4" t="str">
        <f t="shared" si="5"/>
        <v> </v>
      </c>
      <c r="J30" s="4">
        <v>0.0</v>
      </c>
      <c r="K30" s="4">
        <v>25.39</v>
      </c>
      <c r="L30" s="4">
        <f t="shared" si="6"/>
        <v>3</v>
      </c>
      <c r="M30" s="4">
        <f t="shared" si="7"/>
        <v>0</v>
      </c>
      <c r="N30" s="4">
        <f t="shared" si="8"/>
        <v>-10.7944</v>
      </c>
      <c r="O30" s="4">
        <f t="shared" si="9"/>
        <v>0</v>
      </c>
      <c r="P30" s="4">
        <f t="shared" si="10"/>
        <v>25.39</v>
      </c>
    </row>
    <row r="31" ht="15.75" customHeight="1">
      <c r="A31" s="4">
        <v>2013.0</v>
      </c>
      <c r="B31" s="4">
        <v>181.0</v>
      </c>
      <c r="C31" s="4">
        <v>17.69</v>
      </c>
      <c r="D31" s="4">
        <v>30.38</v>
      </c>
      <c r="E31" s="4">
        <f t="shared" si="1"/>
        <v>0</v>
      </c>
      <c r="F31" s="4">
        <f t="shared" si="2"/>
        <v>0</v>
      </c>
      <c r="G31" s="4">
        <f t="shared" si="3"/>
        <v>46.4796</v>
      </c>
      <c r="H31" s="4">
        <f t="shared" si="4"/>
        <v>39.5995</v>
      </c>
      <c r="I31" s="4" t="str">
        <f t="shared" si="5"/>
        <v> </v>
      </c>
      <c r="J31" s="4">
        <v>0.0</v>
      </c>
      <c r="K31" s="4">
        <v>22.41</v>
      </c>
      <c r="L31" s="4">
        <f t="shared" si="6"/>
        <v>3</v>
      </c>
      <c r="M31" s="4">
        <f t="shared" si="7"/>
        <v>0</v>
      </c>
      <c r="N31" s="4">
        <f t="shared" si="8"/>
        <v>-9.13348</v>
      </c>
      <c r="O31" s="4">
        <f t="shared" si="9"/>
        <v>0</v>
      </c>
      <c r="P31" s="4">
        <f t="shared" si="10"/>
        <v>22.41</v>
      </c>
    </row>
    <row r="32" ht="15.75" customHeight="1">
      <c r="A32" s="4">
        <v>2013.0</v>
      </c>
      <c r="B32" s="4">
        <v>182.0</v>
      </c>
      <c r="C32" s="4">
        <v>15.26</v>
      </c>
      <c r="D32" s="4">
        <v>25.41</v>
      </c>
      <c r="E32" s="4">
        <f t="shared" si="1"/>
        <v>0</v>
      </c>
      <c r="F32" s="4">
        <f t="shared" si="2"/>
        <v>0</v>
      </c>
      <c r="G32" s="4">
        <f t="shared" si="3"/>
        <v>44.3911</v>
      </c>
      <c r="H32" s="4">
        <f t="shared" si="4"/>
        <v>38.1702</v>
      </c>
      <c r="I32" s="4" t="str">
        <f t="shared" si="5"/>
        <v> </v>
      </c>
      <c r="J32" s="4">
        <v>0.0</v>
      </c>
      <c r="K32" s="4">
        <v>19.55</v>
      </c>
      <c r="L32" s="4">
        <f t="shared" si="6"/>
        <v>3</v>
      </c>
      <c r="M32" s="4">
        <f t="shared" si="7"/>
        <v>0</v>
      </c>
      <c r="N32" s="4">
        <f t="shared" si="8"/>
        <v>-9.69988</v>
      </c>
      <c r="O32" s="4">
        <f t="shared" si="9"/>
        <v>0</v>
      </c>
      <c r="P32" s="4">
        <f t="shared" si="10"/>
        <v>19.55</v>
      </c>
    </row>
    <row r="33" ht="15.75" customHeight="1">
      <c r="A33" s="4">
        <v>2013.0</v>
      </c>
      <c r="B33" s="4">
        <v>183.0</v>
      </c>
      <c r="C33" s="4">
        <v>15.57</v>
      </c>
      <c r="D33" s="4">
        <v>28.65</v>
      </c>
      <c r="E33" s="4">
        <f t="shared" si="1"/>
        <v>0</v>
      </c>
      <c r="F33" s="4">
        <f t="shared" si="2"/>
        <v>0</v>
      </c>
      <c r="G33" s="4">
        <f t="shared" si="3"/>
        <v>47.896</v>
      </c>
      <c r="H33" s="4">
        <f t="shared" si="4"/>
        <v>40.6637</v>
      </c>
      <c r="I33" s="4" t="str">
        <f t="shared" si="5"/>
        <v> </v>
      </c>
      <c r="J33" s="4">
        <v>0.0</v>
      </c>
      <c r="K33" s="4">
        <v>21.23</v>
      </c>
      <c r="L33" s="4">
        <f t="shared" si="6"/>
        <v>3</v>
      </c>
      <c r="M33" s="4">
        <f t="shared" si="7"/>
        <v>0</v>
      </c>
      <c r="N33" s="4">
        <f t="shared" si="8"/>
        <v>-9.59052</v>
      </c>
      <c r="O33" s="4">
        <f t="shared" si="9"/>
        <v>0</v>
      </c>
      <c r="P33" s="4">
        <f t="shared" si="10"/>
        <v>21.23</v>
      </c>
    </row>
    <row r="34" ht="15.75" customHeight="1">
      <c r="A34" s="4">
        <v>2013.0</v>
      </c>
      <c r="B34" s="4">
        <v>184.0</v>
      </c>
      <c r="C34" s="4">
        <v>14.44</v>
      </c>
      <c r="D34" s="4">
        <v>30.74</v>
      </c>
      <c r="E34" s="4">
        <f t="shared" si="1"/>
        <v>0</v>
      </c>
      <c r="F34" s="4">
        <f t="shared" si="2"/>
        <v>0</v>
      </c>
      <c r="G34" s="4">
        <f t="shared" si="3"/>
        <v>46.0509</v>
      </c>
      <c r="H34" s="4">
        <f t="shared" si="4"/>
        <v>39.3695</v>
      </c>
      <c r="I34" s="4" t="str">
        <f t="shared" si="5"/>
        <v> </v>
      </c>
      <c r="J34" s="4">
        <v>0.0</v>
      </c>
      <c r="K34" s="4">
        <v>23.27</v>
      </c>
      <c r="L34" s="4">
        <f t="shared" si="6"/>
        <v>3</v>
      </c>
      <c r="M34" s="4">
        <f t="shared" si="7"/>
        <v>0</v>
      </c>
      <c r="N34" s="4">
        <f t="shared" si="8"/>
        <v>-9.43431</v>
      </c>
      <c r="O34" s="4">
        <f t="shared" si="9"/>
        <v>0</v>
      </c>
      <c r="P34" s="4">
        <f t="shared" si="10"/>
        <v>23.27</v>
      </c>
    </row>
    <row r="35" ht="15.75" customHeight="1">
      <c r="A35" s="4">
        <v>2013.0</v>
      </c>
      <c r="B35" s="4">
        <v>185.0</v>
      </c>
      <c r="C35" s="4">
        <v>16.1</v>
      </c>
      <c r="D35" s="4">
        <v>30.98</v>
      </c>
      <c r="E35" s="4">
        <f t="shared" si="1"/>
        <v>0</v>
      </c>
      <c r="F35" s="4">
        <f t="shared" si="2"/>
        <v>0</v>
      </c>
      <c r="G35" s="4">
        <f t="shared" si="3"/>
        <v>44.7437</v>
      </c>
      <c r="H35" s="4">
        <f t="shared" si="4"/>
        <v>38.0549</v>
      </c>
      <c r="I35" s="4" t="str">
        <f t="shared" si="5"/>
        <v> </v>
      </c>
      <c r="J35" s="4">
        <v>0.0</v>
      </c>
      <c r="K35" s="4">
        <v>23.17</v>
      </c>
      <c r="L35" s="4">
        <f t="shared" si="6"/>
        <v>3</v>
      </c>
      <c r="M35" s="4">
        <f t="shared" si="7"/>
        <v>0</v>
      </c>
      <c r="N35" s="4">
        <f t="shared" si="8"/>
        <v>-10.82647</v>
      </c>
      <c r="O35" s="4">
        <f t="shared" si="9"/>
        <v>0</v>
      </c>
      <c r="P35" s="4">
        <f t="shared" si="10"/>
        <v>23.17</v>
      </c>
    </row>
    <row r="36" ht="15.75" customHeight="1">
      <c r="A36" s="4">
        <v>2013.0</v>
      </c>
      <c r="B36" s="4">
        <v>186.0</v>
      </c>
      <c r="C36" s="4">
        <v>17.56</v>
      </c>
      <c r="D36" s="4">
        <v>30.77</v>
      </c>
      <c r="E36" s="4">
        <f t="shared" si="1"/>
        <v>0</v>
      </c>
      <c r="F36" s="4">
        <f t="shared" si="2"/>
        <v>0</v>
      </c>
      <c r="G36" s="4">
        <f t="shared" si="3"/>
        <v>42.2908</v>
      </c>
      <c r="H36" s="4">
        <f t="shared" si="4"/>
        <v>35.5996</v>
      </c>
      <c r="I36" s="4" t="str">
        <f t="shared" si="5"/>
        <v> </v>
      </c>
      <c r="J36" s="4">
        <v>0.0</v>
      </c>
      <c r="K36" s="4">
        <v>23.17</v>
      </c>
      <c r="L36" s="4">
        <f t="shared" si="6"/>
        <v>3</v>
      </c>
      <c r="M36" s="4">
        <f t="shared" si="7"/>
        <v>0</v>
      </c>
      <c r="N36" s="4">
        <f t="shared" si="8"/>
        <v>-9.77634</v>
      </c>
      <c r="O36" s="4">
        <f t="shared" si="9"/>
        <v>0</v>
      </c>
      <c r="P36" s="4">
        <f t="shared" si="10"/>
        <v>23.17</v>
      </c>
    </row>
    <row r="37" ht="15.75" customHeight="1">
      <c r="A37" s="4">
        <v>2013.0</v>
      </c>
      <c r="B37" s="4">
        <v>187.0</v>
      </c>
      <c r="C37" s="4">
        <v>15.8</v>
      </c>
      <c r="D37" s="4">
        <v>31.04</v>
      </c>
      <c r="E37" s="4">
        <f t="shared" si="1"/>
        <v>0</v>
      </c>
      <c r="F37" s="4">
        <f t="shared" si="2"/>
        <v>0</v>
      </c>
      <c r="G37" s="4">
        <f t="shared" si="3"/>
        <v>40.5929</v>
      </c>
      <c r="H37" s="4">
        <f t="shared" si="4"/>
        <v>33.5944</v>
      </c>
      <c r="I37" s="4" t="str">
        <f t="shared" si="5"/>
        <v> </v>
      </c>
      <c r="J37" s="4">
        <v>0.0</v>
      </c>
      <c r="K37" s="4">
        <v>22.95</v>
      </c>
      <c r="L37" s="4">
        <f t="shared" si="6"/>
        <v>3</v>
      </c>
      <c r="M37" s="4">
        <f t="shared" si="7"/>
        <v>0</v>
      </c>
      <c r="N37" s="4">
        <f t="shared" si="8"/>
        <v>-9.65979</v>
      </c>
      <c r="O37" s="4">
        <f t="shared" si="9"/>
        <v>0</v>
      </c>
      <c r="P37" s="4">
        <f t="shared" si="10"/>
        <v>22.95</v>
      </c>
    </row>
    <row r="38" ht="15.75" customHeight="1">
      <c r="A38" s="4">
        <v>2013.0</v>
      </c>
      <c r="B38" s="4">
        <v>188.0</v>
      </c>
      <c r="C38" s="4">
        <v>16.3</v>
      </c>
      <c r="D38" s="4">
        <v>27.38</v>
      </c>
      <c r="E38" s="4">
        <f t="shared" si="1"/>
        <v>0</v>
      </c>
      <c r="F38" s="4">
        <f t="shared" si="2"/>
        <v>0</v>
      </c>
      <c r="G38" s="4">
        <f t="shared" si="3"/>
        <v>37.5415</v>
      </c>
      <c r="H38" s="4">
        <f t="shared" si="4"/>
        <v>31.3318</v>
      </c>
      <c r="I38" s="4" t="str">
        <f t="shared" si="5"/>
        <v> </v>
      </c>
      <c r="J38" s="4">
        <v>0.0</v>
      </c>
      <c r="K38" s="4">
        <v>19.94</v>
      </c>
      <c r="L38" s="4">
        <f t="shared" si="6"/>
        <v>3</v>
      </c>
      <c r="M38" s="4">
        <f t="shared" si="7"/>
        <v>0</v>
      </c>
      <c r="N38" s="4">
        <f t="shared" si="8"/>
        <v>-8.27715</v>
      </c>
      <c r="O38" s="4">
        <f t="shared" si="9"/>
        <v>0</v>
      </c>
      <c r="P38" s="4">
        <f t="shared" si="10"/>
        <v>19.94</v>
      </c>
    </row>
    <row r="39" ht="15.75" customHeight="1">
      <c r="A39" s="4">
        <v>2013.0</v>
      </c>
      <c r="B39" s="4">
        <v>189.0</v>
      </c>
      <c r="C39" s="4">
        <v>15.3</v>
      </c>
      <c r="D39" s="4">
        <v>25.73</v>
      </c>
      <c r="E39" s="4">
        <f t="shared" si="1"/>
        <v>0</v>
      </c>
      <c r="F39" s="4">
        <f t="shared" si="2"/>
        <v>0</v>
      </c>
      <c r="G39" s="4">
        <f t="shared" si="3"/>
        <v>37.3318</v>
      </c>
      <c r="H39" s="4">
        <f t="shared" si="4"/>
        <v>31.16065</v>
      </c>
      <c r="I39" s="4" t="str">
        <f t="shared" si="5"/>
        <v> </v>
      </c>
      <c r="J39" s="4">
        <v>0.0</v>
      </c>
      <c r="K39" s="4">
        <v>18.82</v>
      </c>
      <c r="L39" s="4">
        <f t="shared" si="6"/>
        <v>3</v>
      </c>
      <c r="M39" s="4">
        <f t="shared" si="7"/>
        <v>0</v>
      </c>
      <c r="N39" s="4">
        <f t="shared" si="8"/>
        <v>-9.35981</v>
      </c>
      <c r="O39" s="4">
        <f t="shared" si="9"/>
        <v>0</v>
      </c>
      <c r="P39" s="4">
        <f t="shared" si="10"/>
        <v>18.82</v>
      </c>
    </row>
    <row r="40" ht="15.75" customHeight="1">
      <c r="A40" s="4">
        <v>2013.0</v>
      </c>
      <c r="B40" s="4">
        <v>190.0</v>
      </c>
      <c r="C40" s="4">
        <v>15.24</v>
      </c>
      <c r="D40" s="4">
        <v>24.54</v>
      </c>
      <c r="E40" s="4">
        <f t="shared" si="1"/>
        <v>0</v>
      </c>
      <c r="F40" s="4">
        <f t="shared" si="2"/>
        <v>0</v>
      </c>
      <c r="G40" s="4">
        <f t="shared" si="3"/>
        <v>37.6378</v>
      </c>
      <c r="H40" s="4">
        <f t="shared" si="4"/>
        <v>31.8376</v>
      </c>
      <c r="I40" s="4" t="str">
        <f t="shared" si="5"/>
        <v> </v>
      </c>
      <c r="J40" s="4">
        <v>0.0</v>
      </c>
      <c r="K40" s="4">
        <v>18.33</v>
      </c>
      <c r="L40" s="4">
        <f t="shared" si="6"/>
        <v>3</v>
      </c>
      <c r="M40" s="4">
        <f t="shared" si="7"/>
        <v>0</v>
      </c>
      <c r="N40" s="4">
        <f t="shared" si="8"/>
        <v>-8.71345</v>
      </c>
      <c r="O40" s="4">
        <f t="shared" si="9"/>
        <v>0</v>
      </c>
      <c r="P40" s="4">
        <f t="shared" si="10"/>
        <v>18.33</v>
      </c>
    </row>
    <row r="41" ht="15.75" customHeight="1">
      <c r="A41" s="4">
        <v>2013.0</v>
      </c>
      <c r="B41" s="4">
        <v>191.0</v>
      </c>
      <c r="C41" s="4">
        <v>12.84</v>
      </c>
      <c r="D41" s="4">
        <v>25.93</v>
      </c>
      <c r="E41" s="4">
        <f t="shared" si="1"/>
        <v>0</v>
      </c>
      <c r="F41" s="4">
        <f t="shared" si="2"/>
        <v>0</v>
      </c>
      <c r="G41" s="4">
        <f t="shared" si="3"/>
        <v>35.6337</v>
      </c>
      <c r="H41" s="4">
        <f t="shared" si="4"/>
        <v>30.42985</v>
      </c>
      <c r="I41" s="4" t="str">
        <f t="shared" si="5"/>
        <v> </v>
      </c>
      <c r="J41" s="4">
        <v>0.0</v>
      </c>
      <c r="K41" s="4">
        <v>19.35</v>
      </c>
      <c r="L41" s="4">
        <f t="shared" si="6"/>
        <v>3</v>
      </c>
      <c r="M41" s="4">
        <f t="shared" si="7"/>
        <v>0</v>
      </c>
      <c r="N41" s="4">
        <f t="shared" si="8"/>
        <v>-9.97957</v>
      </c>
      <c r="O41" s="4">
        <f t="shared" si="9"/>
        <v>0</v>
      </c>
      <c r="P41" s="4">
        <f t="shared" si="10"/>
        <v>19.35</v>
      </c>
    </row>
    <row r="42" ht="15.75" customHeight="1">
      <c r="A42" s="4">
        <v>2013.0</v>
      </c>
      <c r="B42" s="4">
        <v>192.0</v>
      </c>
      <c r="C42" s="4">
        <v>13.33</v>
      </c>
      <c r="D42" s="4">
        <v>26.46</v>
      </c>
      <c r="E42" s="4">
        <f t="shared" si="1"/>
        <v>0</v>
      </c>
      <c r="F42" s="4">
        <f t="shared" si="2"/>
        <v>0</v>
      </c>
      <c r="G42" s="4">
        <f t="shared" si="3"/>
        <v>35.5665</v>
      </c>
      <c r="H42" s="4">
        <f t="shared" si="4"/>
        <v>31.778</v>
      </c>
      <c r="I42" s="4" t="str">
        <f t="shared" si="5"/>
        <v> </v>
      </c>
      <c r="J42" s="4">
        <v>0.0</v>
      </c>
      <c r="K42" s="4">
        <v>19.69</v>
      </c>
      <c r="L42" s="4">
        <f t="shared" si="6"/>
        <v>3</v>
      </c>
      <c r="M42" s="4">
        <f t="shared" si="7"/>
        <v>0</v>
      </c>
      <c r="N42" s="4">
        <f t="shared" si="8"/>
        <v>-9.59345</v>
      </c>
      <c r="O42" s="4">
        <f t="shared" si="9"/>
        <v>0</v>
      </c>
      <c r="P42" s="4">
        <f t="shared" si="10"/>
        <v>19.69</v>
      </c>
    </row>
    <row r="43" ht="15.75" customHeight="1">
      <c r="A43" s="4">
        <v>2013.0</v>
      </c>
      <c r="B43" s="4">
        <v>193.0</v>
      </c>
      <c r="C43" s="4">
        <v>12.28</v>
      </c>
      <c r="D43" s="4">
        <v>27.4</v>
      </c>
      <c r="E43" s="4">
        <f t="shared" si="1"/>
        <v>0</v>
      </c>
      <c r="F43" s="4">
        <f t="shared" si="2"/>
        <v>0</v>
      </c>
      <c r="G43" s="4">
        <f t="shared" si="3"/>
        <v>36.2949</v>
      </c>
      <c r="H43" s="4">
        <f t="shared" si="4"/>
        <v>32.8714</v>
      </c>
      <c r="I43" s="4" t="str">
        <f t="shared" si="5"/>
        <v> </v>
      </c>
      <c r="J43" s="4">
        <v>0.0</v>
      </c>
      <c r="K43" s="4">
        <v>20.09</v>
      </c>
      <c r="L43" s="4">
        <f t="shared" si="6"/>
        <v>3</v>
      </c>
      <c r="M43" s="4">
        <f t="shared" si="7"/>
        <v>0</v>
      </c>
      <c r="N43" s="4">
        <f t="shared" si="8"/>
        <v>-7.87718</v>
      </c>
      <c r="O43" s="4">
        <f t="shared" si="9"/>
        <v>0</v>
      </c>
      <c r="P43" s="4">
        <f t="shared" si="10"/>
        <v>20.09</v>
      </c>
    </row>
    <row r="44" ht="15.75" customHeight="1">
      <c r="A44" s="4">
        <v>2013.0</v>
      </c>
      <c r="B44" s="4">
        <v>194.0</v>
      </c>
      <c r="C44" s="4">
        <v>13.11</v>
      </c>
      <c r="D44" s="4">
        <v>27.59</v>
      </c>
      <c r="E44" s="4">
        <f t="shared" si="1"/>
        <v>0</v>
      </c>
      <c r="F44" s="4">
        <f t="shared" si="2"/>
        <v>0</v>
      </c>
      <c r="G44" s="4">
        <f t="shared" si="3"/>
        <v>35.6495</v>
      </c>
      <c r="H44" s="4">
        <f t="shared" si="4"/>
        <v>33.01495</v>
      </c>
      <c r="I44" s="4" t="str">
        <f t="shared" si="5"/>
        <v> </v>
      </c>
      <c r="J44" s="4">
        <v>0.0</v>
      </c>
      <c r="K44" s="4">
        <v>19.8</v>
      </c>
      <c r="L44" s="4">
        <f t="shared" si="6"/>
        <v>3</v>
      </c>
      <c r="M44" s="4">
        <f t="shared" si="7"/>
        <v>0</v>
      </c>
      <c r="N44" s="4">
        <f t="shared" si="8"/>
        <v>-2.94344</v>
      </c>
      <c r="O44" s="4">
        <f t="shared" si="9"/>
        <v>0</v>
      </c>
      <c r="P44" s="4">
        <f t="shared" si="10"/>
        <v>19.8</v>
      </c>
    </row>
    <row r="45" ht="15.75" customHeight="1">
      <c r="A45" s="4">
        <v>2013.0</v>
      </c>
      <c r="B45" s="4">
        <v>195.0</v>
      </c>
      <c r="C45" s="4">
        <v>15.64</v>
      </c>
      <c r="D45" s="4">
        <v>23.28</v>
      </c>
      <c r="E45" s="4">
        <f t="shared" si="1"/>
        <v>0</v>
      </c>
      <c r="F45" s="4">
        <f t="shared" si="2"/>
        <v>0</v>
      </c>
      <c r="G45" s="4">
        <f t="shared" si="3"/>
        <v>35.2836</v>
      </c>
      <c r="H45" s="4">
        <f t="shared" si="4"/>
        <v>33.24705</v>
      </c>
      <c r="I45" s="4" t="str">
        <f t="shared" si="5"/>
        <v> </v>
      </c>
      <c r="J45" s="4">
        <v>0.0</v>
      </c>
      <c r="K45" s="4">
        <v>18.67</v>
      </c>
      <c r="L45" s="4">
        <f t="shared" si="6"/>
        <v>3</v>
      </c>
      <c r="M45" s="4">
        <f t="shared" si="7"/>
        <v>1</v>
      </c>
      <c r="N45" s="4">
        <f t="shared" si="8"/>
        <v>7.61767</v>
      </c>
      <c r="O45" s="4">
        <f t="shared" si="9"/>
        <v>0</v>
      </c>
      <c r="P45" s="4">
        <f t="shared" si="10"/>
        <v>18.67</v>
      </c>
    </row>
    <row r="46" ht="15.75" customHeight="1">
      <c r="A46" s="4">
        <v>2013.0</v>
      </c>
      <c r="B46" s="4">
        <v>196.0</v>
      </c>
      <c r="C46" s="4">
        <v>15.54</v>
      </c>
      <c r="D46" s="4">
        <v>22.56</v>
      </c>
      <c r="E46" s="4">
        <f t="shared" si="1"/>
        <v>1</v>
      </c>
      <c r="F46" s="4">
        <f t="shared" si="2"/>
        <v>1</v>
      </c>
      <c r="G46" s="4">
        <f t="shared" si="3"/>
        <v>37.3535</v>
      </c>
      <c r="H46" s="4">
        <f t="shared" si="4"/>
        <v>39.0362</v>
      </c>
      <c r="I46" s="4">
        <f t="shared" si="5"/>
        <v>1.6827</v>
      </c>
      <c r="J46" s="4">
        <v>0.9</v>
      </c>
      <c r="K46" s="4">
        <v>18.79</v>
      </c>
      <c r="L46" s="4">
        <f t="shared" si="6"/>
        <v>8</v>
      </c>
      <c r="M46" s="4">
        <f t="shared" si="7"/>
        <v>1</v>
      </c>
      <c r="N46" s="4">
        <f t="shared" si="8"/>
        <v>8.46517</v>
      </c>
      <c r="O46" s="4">
        <f t="shared" si="9"/>
        <v>0.9</v>
      </c>
      <c r="P46" s="4">
        <f t="shared" si="10"/>
        <v>18.79</v>
      </c>
    </row>
    <row r="47" ht="15.75" customHeight="1">
      <c r="A47" s="4">
        <v>2013.0</v>
      </c>
      <c r="B47" s="4">
        <v>197.0</v>
      </c>
      <c r="C47" s="4">
        <v>16.09</v>
      </c>
      <c r="D47" s="4">
        <v>23.77</v>
      </c>
      <c r="E47" s="4">
        <f t="shared" si="1"/>
        <v>1</v>
      </c>
      <c r="F47" s="4">
        <f t="shared" si="2"/>
        <v>1</v>
      </c>
      <c r="G47" s="4">
        <f t="shared" si="3"/>
        <v>36.7407</v>
      </c>
      <c r="H47" s="4">
        <f t="shared" si="4"/>
        <v>38.3094</v>
      </c>
      <c r="I47" s="4">
        <f t="shared" si="5"/>
        <v>1.5687</v>
      </c>
      <c r="J47" s="4">
        <v>3.0</v>
      </c>
      <c r="K47" s="4">
        <v>18.39</v>
      </c>
      <c r="L47" s="4">
        <f t="shared" si="6"/>
        <v>8</v>
      </c>
      <c r="M47" s="4">
        <f t="shared" si="7"/>
        <v>1</v>
      </c>
      <c r="N47" s="4">
        <f t="shared" si="8"/>
        <v>2.34558</v>
      </c>
      <c r="O47" s="4">
        <f t="shared" si="9"/>
        <v>3</v>
      </c>
      <c r="P47" s="4">
        <f t="shared" si="10"/>
        <v>18.39</v>
      </c>
    </row>
    <row r="48" ht="15.75" customHeight="1">
      <c r="A48" s="4">
        <v>2013.0</v>
      </c>
      <c r="B48" s="4">
        <v>198.0</v>
      </c>
      <c r="C48" s="4">
        <v>11.77</v>
      </c>
      <c r="D48" s="4">
        <v>22.27</v>
      </c>
      <c r="E48" s="4">
        <f t="shared" si="1"/>
        <v>1</v>
      </c>
      <c r="F48" s="4">
        <f t="shared" si="2"/>
        <v>1</v>
      </c>
      <c r="G48" s="4">
        <f t="shared" si="3"/>
        <v>30.8898</v>
      </c>
      <c r="H48" s="4">
        <f t="shared" si="4"/>
        <v>31.9977</v>
      </c>
      <c r="I48" s="4">
        <f t="shared" si="5"/>
        <v>1.1079</v>
      </c>
      <c r="J48" s="4">
        <v>0.2</v>
      </c>
      <c r="K48" s="4">
        <v>17.37</v>
      </c>
      <c r="L48" s="4">
        <f t="shared" si="6"/>
        <v>8</v>
      </c>
      <c r="M48" s="4">
        <f t="shared" si="7"/>
        <v>0</v>
      </c>
      <c r="N48" s="4">
        <f t="shared" si="8"/>
        <v>-0.7862</v>
      </c>
      <c r="O48" s="4">
        <f t="shared" si="9"/>
        <v>0.2</v>
      </c>
      <c r="P48" s="4">
        <f t="shared" si="10"/>
        <v>17.37</v>
      </c>
    </row>
    <row r="49" ht="15.75" customHeight="1">
      <c r="A49" s="4">
        <v>2013.0</v>
      </c>
      <c r="B49" s="4">
        <v>199.0</v>
      </c>
      <c r="C49" s="4">
        <v>8.38</v>
      </c>
      <c r="D49" s="4">
        <v>23.94</v>
      </c>
      <c r="E49" s="4">
        <f t="shared" si="1"/>
        <v>0</v>
      </c>
      <c r="F49" s="4">
        <f t="shared" si="2"/>
        <v>1</v>
      </c>
      <c r="G49" s="4">
        <f t="shared" si="3"/>
        <v>29.0086</v>
      </c>
      <c r="H49" s="4">
        <f t="shared" si="4"/>
        <v>29.87295</v>
      </c>
      <c r="I49" s="4">
        <f t="shared" si="5"/>
        <v>0.86435</v>
      </c>
      <c r="J49" s="4">
        <v>0.0</v>
      </c>
      <c r="K49" s="4">
        <v>16.84</v>
      </c>
      <c r="L49" s="4">
        <f t="shared" si="6"/>
        <v>3</v>
      </c>
      <c r="M49" s="4">
        <f t="shared" si="7"/>
        <v>1</v>
      </c>
      <c r="N49" s="4">
        <f t="shared" si="8"/>
        <v>7.3972</v>
      </c>
      <c r="O49" s="4">
        <f t="shared" si="9"/>
        <v>0</v>
      </c>
      <c r="P49" s="4">
        <f t="shared" si="10"/>
        <v>16.84</v>
      </c>
    </row>
    <row r="50" ht="15.75" customHeight="1">
      <c r="A50" s="4">
        <v>2013.0</v>
      </c>
      <c r="B50" s="4">
        <v>200.0</v>
      </c>
      <c r="C50" s="4">
        <v>10.04</v>
      </c>
      <c r="D50" s="4">
        <v>24.24</v>
      </c>
      <c r="E50" s="4">
        <f t="shared" si="1"/>
        <v>1</v>
      </c>
      <c r="F50" s="4">
        <f t="shared" si="2"/>
        <v>1</v>
      </c>
      <c r="G50" s="4">
        <f t="shared" si="3"/>
        <v>30.9129</v>
      </c>
      <c r="H50" s="4">
        <f t="shared" si="4"/>
        <v>33.36485</v>
      </c>
      <c r="I50" s="4">
        <f t="shared" si="5"/>
        <v>2.45195</v>
      </c>
      <c r="J50" s="4">
        <v>0.2</v>
      </c>
      <c r="K50" s="4">
        <v>17.11</v>
      </c>
      <c r="L50" s="4">
        <f t="shared" si="6"/>
        <v>8</v>
      </c>
      <c r="M50" s="4">
        <f t="shared" si="7"/>
        <v>1</v>
      </c>
      <c r="N50" s="4">
        <f t="shared" si="8"/>
        <v>9.70233</v>
      </c>
      <c r="O50" s="4">
        <f t="shared" si="9"/>
        <v>0.2</v>
      </c>
      <c r="P50" s="4">
        <f t="shared" si="10"/>
        <v>17.11</v>
      </c>
    </row>
    <row r="51" ht="15.75" customHeight="1">
      <c r="A51" s="4">
        <v>2013.0</v>
      </c>
      <c r="B51" s="4">
        <v>201.0</v>
      </c>
      <c r="C51" s="4">
        <v>14.44</v>
      </c>
      <c r="D51" s="4">
        <v>20.68</v>
      </c>
      <c r="E51" s="4">
        <f t="shared" si="1"/>
        <v>1</v>
      </c>
      <c r="F51" s="4">
        <f t="shared" si="2"/>
        <v>1</v>
      </c>
      <c r="G51" s="4">
        <f t="shared" si="3"/>
        <v>30.9202</v>
      </c>
      <c r="H51" s="4">
        <f t="shared" si="4"/>
        <v>33.4004</v>
      </c>
      <c r="I51" s="4">
        <f t="shared" si="5"/>
        <v>2.4802</v>
      </c>
      <c r="J51" s="4">
        <v>6.8</v>
      </c>
      <c r="K51" s="4">
        <v>16.13</v>
      </c>
      <c r="L51" s="4">
        <f t="shared" si="6"/>
        <v>8</v>
      </c>
      <c r="M51" s="4">
        <f t="shared" si="7"/>
        <v>1</v>
      </c>
      <c r="N51" s="4">
        <f t="shared" si="8"/>
        <v>11.24956</v>
      </c>
      <c r="O51" s="4">
        <f t="shared" si="9"/>
        <v>6.8</v>
      </c>
      <c r="P51" s="4">
        <f t="shared" si="10"/>
        <v>16.13</v>
      </c>
    </row>
    <row r="52" ht="15.75" customHeight="1">
      <c r="A52" s="4">
        <v>2013.0</v>
      </c>
      <c r="B52" s="4">
        <v>202.0</v>
      </c>
      <c r="C52" s="4">
        <v>11.77</v>
      </c>
      <c r="D52" s="4">
        <v>15.97</v>
      </c>
      <c r="E52" s="4">
        <f t="shared" si="1"/>
        <v>1</v>
      </c>
      <c r="F52" s="4">
        <f t="shared" si="2"/>
        <v>1</v>
      </c>
      <c r="G52" s="4">
        <f t="shared" si="3"/>
        <v>28.4682</v>
      </c>
      <c r="H52" s="4">
        <f t="shared" si="4"/>
        <v>31.77285</v>
      </c>
      <c r="I52" s="4">
        <f t="shared" si="5"/>
        <v>3.30465</v>
      </c>
      <c r="J52" s="4">
        <v>10.9</v>
      </c>
      <c r="K52" s="4">
        <v>13.97</v>
      </c>
      <c r="L52" s="4">
        <f t="shared" si="6"/>
        <v>8</v>
      </c>
      <c r="M52" s="4">
        <f t="shared" si="7"/>
        <v>1</v>
      </c>
      <c r="N52" s="4">
        <f t="shared" si="8"/>
        <v>12.1322</v>
      </c>
      <c r="O52" s="4">
        <f t="shared" si="9"/>
        <v>10.9</v>
      </c>
      <c r="P52" s="4">
        <f t="shared" si="10"/>
        <v>13.97</v>
      </c>
    </row>
    <row r="53" ht="15.75" customHeight="1">
      <c r="A53" s="4">
        <v>2013.0</v>
      </c>
      <c r="B53" s="4">
        <v>203.0</v>
      </c>
      <c r="C53" s="4">
        <v>11.43</v>
      </c>
      <c r="D53" s="4">
        <v>19.18</v>
      </c>
      <c r="E53" s="4">
        <f t="shared" si="1"/>
        <v>1</v>
      </c>
      <c r="F53" s="4">
        <f t="shared" si="2"/>
        <v>1</v>
      </c>
      <c r="G53" s="4">
        <f t="shared" si="3"/>
        <v>32.6693</v>
      </c>
      <c r="H53" s="4">
        <f t="shared" si="4"/>
        <v>36.14335</v>
      </c>
      <c r="I53" s="4">
        <f t="shared" si="5"/>
        <v>3.47405</v>
      </c>
      <c r="J53" s="4">
        <v>4.1</v>
      </c>
      <c r="K53" s="4">
        <v>14.16</v>
      </c>
      <c r="L53" s="4">
        <f t="shared" si="6"/>
        <v>8</v>
      </c>
      <c r="M53" s="4">
        <f t="shared" si="7"/>
        <v>1</v>
      </c>
      <c r="N53" s="4">
        <f t="shared" si="8"/>
        <v>10.16413</v>
      </c>
      <c r="O53" s="4">
        <f t="shared" si="9"/>
        <v>4.1</v>
      </c>
      <c r="P53" s="4">
        <f t="shared" si="10"/>
        <v>14.16</v>
      </c>
    </row>
    <row r="54" ht="15.75" customHeight="1">
      <c r="A54" s="4">
        <v>2013.0</v>
      </c>
      <c r="B54" s="4">
        <v>204.0</v>
      </c>
      <c r="C54" s="4">
        <v>12.3</v>
      </c>
      <c r="D54" s="4">
        <v>20.15</v>
      </c>
      <c r="E54" s="4">
        <f t="shared" si="1"/>
        <v>1</v>
      </c>
      <c r="F54" s="4">
        <f t="shared" si="2"/>
        <v>1</v>
      </c>
      <c r="G54" s="4">
        <f t="shared" si="3"/>
        <v>30.6767</v>
      </c>
      <c r="H54" s="4">
        <f t="shared" si="4"/>
        <v>33.55695</v>
      </c>
      <c r="I54" s="4">
        <f t="shared" si="5"/>
        <v>2.88025</v>
      </c>
      <c r="J54" s="4">
        <v>0.9</v>
      </c>
      <c r="K54" s="4">
        <v>15.0</v>
      </c>
      <c r="L54" s="4">
        <f t="shared" si="6"/>
        <v>8</v>
      </c>
      <c r="M54" s="4">
        <f t="shared" si="7"/>
        <v>1</v>
      </c>
      <c r="N54" s="4">
        <f t="shared" si="8"/>
        <v>9.81006</v>
      </c>
      <c r="O54" s="4">
        <f t="shared" si="9"/>
        <v>0.9</v>
      </c>
      <c r="P54" s="4">
        <f t="shared" si="10"/>
        <v>15</v>
      </c>
    </row>
    <row r="55" ht="15.75" customHeight="1">
      <c r="A55" s="4">
        <v>2013.0</v>
      </c>
      <c r="B55" s="4">
        <v>205.0</v>
      </c>
      <c r="C55" s="4">
        <v>11.17</v>
      </c>
      <c r="D55" s="4">
        <v>22.08</v>
      </c>
      <c r="E55" s="4">
        <f t="shared" si="1"/>
        <v>1</v>
      </c>
      <c r="F55" s="4">
        <f t="shared" si="2"/>
        <v>1</v>
      </c>
      <c r="G55" s="4">
        <f t="shared" si="3"/>
        <v>31.4177</v>
      </c>
      <c r="H55" s="4">
        <f t="shared" si="4"/>
        <v>32.6809</v>
      </c>
      <c r="I55" s="4">
        <f t="shared" si="5"/>
        <v>1.2632</v>
      </c>
      <c r="J55" s="4">
        <v>3.5</v>
      </c>
      <c r="K55" s="4">
        <v>15.72</v>
      </c>
      <c r="L55" s="4">
        <f t="shared" si="6"/>
        <v>8</v>
      </c>
      <c r="M55" s="4">
        <f t="shared" si="7"/>
        <v>1</v>
      </c>
      <c r="N55" s="4">
        <f t="shared" si="8"/>
        <v>11.5067</v>
      </c>
      <c r="O55" s="4">
        <f t="shared" si="9"/>
        <v>3.5</v>
      </c>
      <c r="P55" s="4">
        <f t="shared" si="10"/>
        <v>15.72</v>
      </c>
    </row>
    <row r="56" ht="15.75" customHeight="1">
      <c r="A56" s="4">
        <v>2013.0</v>
      </c>
      <c r="B56" s="4">
        <v>206.0</v>
      </c>
      <c r="C56" s="4">
        <v>11.17</v>
      </c>
      <c r="D56" s="4">
        <v>21.85</v>
      </c>
      <c r="E56" s="4">
        <f t="shared" si="1"/>
        <v>1</v>
      </c>
      <c r="F56" s="4">
        <f t="shared" si="2"/>
        <v>1</v>
      </c>
      <c r="G56" s="4">
        <f t="shared" si="3"/>
        <v>27.646</v>
      </c>
      <c r="H56" s="4">
        <f t="shared" si="4"/>
        <v>27.7826</v>
      </c>
      <c r="I56" s="4">
        <f t="shared" si="5"/>
        <v>0.1366</v>
      </c>
      <c r="J56" s="4">
        <v>1.6</v>
      </c>
      <c r="K56" s="4">
        <v>16.06</v>
      </c>
      <c r="L56" s="4">
        <f t="shared" si="6"/>
        <v>8</v>
      </c>
      <c r="M56" s="4">
        <f t="shared" si="7"/>
        <v>1</v>
      </c>
      <c r="N56" s="4">
        <f t="shared" si="8"/>
        <v>10.98242</v>
      </c>
      <c r="O56" s="4">
        <f t="shared" si="9"/>
        <v>1.6</v>
      </c>
      <c r="P56" s="4">
        <f t="shared" si="10"/>
        <v>16.06</v>
      </c>
    </row>
    <row r="57" ht="15.75" customHeight="1">
      <c r="A57" s="4">
        <v>2013.0</v>
      </c>
      <c r="B57" s="4">
        <v>207.0</v>
      </c>
      <c r="C57" s="4">
        <v>14.63</v>
      </c>
      <c r="D57" s="4">
        <v>22.68</v>
      </c>
      <c r="E57" s="4">
        <f t="shared" si="1"/>
        <v>1</v>
      </c>
      <c r="F57" s="4">
        <f t="shared" si="2"/>
        <v>1</v>
      </c>
      <c r="G57" s="4">
        <f t="shared" si="3"/>
        <v>30.526</v>
      </c>
      <c r="H57" s="4">
        <f t="shared" si="4"/>
        <v>30.5873</v>
      </c>
      <c r="I57" s="4">
        <f t="shared" si="5"/>
        <v>0.0613</v>
      </c>
      <c r="J57" s="4">
        <v>9.9</v>
      </c>
      <c r="K57" s="4">
        <v>17.12</v>
      </c>
      <c r="L57" s="4">
        <f t="shared" si="6"/>
        <v>8</v>
      </c>
      <c r="M57" s="4">
        <f t="shared" si="7"/>
        <v>1</v>
      </c>
      <c r="N57" s="4">
        <f t="shared" si="8"/>
        <v>7.18246</v>
      </c>
      <c r="O57" s="4">
        <f t="shared" si="9"/>
        <v>9.9</v>
      </c>
      <c r="P57" s="4">
        <f t="shared" si="10"/>
        <v>17.12</v>
      </c>
    </row>
    <row r="58" ht="15.75" customHeight="1">
      <c r="A58" s="4">
        <v>2013.0</v>
      </c>
      <c r="B58" s="4">
        <v>208.0</v>
      </c>
      <c r="C58" s="4">
        <v>13.84</v>
      </c>
      <c r="D58" s="4">
        <v>17.03</v>
      </c>
      <c r="E58" s="4">
        <f t="shared" si="1"/>
        <v>1</v>
      </c>
      <c r="F58" s="4">
        <f t="shared" si="2"/>
        <v>0</v>
      </c>
      <c r="G58" s="4">
        <f t="shared" si="3"/>
        <v>26.0224</v>
      </c>
      <c r="H58" s="4">
        <f t="shared" si="4"/>
        <v>25.78225</v>
      </c>
      <c r="I58" s="4" t="str">
        <f t="shared" si="5"/>
        <v> </v>
      </c>
      <c r="J58" s="4">
        <v>1.5</v>
      </c>
      <c r="K58" s="4">
        <v>15.02</v>
      </c>
      <c r="L58" s="4">
        <f t="shared" si="6"/>
        <v>8</v>
      </c>
      <c r="M58" s="4">
        <f t="shared" si="7"/>
        <v>0</v>
      </c>
      <c r="N58" s="4">
        <f t="shared" si="8"/>
        <v>-0.84828</v>
      </c>
      <c r="O58" s="4">
        <f t="shared" si="9"/>
        <v>1.5</v>
      </c>
      <c r="P58" s="4">
        <f t="shared" si="10"/>
        <v>15.02</v>
      </c>
    </row>
    <row r="59" ht="15.75" customHeight="1">
      <c r="A59" s="4">
        <v>2013.0</v>
      </c>
      <c r="B59" s="4">
        <v>209.0</v>
      </c>
      <c r="C59" s="4">
        <v>13.9</v>
      </c>
      <c r="D59" s="4">
        <v>19.79</v>
      </c>
      <c r="E59" s="4">
        <f t="shared" si="1"/>
        <v>0</v>
      </c>
      <c r="F59" s="4">
        <f t="shared" si="2"/>
        <v>0</v>
      </c>
      <c r="G59" s="4">
        <f t="shared" si="3"/>
        <v>31.0511</v>
      </c>
      <c r="H59" s="4">
        <f t="shared" si="4"/>
        <v>28.1229</v>
      </c>
      <c r="I59" s="4" t="str">
        <f t="shared" si="5"/>
        <v> </v>
      </c>
      <c r="J59" s="4">
        <v>0.0</v>
      </c>
      <c r="K59" s="4">
        <v>16.24</v>
      </c>
      <c r="L59" s="4">
        <f t="shared" si="6"/>
        <v>3</v>
      </c>
      <c r="M59" s="4">
        <f t="shared" si="7"/>
        <v>0</v>
      </c>
      <c r="N59" s="4">
        <f t="shared" si="8"/>
        <v>-1.13552</v>
      </c>
      <c r="O59" s="4">
        <f t="shared" si="9"/>
        <v>0</v>
      </c>
      <c r="P59" s="4">
        <f t="shared" si="10"/>
        <v>16.24</v>
      </c>
    </row>
    <row r="60" ht="15.75" customHeight="1">
      <c r="A60" s="4">
        <v>2013.0</v>
      </c>
      <c r="B60" s="4">
        <v>210.0</v>
      </c>
      <c r="C60" s="4">
        <v>14.66</v>
      </c>
      <c r="D60" s="4">
        <v>19.15</v>
      </c>
      <c r="E60" s="4">
        <f t="shared" si="1"/>
        <v>0</v>
      </c>
      <c r="F60" s="4">
        <f t="shared" si="2"/>
        <v>0</v>
      </c>
      <c r="G60" s="4">
        <f t="shared" si="3"/>
        <v>31.4178</v>
      </c>
      <c r="H60" s="4">
        <f t="shared" si="4"/>
        <v>29.10885</v>
      </c>
      <c r="I60" s="4" t="str">
        <f t="shared" si="5"/>
        <v> </v>
      </c>
      <c r="J60" s="4">
        <v>0.0</v>
      </c>
      <c r="K60" s="4">
        <v>16.64</v>
      </c>
      <c r="L60" s="4">
        <f t="shared" si="6"/>
        <v>3</v>
      </c>
      <c r="M60" s="4">
        <f t="shared" si="7"/>
        <v>1</v>
      </c>
      <c r="N60" s="4">
        <f t="shared" si="8"/>
        <v>7.54875</v>
      </c>
      <c r="O60" s="4">
        <f t="shared" si="9"/>
        <v>0</v>
      </c>
      <c r="P60" s="4">
        <f t="shared" si="10"/>
        <v>16.64</v>
      </c>
    </row>
    <row r="61" ht="15.75" customHeight="1">
      <c r="A61" s="4">
        <v>2013.0</v>
      </c>
      <c r="B61" s="4">
        <v>211.0</v>
      </c>
      <c r="C61" s="4">
        <v>14.57</v>
      </c>
      <c r="D61" s="4">
        <v>24.47</v>
      </c>
      <c r="E61" s="4">
        <f t="shared" si="1"/>
        <v>1</v>
      </c>
      <c r="F61" s="4">
        <f t="shared" si="2"/>
        <v>0</v>
      </c>
      <c r="G61" s="4">
        <f t="shared" si="3"/>
        <v>37.3319</v>
      </c>
      <c r="H61" s="4">
        <f t="shared" si="4"/>
        <v>35.21055</v>
      </c>
      <c r="I61" s="4" t="str">
        <f t="shared" si="5"/>
        <v> </v>
      </c>
      <c r="J61" s="4">
        <v>1.2</v>
      </c>
      <c r="K61" s="4">
        <v>17.97</v>
      </c>
      <c r="L61" s="4">
        <f t="shared" si="6"/>
        <v>8</v>
      </c>
      <c r="M61" s="4">
        <f t="shared" si="7"/>
        <v>1</v>
      </c>
      <c r="N61" s="4">
        <f t="shared" si="8"/>
        <v>4.65622</v>
      </c>
      <c r="O61" s="4">
        <f t="shared" si="9"/>
        <v>1.2</v>
      </c>
      <c r="P61" s="4">
        <f t="shared" si="10"/>
        <v>17.97</v>
      </c>
    </row>
    <row r="62" ht="15.75" customHeight="1">
      <c r="A62" s="4">
        <v>2013.0</v>
      </c>
      <c r="B62" s="4">
        <v>212.0</v>
      </c>
      <c r="C62" s="4">
        <v>14.5</v>
      </c>
      <c r="D62" s="4">
        <v>21.75</v>
      </c>
      <c r="E62" s="4">
        <f t="shared" si="1"/>
        <v>1</v>
      </c>
      <c r="F62" s="4">
        <f t="shared" si="2"/>
        <v>0</v>
      </c>
      <c r="G62" s="4">
        <f t="shared" si="3"/>
        <v>32.9854</v>
      </c>
      <c r="H62" s="4">
        <f t="shared" si="4"/>
        <v>30.79565</v>
      </c>
      <c r="I62" s="4" t="str">
        <f t="shared" si="5"/>
        <v> </v>
      </c>
      <c r="J62" s="4">
        <v>0.1</v>
      </c>
      <c r="K62" s="4">
        <v>17.34</v>
      </c>
      <c r="L62" s="4">
        <f t="shared" si="6"/>
        <v>8</v>
      </c>
      <c r="M62" s="4">
        <f t="shared" si="7"/>
        <v>0</v>
      </c>
      <c r="N62" s="4">
        <f t="shared" si="8"/>
        <v>-4.67185</v>
      </c>
      <c r="O62" s="4">
        <f t="shared" si="9"/>
        <v>0.1</v>
      </c>
      <c r="P62" s="4">
        <f t="shared" si="10"/>
        <v>17.34</v>
      </c>
    </row>
    <row r="63" ht="15.75" customHeight="1">
      <c r="A63" s="4">
        <v>2013.0</v>
      </c>
      <c r="B63" s="4">
        <v>213.0</v>
      </c>
      <c r="C63" s="4">
        <v>13.31</v>
      </c>
      <c r="D63" s="4">
        <v>26.13</v>
      </c>
      <c r="E63" s="4">
        <f t="shared" si="1"/>
        <v>0</v>
      </c>
      <c r="F63" s="4">
        <f t="shared" si="2"/>
        <v>0</v>
      </c>
      <c r="G63" s="4">
        <f t="shared" si="3"/>
        <v>33.7752</v>
      </c>
      <c r="H63" s="4">
        <f t="shared" si="4"/>
        <v>29.70755</v>
      </c>
      <c r="I63" s="4" t="str">
        <f t="shared" si="5"/>
        <v> </v>
      </c>
      <c r="J63" s="4">
        <v>0.0</v>
      </c>
      <c r="K63" s="4">
        <v>18.99</v>
      </c>
      <c r="L63" s="4">
        <f t="shared" si="6"/>
        <v>3</v>
      </c>
      <c r="M63" s="4">
        <f t="shared" si="7"/>
        <v>0</v>
      </c>
      <c r="N63" s="4">
        <f t="shared" si="8"/>
        <v>-10.44893</v>
      </c>
      <c r="O63" s="4">
        <f t="shared" si="9"/>
        <v>0</v>
      </c>
      <c r="P63" s="4">
        <f t="shared" si="10"/>
        <v>18.99</v>
      </c>
    </row>
    <row r="64" ht="15.75" customHeight="1">
      <c r="A64" s="4">
        <v>2013.0</v>
      </c>
      <c r="B64" s="4">
        <v>214.0</v>
      </c>
      <c r="C64" s="4">
        <v>12.83</v>
      </c>
      <c r="D64" s="4">
        <v>23.75</v>
      </c>
      <c r="E64" s="4">
        <f t="shared" si="1"/>
        <v>0</v>
      </c>
      <c r="F64" s="4">
        <f t="shared" si="2"/>
        <v>0</v>
      </c>
      <c r="G64" s="4">
        <f t="shared" si="3"/>
        <v>35.0845</v>
      </c>
      <c r="H64" s="4">
        <f t="shared" si="4"/>
        <v>31.56025</v>
      </c>
      <c r="I64" s="4" t="str">
        <f t="shared" si="5"/>
        <v> </v>
      </c>
      <c r="J64" s="4">
        <v>0.0</v>
      </c>
      <c r="K64" s="4">
        <v>18.35</v>
      </c>
      <c r="L64" s="4">
        <f t="shared" si="6"/>
        <v>3</v>
      </c>
      <c r="M64" s="4">
        <f t="shared" si="7"/>
        <v>0</v>
      </c>
      <c r="N64" s="4">
        <f t="shared" si="8"/>
        <v>-5.38253</v>
      </c>
      <c r="O64" s="4">
        <f t="shared" si="9"/>
        <v>0</v>
      </c>
      <c r="P64" s="4">
        <f t="shared" si="10"/>
        <v>18.35</v>
      </c>
    </row>
    <row r="65" ht="15.75" customHeight="1">
      <c r="A65" s="4">
        <v>2013.0</v>
      </c>
      <c r="B65" s="4">
        <v>215.0</v>
      </c>
      <c r="C65" s="4">
        <v>10.17</v>
      </c>
      <c r="D65" s="4">
        <v>24.93</v>
      </c>
      <c r="E65" s="4">
        <f t="shared" si="1"/>
        <v>0</v>
      </c>
      <c r="F65" s="4">
        <f t="shared" si="2"/>
        <v>0</v>
      </c>
      <c r="G65" s="4">
        <f t="shared" si="3"/>
        <v>37.7833</v>
      </c>
      <c r="H65" s="4">
        <f t="shared" si="4"/>
        <v>33.9163</v>
      </c>
      <c r="I65" s="4" t="str">
        <f t="shared" si="5"/>
        <v> </v>
      </c>
      <c r="J65" s="4">
        <v>0.0</v>
      </c>
      <c r="K65" s="4">
        <v>18.06</v>
      </c>
      <c r="L65" s="4">
        <f t="shared" si="6"/>
        <v>3</v>
      </c>
      <c r="M65" s="4">
        <f t="shared" si="7"/>
        <v>0</v>
      </c>
      <c r="N65" s="4">
        <f t="shared" si="8"/>
        <v>-2.44375</v>
      </c>
      <c r="O65" s="4">
        <f t="shared" si="9"/>
        <v>0</v>
      </c>
      <c r="P65" s="4">
        <f t="shared" si="10"/>
        <v>18.06</v>
      </c>
    </row>
    <row r="66" ht="15.75" customHeight="1">
      <c r="A66" s="4">
        <v>2013.0</v>
      </c>
      <c r="B66" s="4">
        <v>216.0</v>
      </c>
      <c r="C66" s="4">
        <v>16.67</v>
      </c>
      <c r="D66" s="4">
        <v>22.89</v>
      </c>
      <c r="E66" s="4">
        <f t="shared" si="1"/>
        <v>0</v>
      </c>
      <c r="F66" s="4">
        <f t="shared" si="2"/>
        <v>0</v>
      </c>
      <c r="G66" s="4">
        <f t="shared" si="3"/>
        <v>40.6765</v>
      </c>
      <c r="H66" s="4">
        <f t="shared" si="4"/>
        <v>37.54565</v>
      </c>
      <c r="I66" s="4" t="str">
        <f t="shared" si="5"/>
        <v> </v>
      </c>
      <c r="J66" s="4">
        <v>0.0</v>
      </c>
      <c r="K66" s="4">
        <v>19.12</v>
      </c>
      <c r="L66" s="4">
        <f t="shared" si="6"/>
        <v>3</v>
      </c>
      <c r="M66" s="4">
        <f t="shared" si="7"/>
        <v>1</v>
      </c>
      <c r="N66" s="4">
        <f t="shared" si="8"/>
        <v>6.27406</v>
      </c>
      <c r="O66" s="4">
        <f t="shared" si="9"/>
        <v>0</v>
      </c>
      <c r="P66" s="4">
        <f t="shared" si="10"/>
        <v>19.12</v>
      </c>
    </row>
    <row r="67" ht="15.75" customHeight="1">
      <c r="A67" s="4">
        <v>2013.0</v>
      </c>
      <c r="B67" s="4">
        <v>217.0</v>
      </c>
      <c r="C67" s="4">
        <v>15.77</v>
      </c>
      <c r="D67" s="4">
        <v>23.45</v>
      </c>
      <c r="E67" s="4">
        <f t="shared" si="1"/>
        <v>1</v>
      </c>
      <c r="F67" s="4">
        <f t="shared" si="2"/>
        <v>0</v>
      </c>
      <c r="G67" s="4">
        <f t="shared" si="3"/>
        <v>45.5658</v>
      </c>
      <c r="H67" s="4">
        <f t="shared" si="4"/>
        <v>42.88845</v>
      </c>
      <c r="I67" s="4" t="str">
        <f t="shared" si="5"/>
        <v> </v>
      </c>
      <c r="J67" s="4">
        <v>2.9</v>
      </c>
      <c r="K67" s="4">
        <v>19.02</v>
      </c>
      <c r="L67" s="4">
        <f t="shared" si="6"/>
        <v>8</v>
      </c>
      <c r="M67" s="4">
        <f t="shared" si="7"/>
        <v>1</v>
      </c>
      <c r="N67" s="4">
        <f t="shared" si="8"/>
        <v>4.35613</v>
      </c>
      <c r="O67" s="4">
        <f t="shared" si="9"/>
        <v>2.9</v>
      </c>
      <c r="P67" s="4">
        <f t="shared" si="10"/>
        <v>19.02</v>
      </c>
    </row>
    <row r="68" ht="15.75" customHeight="1">
      <c r="A68" s="4">
        <v>2013.0</v>
      </c>
      <c r="B68" s="4">
        <v>218.0</v>
      </c>
      <c r="C68" s="4">
        <v>14.74</v>
      </c>
      <c r="D68" s="4">
        <v>26.92</v>
      </c>
      <c r="E68" s="4">
        <f t="shared" si="1"/>
        <v>1</v>
      </c>
      <c r="F68" s="4">
        <f t="shared" si="2"/>
        <v>0</v>
      </c>
      <c r="G68" s="4">
        <f t="shared" si="3"/>
        <v>46.0175</v>
      </c>
      <c r="H68" s="4">
        <f t="shared" si="4"/>
        <v>42.28745</v>
      </c>
      <c r="I68" s="4" t="str">
        <f t="shared" si="5"/>
        <v> </v>
      </c>
      <c r="J68" s="4">
        <v>0.2</v>
      </c>
      <c r="K68" s="4">
        <v>19.56</v>
      </c>
      <c r="L68" s="4">
        <f t="shared" si="6"/>
        <v>8</v>
      </c>
      <c r="M68" s="4">
        <f t="shared" si="7"/>
        <v>0</v>
      </c>
      <c r="N68" s="4">
        <f t="shared" si="8"/>
        <v>-6.69499</v>
      </c>
      <c r="O68" s="4">
        <f t="shared" si="9"/>
        <v>0.2</v>
      </c>
      <c r="P68" s="4">
        <f t="shared" si="10"/>
        <v>19.56</v>
      </c>
    </row>
    <row r="69" ht="15.75" customHeight="1">
      <c r="A69" s="4">
        <v>2013.0</v>
      </c>
      <c r="B69" s="4">
        <v>219.0</v>
      </c>
      <c r="C69" s="4">
        <v>14.57</v>
      </c>
      <c r="D69" s="4">
        <v>28.55</v>
      </c>
      <c r="E69" s="4">
        <f t="shared" si="1"/>
        <v>0</v>
      </c>
      <c r="F69" s="4">
        <f t="shared" si="2"/>
        <v>0</v>
      </c>
      <c r="G69" s="4">
        <f t="shared" si="3"/>
        <v>47.5462</v>
      </c>
      <c r="H69" s="4">
        <f t="shared" si="4"/>
        <v>42.1511</v>
      </c>
      <c r="I69" s="4" t="str">
        <f t="shared" si="5"/>
        <v> </v>
      </c>
      <c r="J69" s="4">
        <v>0.0</v>
      </c>
      <c r="K69" s="4">
        <v>21.01</v>
      </c>
      <c r="L69" s="4">
        <f t="shared" si="6"/>
        <v>3</v>
      </c>
      <c r="M69" s="4">
        <f t="shared" si="7"/>
        <v>0</v>
      </c>
      <c r="N69" s="4">
        <f t="shared" si="8"/>
        <v>-11.46166</v>
      </c>
      <c r="O69" s="4">
        <f t="shared" si="9"/>
        <v>0</v>
      </c>
      <c r="P69" s="4">
        <f t="shared" si="10"/>
        <v>21.01</v>
      </c>
    </row>
    <row r="70" ht="15.75" customHeight="1">
      <c r="A70" s="4">
        <v>2013.0</v>
      </c>
      <c r="B70" s="4">
        <v>220.0</v>
      </c>
      <c r="C70" s="4">
        <v>13.37</v>
      </c>
      <c r="D70" s="4">
        <v>28.53</v>
      </c>
      <c r="E70" s="4">
        <f t="shared" si="1"/>
        <v>0</v>
      </c>
      <c r="F70" s="4">
        <f t="shared" si="2"/>
        <v>0</v>
      </c>
      <c r="G70" s="4">
        <f t="shared" si="3"/>
        <v>43.1521</v>
      </c>
      <c r="H70" s="4">
        <f t="shared" si="4"/>
        <v>37.73125</v>
      </c>
      <c r="I70" s="4" t="str">
        <f t="shared" si="5"/>
        <v> </v>
      </c>
      <c r="J70" s="4">
        <v>0.0</v>
      </c>
      <c r="K70" s="4">
        <v>20.92</v>
      </c>
      <c r="L70" s="4">
        <f t="shared" si="6"/>
        <v>3</v>
      </c>
      <c r="M70" s="4">
        <f t="shared" si="7"/>
        <v>0</v>
      </c>
      <c r="N70" s="4">
        <f t="shared" si="8"/>
        <v>-8.51089</v>
      </c>
      <c r="O70" s="4">
        <f t="shared" si="9"/>
        <v>0</v>
      </c>
      <c r="P70" s="4">
        <f t="shared" si="10"/>
        <v>20.92</v>
      </c>
    </row>
    <row r="71" ht="15.75" customHeight="1">
      <c r="A71" s="4">
        <v>2013.0</v>
      </c>
      <c r="B71" s="4">
        <v>221.0</v>
      </c>
      <c r="C71" s="4">
        <v>12.11</v>
      </c>
      <c r="D71" s="4">
        <v>30.88</v>
      </c>
      <c r="E71" s="4">
        <f t="shared" si="1"/>
        <v>0</v>
      </c>
      <c r="F71" s="4">
        <f t="shared" si="2"/>
        <v>0</v>
      </c>
      <c r="G71" s="4">
        <f t="shared" si="3"/>
        <v>45.9079</v>
      </c>
      <c r="H71" s="4">
        <f t="shared" si="4"/>
        <v>42.4984</v>
      </c>
      <c r="I71" s="4" t="str">
        <f t="shared" si="5"/>
        <v> </v>
      </c>
      <c r="J71" s="4">
        <v>0.0</v>
      </c>
      <c r="K71" s="4">
        <v>21.51</v>
      </c>
      <c r="L71" s="4">
        <f t="shared" si="6"/>
        <v>3</v>
      </c>
      <c r="M71" s="4">
        <f t="shared" si="7"/>
        <v>0</v>
      </c>
      <c r="N71" s="4">
        <f t="shared" si="8"/>
        <v>-6.84215</v>
      </c>
      <c r="O71" s="4">
        <f t="shared" si="9"/>
        <v>0</v>
      </c>
      <c r="P71" s="4">
        <f t="shared" si="10"/>
        <v>21.51</v>
      </c>
    </row>
    <row r="72" ht="15.75" customHeight="1">
      <c r="A72" s="4">
        <v>2013.0</v>
      </c>
      <c r="B72" s="4">
        <v>222.0</v>
      </c>
      <c r="C72" s="4">
        <v>16.84</v>
      </c>
      <c r="D72" s="4">
        <v>29.08</v>
      </c>
      <c r="E72" s="4">
        <f t="shared" si="1"/>
        <v>0</v>
      </c>
      <c r="F72" s="4">
        <f t="shared" si="2"/>
        <v>0</v>
      </c>
      <c r="G72" s="4">
        <f t="shared" si="3"/>
        <v>45.076</v>
      </c>
      <c r="H72" s="4">
        <f t="shared" si="4"/>
        <v>42.5963</v>
      </c>
      <c r="I72" s="4" t="str">
        <f t="shared" si="5"/>
        <v> </v>
      </c>
      <c r="J72" s="4">
        <v>0.0</v>
      </c>
      <c r="K72" s="4">
        <v>22.81</v>
      </c>
      <c r="L72" s="4">
        <f t="shared" si="6"/>
        <v>3</v>
      </c>
      <c r="M72" s="4">
        <f t="shared" si="7"/>
        <v>0</v>
      </c>
      <c r="N72" s="4">
        <f t="shared" si="8"/>
        <v>-0.3576</v>
      </c>
      <c r="O72" s="4">
        <f t="shared" si="9"/>
        <v>0</v>
      </c>
      <c r="P72" s="4">
        <f t="shared" si="10"/>
        <v>22.81</v>
      </c>
    </row>
    <row r="73" ht="15.75" customHeight="1">
      <c r="A73" s="4">
        <v>2013.0</v>
      </c>
      <c r="B73" s="4">
        <v>223.0</v>
      </c>
      <c r="C73" s="4">
        <v>14.23</v>
      </c>
      <c r="D73" s="4">
        <v>31.37</v>
      </c>
      <c r="E73" s="4">
        <f t="shared" si="1"/>
        <v>1</v>
      </c>
      <c r="F73" s="4">
        <f t="shared" si="2"/>
        <v>0</v>
      </c>
      <c r="G73" s="4">
        <f t="shared" si="3"/>
        <v>44.362</v>
      </c>
      <c r="H73" s="4">
        <f t="shared" si="4"/>
        <v>42.4174</v>
      </c>
      <c r="I73" s="4" t="str">
        <f t="shared" si="5"/>
        <v> </v>
      </c>
      <c r="J73" s="4">
        <v>18.2</v>
      </c>
      <c r="K73" s="4">
        <v>22.26</v>
      </c>
      <c r="L73" s="4">
        <f t="shared" si="6"/>
        <v>8</v>
      </c>
      <c r="M73" s="4">
        <f t="shared" si="7"/>
        <v>0</v>
      </c>
      <c r="N73" s="4">
        <f t="shared" si="8"/>
        <v>-2.91064</v>
      </c>
      <c r="O73" s="4">
        <f t="shared" si="9"/>
        <v>18.2</v>
      </c>
      <c r="P73" s="4">
        <f t="shared" si="10"/>
        <v>22.26</v>
      </c>
    </row>
    <row r="74" ht="15.75" customHeight="1">
      <c r="A74" s="4">
        <v>2013.0</v>
      </c>
      <c r="B74" s="4">
        <v>224.0</v>
      </c>
      <c r="C74" s="4">
        <v>15.04</v>
      </c>
      <c r="D74" s="4">
        <v>24.2</v>
      </c>
      <c r="E74" s="4">
        <f t="shared" si="1"/>
        <v>0</v>
      </c>
      <c r="F74" s="4">
        <f t="shared" si="2"/>
        <v>0</v>
      </c>
      <c r="G74" s="4">
        <f t="shared" si="3"/>
        <v>37.0501</v>
      </c>
      <c r="H74" s="4">
        <f t="shared" si="4"/>
        <v>33.84895</v>
      </c>
      <c r="I74" s="4" t="str">
        <f t="shared" si="5"/>
        <v> </v>
      </c>
      <c r="J74" s="4">
        <v>0.0</v>
      </c>
      <c r="K74" s="4">
        <v>19.46</v>
      </c>
      <c r="L74" s="4">
        <f t="shared" si="6"/>
        <v>3</v>
      </c>
      <c r="M74" s="4">
        <f t="shared" si="7"/>
        <v>1</v>
      </c>
      <c r="N74" s="4">
        <f t="shared" si="8"/>
        <v>5.35152</v>
      </c>
      <c r="O74" s="4">
        <f t="shared" si="9"/>
        <v>0</v>
      </c>
      <c r="P74" s="4">
        <f t="shared" si="10"/>
        <v>19.46</v>
      </c>
    </row>
    <row r="75" ht="15.75" customHeight="1">
      <c r="A75" s="4">
        <v>2013.0</v>
      </c>
      <c r="B75" s="4">
        <v>225.0</v>
      </c>
      <c r="C75" s="4">
        <v>12.24</v>
      </c>
      <c r="D75" s="4">
        <v>27.28</v>
      </c>
      <c r="E75" s="4">
        <f t="shared" si="1"/>
        <v>1</v>
      </c>
      <c r="F75" s="4">
        <f t="shared" si="2"/>
        <v>0</v>
      </c>
      <c r="G75" s="4">
        <f t="shared" si="3"/>
        <v>38.2684</v>
      </c>
      <c r="H75" s="4">
        <f t="shared" si="4"/>
        <v>36.01705</v>
      </c>
      <c r="I75" s="4" t="str">
        <f t="shared" si="5"/>
        <v> </v>
      </c>
      <c r="J75" s="4">
        <v>0.1</v>
      </c>
      <c r="K75" s="4">
        <v>19.09</v>
      </c>
      <c r="L75" s="4">
        <f t="shared" si="6"/>
        <v>8</v>
      </c>
      <c r="M75" s="4">
        <f t="shared" si="7"/>
        <v>1</v>
      </c>
      <c r="N75" s="4">
        <f t="shared" si="8"/>
        <v>4.20684</v>
      </c>
      <c r="O75" s="4">
        <f t="shared" si="9"/>
        <v>0.1</v>
      </c>
      <c r="P75" s="4">
        <f t="shared" si="10"/>
        <v>19.09</v>
      </c>
    </row>
    <row r="76" ht="15.75" customHeight="1">
      <c r="A76" s="4">
        <v>2013.0</v>
      </c>
      <c r="B76" s="4">
        <v>226.0</v>
      </c>
      <c r="C76" s="4">
        <v>13.64</v>
      </c>
      <c r="D76" s="4">
        <v>25.36</v>
      </c>
      <c r="E76" s="4">
        <f t="shared" si="1"/>
        <v>1</v>
      </c>
      <c r="F76" s="4">
        <f t="shared" si="2"/>
        <v>0</v>
      </c>
      <c r="G76" s="4">
        <f t="shared" si="3"/>
        <v>36.922</v>
      </c>
      <c r="H76" s="4">
        <f t="shared" si="4"/>
        <v>35.10885</v>
      </c>
      <c r="I76" s="4" t="str">
        <f t="shared" si="5"/>
        <v> </v>
      </c>
      <c r="J76" s="4">
        <v>6.5</v>
      </c>
      <c r="K76" s="4">
        <v>19.32</v>
      </c>
      <c r="L76" s="4">
        <f t="shared" si="6"/>
        <v>8</v>
      </c>
      <c r="M76" s="4">
        <f t="shared" si="7"/>
        <v>0</v>
      </c>
      <c r="N76" s="4">
        <f t="shared" si="8"/>
        <v>-7.18838</v>
      </c>
      <c r="O76" s="4">
        <f t="shared" si="9"/>
        <v>6.5</v>
      </c>
      <c r="P76" s="4">
        <f t="shared" si="10"/>
        <v>19.32</v>
      </c>
    </row>
    <row r="77" ht="15.75" customHeight="1">
      <c r="A77" s="4">
        <v>2013.0</v>
      </c>
      <c r="B77" s="4">
        <v>227.0</v>
      </c>
      <c r="C77" s="4">
        <v>13.71</v>
      </c>
      <c r="D77" s="4">
        <v>22.28</v>
      </c>
      <c r="E77" s="4">
        <f t="shared" si="1"/>
        <v>0</v>
      </c>
      <c r="F77" s="4">
        <f t="shared" si="2"/>
        <v>0</v>
      </c>
      <c r="G77" s="4">
        <f t="shared" si="3"/>
        <v>35.1239</v>
      </c>
      <c r="H77" s="4">
        <f t="shared" si="4"/>
        <v>30.6077</v>
      </c>
      <c r="I77" s="4" t="str">
        <f t="shared" si="5"/>
        <v> </v>
      </c>
      <c r="J77" s="4">
        <v>0.0</v>
      </c>
      <c r="K77" s="4">
        <v>17.56</v>
      </c>
      <c r="L77" s="4">
        <f t="shared" si="6"/>
        <v>3</v>
      </c>
      <c r="M77" s="4">
        <f t="shared" si="7"/>
        <v>0</v>
      </c>
      <c r="N77" s="4">
        <f t="shared" si="8"/>
        <v>-10.01204</v>
      </c>
      <c r="O77" s="4">
        <f t="shared" si="9"/>
        <v>0</v>
      </c>
      <c r="P77" s="4">
        <f t="shared" si="10"/>
        <v>17.56</v>
      </c>
    </row>
    <row r="78" ht="15.75" customHeight="1">
      <c r="A78" s="4">
        <v>2013.0</v>
      </c>
      <c r="B78" s="4">
        <v>228.0</v>
      </c>
      <c r="C78" s="4">
        <v>8.97</v>
      </c>
      <c r="D78" s="4">
        <v>23.55</v>
      </c>
      <c r="E78" s="4">
        <f t="shared" si="1"/>
        <v>0</v>
      </c>
      <c r="F78" s="4">
        <f t="shared" si="2"/>
        <v>0</v>
      </c>
      <c r="G78" s="4">
        <f t="shared" si="3"/>
        <v>36.6011</v>
      </c>
      <c r="H78" s="4">
        <f t="shared" si="4"/>
        <v>32.72835</v>
      </c>
      <c r="I78" s="4" t="str">
        <f t="shared" si="5"/>
        <v> </v>
      </c>
      <c r="J78" s="4">
        <v>0.0</v>
      </c>
      <c r="K78" s="4">
        <v>16.01</v>
      </c>
      <c r="L78" s="4">
        <f t="shared" si="6"/>
        <v>3</v>
      </c>
      <c r="M78" s="4">
        <f t="shared" si="7"/>
        <v>0</v>
      </c>
      <c r="N78" s="4">
        <f t="shared" si="8"/>
        <v>-6.13323</v>
      </c>
      <c r="O78" s="4">
        <f t="shared" si="9"/>
        <v>0</v>
      </c>
      <c r="P78" s="4">
        <f t="shared" si="10"/>
        <v>16.01</v>
      </c>
    </row>
    <row r="79" ht="15.75" customHeight="1">
      <c r="A79" s="4">
        <v>2013.0</v>
      </c>
      <c r="B79" s="4">
        <v>229.0</v>
      </c>
      <c r="C79" s="4">
        <v>8.41</v>
      </c>
      <c r="D79" s="4">
        <v>24.84</v>
      </c>
      <c r="E79" s="4">
        <f t="shared" si="1"/>
        <v>0</v>
      </c>
      <c r="F79" s="4">
        <f t="shared" si="2"/>
        <v>0</v>
      </c>
      <c r="G79" s="4">
        <f t="shared" si="3"/>
        <v>39.0732</v>
      </c>
      <c r="H79" s="4">
        <f t="shared" si="4"/>
        <v>35.41615</v>
      </c>
      <c r="I79" s="4" t="str">
        <f t="shared" si="5"/>
        <v> </v>
      </c>
      <c r="J79" s="4">
        <v>0.0</v>
      </c>
      <c r="K79" s="4">
        <v>16.45</v>
      </c>
      <c r="L79" s="4">
        <f t="shared" si="6"/>
        <v>3</v>
      </c>
      <c r="M79" s="4">
        <f t="shared" si="7"/>
        <v>0</v>
      </c>
      <c r="N79" s="4">
        <f t="shared" si="8"/>
        <v>-1.7352</v>
      </c>
      <c r="O79" s="4">
        <f t="shared" si="9"/>
        <v>0</v>
      </c>
      <c r="P79" s="4">
        <f t="shared" si="10"/>
        <v>16.45</v>
      </c>
    </row>
    <row r="80" ht="15.75" customHeight="1">
      <c r="A80" s="4">
        <v>2013.0</v>
      </c>
      <c r="B80" s="4">
        <v>230.0</v>
      </c>
      <c r="C80" s="4">
        <v>8.24</v>
      </c>
      <c r="D80" s="4">
        <v>25.92</v>
      </c>
      <c r="E80" s="4">
        <f t="shared" si="1"/>
        <v>1</v>
      </c>
      <c r="F80" s="4">
        <f t="shared" si="2"/>
        <v>0</v>
      </c>
      <c r="G80" s="4">
        <f t="shared" si="3"/>
        <v>41.7646</v>
      </c>
      <c r="H80" s="4">
        <f t="shared" si="4"/>
        <v>38.55625</v>
      </c>
      <c r="I80" s="4" t="str">
        <f t="shared" si="5"/>
        <v> </v>
      </c>
      <c r="J80" s="4">
        <v>0.1</v>
      </c>
      <c r="K80" s="4">
        <v>16.89</v>
      </c>
      <c r="L80" s="4">
        <f t="shared" si="6"/>
        <v>8</v>
      </c>
      <c r="M80" s="4">
        <f t="shared" si="7"/>
        <v>0</v>
      </c>
      <c r="N80" s="4">
        <f t="shared" si="8"/>
        <v>-7.95858</v>
      </c>
      <c r="O80" s="4">
        <f t="shared" si="9"/>
        <v>0.1</v>
      </c>
      <c r="P80" s="4">
        <f t="shared" si="10"/>
        <v>16.89</v>
      </c>
    </row>
    <row r="81" ht="15.75" customHeight="1">
      <c r="A81" s="4">
        <v>2013.0</v>
      </c>
      <c r="B81" s="4">
        <v>231.0</v>
      </c>
      <c r="C81" s="4">
        <v>8.57</v>
      </c>
      <c r="D81" s="4">
        <v>26.4</v>
      </c>
      <c r="E81" s="4">
        <f t="shared" si="1"/>
        <v>0</v>
      </c>
      <c r="F81" s="4">
        <f t="shared" si="2"/>
        <v>0</v>
      </c>
      <c r="G81" s="4">
        <f t="shared" si="3"/>
        <v>39.785</v>
      </c>
      <c r="H81" s="4">
        <f t="shared" si="4"/>
        <v>35.4363</v>
      </c>
      <c r="I81" s="4" t="str">
        <f t="shared" si="5"/>
        <v> </v>
      </c>
      <c r="J81" s="4">
        <v>0.0</v>
      </c>
      <c r="K81" s="4">
        <v>16.93</v>
      </c>
      <c r="L81" s="4">
        <f t="shared" si="6"/>
        <v>3</v>
      </c>
      <c r="M81" s="4">
        <f t="shared" si="7"/>
        <v>0</v>
      </c>
      <c r="N81" s="4">
        <f t="shared" si="8"/>
        <v>-10.71852</v>
      </c>
      <c r="O81" s="4">
        <f t="shared" si="9"/>
        <v>0</v>
      </c>
      <c r="P81" s="4">
        <f t="shared" si="10"/>
        <v>16.93</v>
      </c>
    </row>
    <row r="82" ht="15.75" customHeight="1">
      <c r="A82" s="4">
        <v>2013.0</v>
      </c>
      <c r="B82" s="4">
        <v>232.0</v>
      </c>
      <c r="C82" s="4">
        <v>8.51</v>
      </c>
      <c r="D82" s="4">
        <v>27.17</v>
      </c>
      <c r="E82" s="4">
        <f t="shared" si="1"/>
        <v>0</v>
      </c>
      <c r="F82" s="4">
        <f t="shared" si="2"/>
        <v>0</v>
      </c>
      <c r="G82" s="4">
        <f t="shared" si="3"/>
        <v>33.12</v>
      </c>
      <c r="H82" s="4">
        <f t="shared" si="4"/>
        <v>30.9136</v>
      </c>
      <c r="I82" s="4" t="str">
        <f t="shared" si="5"/>
        <v> </v>
      </c>
      <c r="J82" s="4">
        <v>0.0</v>
      </c>
      <c r="K82" s="4">
        <v>17.46</v>
      </c>
      <c r="L82" s="4">
        <f t="shared" si="6"/>
        <v>3</v>
      </c>
      <c r="M82" s="4">
        <f t="shared" si="7"/>
        <v>0</v>
      </c>
      <c r="N82" s="4">
        <f t="shared" si="8"/>
        <v>-9.09225</v>
      </c>
      <c r="O82" s="4">
        <f t="shared" si="9"/>
        <v>0</v>
      </c>
      <c r="P82" s="4">
        <f t="shared" si="10"/>
        <v>17.46</v>
      </c>
    </row>
    <row r="83" ht="15.75" customHeight="1">
      <c r="A83" s="4">
        <v>2013.0</v>
      </c>
      <c r="B83" s="4">
        <v>233.0</v>
      </c>
      <c r="C83" s="4">
        <v>10.37</v>
      </c>
      <c r="D83" s="4">
        <v>28.32</v>
      </c>
      <c r="E83" s="4">
        <f t="shared" si="1"/>
        <v>0</v>
      </c>
      <c r="F83" s="4">
        <f t="shared" si="2"/>
        <v>0</v>
      </c>
      <c r="G83" s="4">
        <f t="shared" si="3"/>
        <v>33.3906</v>
      </c>
      <c r="H83" s="4">
        <f t="shared" si="4"/>
        <v>32.5646</v>
      </c>
      <c r="I83" s="4" t="str">
        <f t="shared" si="5"/>
        <v> </v>
      </c>
      <c r="J83" s="4">
        <v>0.0</v>
      </c>
      <c r="K83" s="4">
        <v>19.82</v>
      </c>
      <c r="L83" s="4">
        <f t="shared" si="6"/>
        <v>3</v>
      </c>
      <c r="M83" s="4">
        <f t="shared" si="7"/>
        <v>0</v>
      </c>
      <c r="N83" s="4">
        <f t="shared" si="8"/>
        <v>-6.507</v>
      </c>
      <c r="O83" s="4">
        <f t="shared" si="9"/>
        <v>0</v>
      </c>
      <c r="P83" s="4">
        <f t="shared" si="10"/>
        <v>19.82</v>
      </c>
    </row>
    <row r="84" ht="15.75" customHeight="1">
      <c r="A84" s="4">
        <v>2013.0</v>
      </c>
      <c r="B84" s="4">
        <v>234.0</v>
      </c>
      <c r="C84" s="4">
        <v>14.1</v>
      </c>
      <c r="D84" s="4">
        <v>28.42</v>
      </c>
      <c r="E84" s="4">
        <f t="shared" si="1"/>
        <v>0</v>
      </c>
      <c r="F84" s="4">
        <f t="shared" si="2"/>
        <v>0</v>
      </c>
      <c r="G84" s="4">
        <f t="shared" si="3"/>
        <v>35.2024</v>
      </c>
      <c r="H84" s="4">
        <f t="shared" si="4"/>
        <v>34.1157</v>
      </c>
      <c r="I84" s="4" t="str">
        <f t="shared" si="5"/>
        <v> </v>
      </c>
      <c r="J84" s="4">
        <v>0.0</v>
      </c>
      <c r="K84" s="4">
        <v>20.23</v>
      </c>
      <c r="L84" s="4">
        <f t="shared" si="6"/>
        <v>3</v>
      </c>
      <c r="M84" s="4">
        <f t="shared" si="7"/>
        <v>1</v>
      </c>
      <c r="N84" s="4">
        <f t="shared" si="8"/>
        <v>4.87684</v>
      </c>
      <c r="O84" s="4">
        <f t="shared" si="9"/>
        <v>0</v>
      </c>
      <c r="P84" s="4">
        <f t="shared" si="10"/>
        <v>20.23</v>
      </c>
    </row>
    <row r="85" ht="15.75" customHeight="1">
      <c r="A85" s="4">
        <v>2013.0</v>
      </c>
      <c r="B85" s="4">
        <v>235.0</v>
      </c>
      <c r="C85" s="4">
        <v>12.18</v>
      </c>
      <c r="D85" s="4">
        <v>27.32</v>
      </c>
      <c r="E85" s="4">
        <f t="shared" si="1"/>
        <v>1</v>
      </c>
      <c r="F85" s="4">
        <f t="shared" si="2"/>
        <v>1</v>
      </c>
      <c r="G85" s="4">
        <f t="shared" si="3"/>
        <v>30.8253</v>
      </c>
      <c r="H85" s="4">
        <f t="shared" si="4"/>
        <v>30.857</v>
      </c>
      <c r="I85" s="4">
        <f t="shared" si="5"/>
        <v>0.0317</v>
      </c>
      <c r="J85" s="4">
        <v>8.2</v>
      </c>
      <c r="K85" s="4">
        <v>18.65</v>
      </c>
      <c r="L85" s="4">
        <f t="shared" si="6"/>
        <v>8</v>
      </c>
      <c r="M85" s="4">
        <f t="shared" si="7"/>
        <v>1</v>
      </c>
      <c r="N85" s="4">
        <f t="shared" si="8"/>
        <v>10.19954</v>
      </c>
      <c r="O85" s="4">
        <f t="shared" si="9"/>
        <v>8.2</v>
      </c>
      <c r="P85" s="4">
        <f t="shared" si="10"/>
        <v>18.65</v>
      </c>
    </row>
    <row r="86" ht="15.75" customHeight="1">
      <c r="A86" s="4">
        <v>2013.0</v>
      </c>
      <c r="B86" s="4">
        <v>236.0</v>
      </c>
      <c r="C86" s="4">
        <v>12.56</v>
      </c>
      <c r="D86" s="4">
        <v>15.98</v>
      </c>
      <c r="E86" s="4">
        <f t="shared" si="1"/>
        <v>1</v>
      </c>
      <c r="F86" s="4">
        <f t="shared" si="2"/>
        <v>1</v>
      </c>
      <c r="G86" s="4">
        <f t="shared" si="3"/>
        <v>24.8034</v>
      </c>
      <c r="H86" s="4">
        <f t="shared" si="4"/>
        <v>28.21495</v>
      </c>
      <c r="I86" s="4">
        <f t="shared" si="5"/>
        <v>3.41155</v>
      </c>
      <c r="J86" s="4">
        <v>5.7</v>
      </c>
      <c r="K86" s="4">
        <v>14.24</v>
      </c>
      <c r="L86" s="4">
        <f t="shared" si="6"/>
        <v>8</v>
      </c>
      <c r="M86" s="4">
        <f t="shared" si="7"/>
        <v>1</v>
      </c>
      <c r="N86" s="4">
        <f t="shared" si="8"/>
        <v>10.27378</v>
      </c>
      <c r="O86" s="4">
        <f t="shared" si="9"/>
        <v>5.7</v>
      </c>
      <c r="P86" s="4">
        <f t="shared" si="10"/>
        <v>14.24</v>
      </c>
    </row>
    <row r="87" ht="15.75" customHeight="1">
      <c r="A87" s="4">
        <v>2013.0</v>
      </c>
      <c r="B87" s="4">
        <v>237.0</v>
      </c>
      <c r="C87" s="4">
        <v>11.74</v>
      </c>
      <c r="D87" s="4">
        <v>16.36</v>
      </c>
      <c r="E87" s="4">
        <f t="shared" si="1"/>
        <v>1</v>
      </c>
      <c r="F87" s="4">
        <f t="shared" si="2"/>
        <v>1</v>
      </c>
      <c r="G87" s="4">
        <f t="shared" si="3"/>
        <v>27.0403</v>
      </c>
      <c r="H87" s="4">
        <f t="shared" si="4"/>
        <v>29.6777</v>
      </c>
      <c r="I87" s="4">
        <f t="shared" si="5"/>
        <v>2.6374</v>
      </c>
      <c r="J87" s="4">
        <v>3.2</v>
      </c>
      <c r="K87" s="4">
        <v>12.94</v>
      </c>
      <c r="L87" s="4">
        <f t="shared" si="6"/>
        <v>8</v>
      </c>
      <c r="M87" s="4">
        <f t="shared" si="7"/>
        <v>1</v>
      </c>
      <c r="N87" s="4">
        <f t="shared" si="8"/>
        <v>3.59972</v>
      </c>
      <c r="O87" s="4">
        <f t="shared" si="9"/>
        <v>3.2</v>
      </c>
      <c r="P87" s="4">
        <f t="shared" si="10"/>
        <v>12.94</v>
      </c>
    </row>
    <row r="88" ht="15.75" customHeight="1">
      <c r="A88" s="4">
        <v>2013.0</v>
      </c>
      <c r="B88" s="4">
        <v>238.0</v>
      </c>
      <c r="C88" s="4">
        <v>8.78</v>
      </c>
      <c r="D88" s="4">
        <v>21.28</v>
      </c>
      <c r="E88" s="4">
        <f t="shared" si="1"/>
        <v>1</v>
      </c>
      <c r="J88" s="4">
        <v>0.1</v>
      </c>
      <c r="K88" s="4">
        <v>14.83</v>
      </c>
      <c r="L88" s="4">
        <f t="shared" si="6"/>
        <v>8</v>
      </c>
      <c r="O88" s="4">
        <f t="shared" si="9"/>
        <v>0.1</v>
      </c>
      <c r="P88" s="4">
        <f t="shared" si="10"/>
        <v>14.83</v>
      </c>
    </row>
    <row r="89" ht="15.75" customHeight="1">
      <c r="A89" s="4">
        <v>2013.0</v>
      </c>
      <c r="B89" s="4">
        <v>239.0</v>
      </c>
      <c r="C89" s="4">
        <v>5.71</v>
      </c>
      <c r="D89" s="4">
        <v>18.5</v>
      </c>
      <c r="E89" s="4">
        <f t="shared" si="1"/>
        <v>0</v>
      </c>
      <c r="J89" s="4">
        <v>0.0</v>
      </c>
      <c r="K89" s="4">
        <v>11.33</v>
      </c>
      <c r="L89" s="4">
        <f t="shared" si="6"/>
        <v>3</v>
      </c>
      <c r="O89" s="4">
        <f t="shared" si="9"/>
        <v>0</v>
      </c>
      <c r="P89" s="4">
        <f t="shared" si="10"/>
        <v>11.33</v>
      </c>
    </row>
    <row r="90" ht="15.75" customHeight="1">
      <c r="A90" s="4">
        <v>2013.0</v>
      </c>
      <c r="B90" s="4">
        <v>240.0</v>
      </c>
      <c r="C90" s="4">
        <v>6.7</v>
      </c>
      <c r="D90" s="4">
        <v>21.0</v>
      </c>
      <c r="E90" s="4">
        <f t="shared" si="1"/>
        <v>1</v>
      </c>
      <c r="J90" s="4">
        <v>0.6</v>
      </c>
      <c r="K90" s="4">
        <v>13.52</v>
      </c>
      <c r="L90" s="4">
        <f t="shared" si="6"/>
        <v>8</v>
      </c>
      <c r="O90" s="4">
        <f t="shared" si="9"/>
        <v>0.6</v>
      </c>
      <c r="P90" s="4">
        <f t="shared" si="10"/>
        <v>13.52</v>
      </c>
    </row>
    <row r="91" ht="15.75" customHeight="1">
      <c r="A91" s="4">
        <v>2013.0</v>
      </c>
      <c r="B91" s="4">
        <v>241.0</v>
      </c>
      <c r="C91" s="4">
        <v>11.51</v>
      </c>
      <c r="D91" s="4">
        <v>21.04</v>
      </c>
      <c r="E91" s="4">
        <f t="shared" si="1"/>
        <v>1</v>
      </c>
      <c r="J91" s="4">
        <v>0.4</v>
      </c>
      <c r="K91" s="4">
        <v>15.39</v>
      </c>
      <c r="L91" s="4">
        <f t="shared" si="6"/>
        <v>8</v>
      </c>
      <c r="O91" s="4">
        <f t="shared" si="9"/>
        <v>0.4</v>
      </c>
      <c r="P91" s="4">
        <f t="shared" si="10"/>
        <v>15.39</v>
      </c>
    </row>
    <row r="92" ht="15.75" customHeight="1">
      <c r="A92" s="4">
        <v>2013.0</v>
      </c>
      <c r="B92" s="4">
        <v>242.0</v>
      </c>
      <c r="C92" s="4">
        <v>9.34</v>
      </c>
      <c r="D92" s="4">
        <v>18.72</v>
      </c>
      <c r="E92" s="4">
        <f t="shared" si="1"/>
        <v>1</v>
      </c>
      <c r="J92" s="4">
        <v>1.9</v>
      </c>
      <c r="K92" s="4">
        <v>14.4</v>
      </c>
      <c r="L92" s="4">
        <f t="shared" si="6"/>
        <v>8</v>
      </c>
      <c r="O92" s="4">
        <f t="shared" si="9"/>
        <v>1.9</v>
      </c>
      <c r="P92" s="4">
        <f t="shared" si="10"/>
        <v>14.4</v>
      </c>
    </row>
    <row r="93" ht="15.75" customHeight="1">
      <c r="A93" s="4">
        <v>2013.0</v>
      </c>
      <c r="B93" s="4">
        <v>243.0</v>
      </c>
      <c r="C93" s="4">
        <v>12.97</v>
      </c>
      <c r="D93" s="4">
        <v>18.1</v>
      </c>
      <c r="E93" s="4">
        <f t="shared" si="1"/>
        <v>1</v>
      </c>
      <c r="J93" s="4">
        <v>13.4</v>
      </c>
      <c r="K93" s="4">
        <v>14.54</v>
      </c>
      <c r="L93" s="4">
        <f t="shared" si="6"/>
        <v>8</v>
      </c>
      <c r="O93" s="4">
        <f t="shared" si="9"/>
        <v>13.4</v>
      </c>
      <c r="P93" s="4">
        <f t="shared" si="10"/>
        <v>14.54</v>
      </c>
    </row>
    <row r="94" ht="15.75" customHeight="1"/>
    <row r="95" ht="15.75" customHeight="1"/>
    <row r="96" ht="15.75" customHeight="1">
      <c r="O96" s="4">
        <f>SUM(O2:O93)</f>
        <v>109.9</v>
      </c>
      <c r="P96" s="4">
        <f>SUMIF(P2:P93,"&gt;0")/10</f>
        <v>170.177</v>
      </c>
    </row>
    <row r="97" ht="15.75" customHeight="1"/>
    <row r="98" ht="15.75" customHeight="1">
      <c r="I98" s="4">
        <f>SUM(I2:I87)</f>
        <v>27.3792</v>
      </c>
      <c r="O98" s="4" t="s">
        <v>15</v>
      </c>
      <c r="P98" s="4">
        <f>O96/P96</f>
        <v>0.6457981983</v>
      </c>
    </row>
    <row r="99" ht="15.75" customHeight="1">
      <c r="I99" s="4">
        <f>SUM(I2:I31)</f>
        <v>0.0227</v>
      </c>
      <c r="O99" s="4" t="s">
        <v>16</v>
      </c>
      <c r="P99" s="4">
        <f>SUM(O2:O31)/(SUM(P2:P31)/10)</f>
        <v>0.06172839506</v>
      </c>
    </row>
    <row r="100" ht="15.75" customHeight="1">
      <c r="I100" s="4">
        <f>SUM(I32:I62)</f>
        <v>21.27585</v>
      </c>
      <c r="O100" s="4" t="s">
        <v>17</v>
      </c>
      <c r="P100" s="4">
        <f>SUM(O33:O62)/(SUM(P33:P62)/10)</f>
        <v>0.8169964439</v>
      </c>
    </row>
    <row r="101" ht="15.75" customHeight="1">
      <c r="I101" s="4">
        <f>SUM(I63:I93)</f>
        <v>6.08065</v>
      </c>
      <c r="O101" s="4" t="s">
        <v>18</v>
      </c>
      <c r="P101" s="4">
        <f>SUM(O63:O93)/(SUM(P63:P93)/10)</f>
        <v>1.116821327</v>
      </c>
    </row>
    <row r="102" ht="15.75" customHeight="1">
      <c r="I102" s="4">
        <f>SUMIF(I2:I87,"&gt;0")</f>
        <v>27.3792</v>
      </c>
    </row>
    <row r="103" ht="15.75" customHeight="1">
      <c r="I103" s="4">
        <f>SUMIF(I2:I31,"&gt;0")</f>
        <v>0.0227</v>
      </c>
    </row>
    <row r="104" ht="15.75" customHeight="1">
      <c r="I104" s="4">
        <f>SUMIF(I32:I62,"&gt;0")</f>
        <v>21.27585</v>
      </c>
      <c r="P104" s="4">
        <f>SUM(O16:O35)/(SUM(P16:P35)/10)</f>
        <v>0</v>
      </c>
    </row>
    <row r="105" ht="15.75" customHeight="1">
      <c r="I105" s="4">
        <f>SUMIF(I63:I87,"&gt;0")</f>
        <v>6.08065</v>
      </c>
      <c r="P105" s="4">
        <f>SUM(O36:O55)/(SUM(P36:P55)/10)</f>
        <v>0.837245052</v>
      </c>
    </row>
    <row r="106" ht="15.75" customHeight="1">
      <c r="P106" s="4">
        <f>SUM(O56:O77)/(SUM(P56:P77)/10)</f>
        <v>1.020729023</v>
      </c>
    </row>
    <row r="107" ht="15.75" customHeight="1">
      <c r="P107" s="4">
        <f>SUM(O16:O77)/(SUM(P16:P77)/10)</f>
        <v>0.6092655291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2014.0</v>
      </c>
      <c r="B2" s="4">
        <v>152.0</v>
      </c>
      <c r="C2" s="4">
        <v>10.94</v>
      </c>
      <c r="D2" s="4">
        <v>26.49</v>
      </c>
      <c r="E2" s="4">
        <f t="shared" ref="E2:E93" si="1">IF(J2&gt;0,1,0)</f>
        <v>0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45.2752</v>
      </c>
      <c r="H2" s="4">
        <f t="shared" ref="H2:H87" si="4">0.63 * D2 + 0.37 * D3 + 0.49 * D4 + 0.22 * D5 + 0.65 * D6 + 0.24 *C2 - 0.06 * C3- 0.15 * C4 - 0.135 * C5 + 0.15 * C6 + 4.88 * E2 + 3.55 * E3 + 3.34 *E4 + 2.5 * E5 + 2.29 *E6-31.34</f>
        <v>39.29695</v>
      </c>
      <c r="I2" s="4" t="str">
        <f t="shared" ref="I2:I87" si="5">IF((H2-G2)&gt;0,H2-G2," ")</f>
        <v> </v>
      </c>
      <c r="J2" s="4">
        <v>0.0</v>
      </c>
      <c r="K2" s="4">
        <v>20.27</v>
      </c>
      <c r="L2" s="4">
        <f t="shared" ref="L2:L93" si="6">IF(E2&gt;0,8,3)</f>
        <v>3</v>
      </c>
      <c r="M2" s="4">
        <f t="shared" ref="M2:M87" si="7">IF(N2&gt;=0,1,0)</f>
        <v>0</v>
      </c>
      <c r="N2" s="4">
        <f t="shared" ref="N2:N87" si="8">-0.216*D2-0.191*D3-0.119*D4+0.004*C2-0.171*C3+0.628*C4-0.479*L2+0.513*L3+0.046*L4+5.947*E2+6.699*E3+4.328*E4-1.788</f>
        <v>-12.24646</v>
      </c>
      <c r="O2" s="4">
        <f t="shared" ref="O2:O93" si="9">IF(K2&gt;10,J2,0)</f>
        <v>0</v>
      </c>
      <c r="P2" s="4">
        <f t="shared" ref="P2:P93" si="10">IF(K2&gt;10,K2,0)</f>
        <v>20.27</v>
      </c>
    </row>
    <row r="3">
      <c r="A3" s="4">
        <v>2014.0</v>
      </c>
      <c r="B3" s="4">
        <v>153.0</v>
      </c>
      <c r="C3" s="4">
        <v>16.8</v>
      </c>
      <c r="D3" s="4">
        <v>28.92</v>
      </c>
      <c r="E3" s="4">
        <f t="shared" si="1"/>
        <v>0</v>
      </c>
      <c r="F3" s="4">
        <f t="shared" si="2"/>
        <v>0</v>
      </c>
      <c r="G3" s="4">
        <f t="shared" si="3"/>
        <v>51.3901</v>
      </c>
      <c r="H3" s="4">
        <f t="shared" si="4"/>
        <v>44.31655</v>
      </c>
      <c r="I3" s="4" t="str">
        <f t="shared" si="5"/>
        <v> </v>
      </c>
      <c r="J3" s="4">
        <v>0.0</v>
      </c>
      <c r="K3" s="4">
        <v>22.22</v>
      </c>
      <c r="L3" s="4">
        <f t="shared" si="6"/>
        <v>3</v>
      </c>
      <c r="M3" s="4">
        <f t="shared" si="7"/>
        <v>0</v>
      </c>
      <c r="N3" s="4">
        <f t="shared" si="8"/>
        <v>-13.13851</v>
      </c>
      <c r="O3" s="4">
        <f t="shared" si="9"/>
        <v>0</v>
      </c>
      <c r="P3" s="4">
        <f t="shared" si="10"/>
        <v>22.22</v>
      </c>
    </row>
    <row r="4">
      <c r="A4" s="4">
        <v>2014.0</v>
      </c>
      <c r="B4" s="4">
        <v>154.0</v>
      </c>
      <c r="C4" s="4">
        <v>11.11</v>
      </c>
      <c r="D4" s="4">
        <v>30.26</v>
      </c>
      <c r="E4" s="4">
        <f t="shared" si="1"/>
        <v>0</v>
      </c>
      <c r="F4" s="4">
        <f t="shared" si="2"/>
        <v>0</v>
      </c>
      <c r="G4" s="4">
        <f t="shared" si="3"/>
        <v>49.012</v>
      </c>
      <c r="H4" s="4">
        <f t="shared" si="4"/>
        <v>42.65625</v>
      </c>
      <c r="I4" s="4" t="str">
        <f t="shared" si="5"/>
        <v> </v>
      </c>
      <c r="J4" s="4">
        <v>0.0</v>
      </c>
      <c r="K4" s="4">
        <v>22.26</v>
      </c>
      <c r="L4" s="4">
        <f t="shared" si="6"/>
        <v>3</v>
      </c>
      <c r="M4" s="4">
        <f t="shared" si="7"/>
        <v>0</v>
      </c>
      <c r="N4" s="4">
        <f t="shared" si="8"/>
        <v>-12.65186</v>
      </c>
      <c r="O4" s="4">
        <f t="shared" si="9"/>
        <v>0</v>
      </c>
      <c r="P4" s="4">
        <f t="shared" si="10"/>
        <v>22.26</v>
      </c>
    </row>
    <row r="5">
      <c r="A5" s="4">
        <v>2014.0</v>
      </c>
      <c r="B5" s="4">
        <v>155.0</v>
      </c>
      <c r="C5" s="4">
        <v>9.35</v>
      </c>
      <c r="D5" s="4">
        <v>30.28</v>
      </c>
      <c r="E5" s="4">
        <f t="shared" si="1"/>
        <v>0</v>
      </c>
      <c r="F5" s="4">
        <f t="shared" si="2"/>
        <v>0</v>
      </c>
      <c r="G5" s="4">
        <f t="shared" si="3"/>
        <v>47.9929</v>
      </c>
      <c r="H5" s="4">
        <f t="shared" si="4"/>
        <v>42.1031</v>
      </c>
      <c r="I5" s="4" t="str">
        <f t="shared" si="5"/>
        <v> </v>
      </c>
      <c r="J5" s="4">
        <v>0.0</v>
      </c>
      <c r="K5" s="4">
        <v>21.35</v>
      </c>
      <c r="L5" s="4">
        <f t="shared" si="6"/>
        <v>3</v>
      </c>
      <c r="M5" s="4">
        <f t="shared" si="7"/>
        <v>0</v>
      </c>
      <c r="N5" s="4">
        <f t="shared" si="8"/>
        <v>-12.92396</v>
      </c>
      <c r="O5" s="4">
        <f t="shared" si="9"/>
        <v>0</v>
      </c>
      <c r="P5" s="4">
        <f t="shared" si="10"/>
        <v>21.35</v>
      </c>
    </row>
    <row r="6">
      <c r="A6" s="4">
        <v>2014.0</v>
      </c>
      <c r="B6" s="4">
        <v>156.0</v>
      </c>
      <c r="C6" s="4">
        <v>10.67</v>
      </c>
      <c r="D6" s="4">
        <v>33.03</v>
      </c>
      <c r="E6" s="4">
        <f t="shared" si="1"/>
        <v>0</v>
      </c>
      <c r="F6" s="4">
        <f t="shared" si="2"/>
        <v>0</v>
      </c>
      <c r="G6" s="4">
        <f t="shared" si="3"/>
        <v>43.0082</v>
      </c>
      <c r="H6" s="4">
        <f t="shared" si="4"/>
        <v>38.10325</v>
      </c>
      <c r="I6" s="4" t="str">
        <f t="shared" si="5"/>
        <v> </v>
      </c>
      <c r="J6" s="4">
        <v>0.0</v>
      </c>
      <c r="K6" s="4">
        <v>23.32</v>
      </c>
      <c r="L6" s="4">
        <f t="shared" si="6"/>
        <v>3</v>
      </c>
      <c r="M6" s="4">
        <f t="shared" si="7"/>
        <v>0</v>
      </c>
      <c r="N6" s="4">
        <f t="shared" si="8"/>
        <v>-12.55103</v>
      </c>
      <c r="O6" s="4">
        <f t="shared" si="9"/>
        <v>0</v>
      </c>
      <c r="P6" s="4">
        <f t="shared" si="10"/>
        <v>23.32</v>
      </c>
    </row>
    <row r="7">
      <c r="A7" s="4">
        <v>2014.0</v>
      </c>
      <c r="B7" s="4">
        <v>157.0</v>
      </c>
      <c r="C7" s="4">
        <v>11.57</v>
      </c>
      <c r="D7" s="4">
        <v>33.66</v>
      </c>
      <c r="E7" s="4">
        <f t="shared" si="1"/>
        <v>0</v>
      </c>
      <c r="F7" s="4">
        <f t="shared" si="2"/>
        <v>0</v>
      </c>
      <c r="G7" s="4">
        <f t="shared" si="3"/>
        <v>39.23</v>
      </c>
      <c r="H7" s="4">
        <f t="shared" si="4"/>
        <v>35.91315</v>
      </c>
      <c r="I7" s="4" t="str">
        <f t="shared" si="5"/>
        <v> </v>
      </c>
      <c r="J7" s="4">
        <v>0.0</v>
      </c>
      <c r="K7" s="4">
        <v>22.52</v>
      </c>
      <c r="L7" s="4">
        <f t="shared" si="6"/>
        <v>3</v>
      </c>
      <c r="M7" s="4">
        <f t="shared" si="7"/>
        <v>0</v>
      </c>
      <c r="N7" s="4">
        <f t="shared" si="8"/>
        <v>-10.42929</v>
      </c>
      <c r="O7" s="4">
        <f t="shared" si="9"/>
        <v>0</v>
      </c>
      <c r="P7" s="4">
        <f t="shared" si="10"/>
        <v>22.52</v>
      </c>
    </row>
    <row r="8">
      <c r="A8" s="4">
        <v>2014.0</v>
      </c>
      <c r="B8" s="4">
        <v>158.0</v>
      </c>
      <c r="C8" s="4">
        <v>12.78</v>
      </c>
      <c r="D8" s="4">
        <v>29.66</v>
      </c>
      <c r="E8" s="4">
        <f t="shared" si="1"/>
        <v>0</v>
      </c>
      <c r="F8" s="4">
        <f t="shared" si="2"/>
        <v>0</v>
      </c>
      <c r="G8" s="4">
        <f t="shared" si="3"/>
        <v>36.1688</v>
      </c>
      <c r="H8" s="4">
        <f t="shared" si="4"/>
        <v>34.3148</v>
      </c>
      <c r="I8" s="4" t="str">
        <f t="shared" si="5"/>
        <v> </v>
      </c>
      <c r="J8" s="4">
        <v>0.0</v>
      </c>
      <c r="K8" s="4">
        <v>20.95</v>
      </c>
      <c r="L8" s="4">
        <f t="shared" si="6"/>
        <v>3</v>
      </c>
      <c r="M8" s="4">
        <f t="shared" si="7"/>
        <v>0</v>
      </c>
      <c r="N8" s="4">
        <f t="shared" si="8"/>
        <v>-5.83167</v>
      </c>
      <c r="O8" s="4">
        <f t="shared" si="9"/>
        <v>0</v>
      </c>
      <c r="P8" s="4">
        <f t="shared" si="10"/>
        <v>20.95</v>
      </c>
    </row>
    <row r="9">
      <c r="A9" s="4">
        <v>2014.0</v>
      </c>
      <c r="B9" s="4">
        <v>159.0</v>
      </c>
      <c r="C9" s="4">
        <v>15.31</v>
      </c>
      <c r="D9" s="4">
        <v>28.75</v>
      </c>
      <c r="E9" s="4">
        <f t="shared" si="1"/>
        <v>0</v>
      </c>
      <c r="F9" s="4">
        <f t="shared" si="2"/>
        <v>0</v>
      </c>
      <c r="G9" s="4">
        <f t="shared" si="3"/>
        <v>36.1342</v>
      </c>
      <c r="H9" s="4">
        <f t="shared" si="4"/>
        <v>34.9427</v>
      </c>
      <c r="I9" s="4" t="str">
        <f t="shared" si="5"/>
        <v> </v>
      </c>
      <c r="J9" s="4">
        <v>0.0</v>
      </c>
      <c r="K9" s="4">
        <v>21.65</v>
      </c>
      <c r="L9" s="4">
        <f t="shared" si="6"/>
        <v>3</v>
      </c>
      <c r="M9" s="4">
        <f t="shared" si="7"/>
        <v>1</v>
      </c>
      <c r="N9" s="4">
        <f t="shared" si="8"/>
        <v>5.03189</v>
      </c>
      <c r="O9" s="4">
        <f t="shared" si="9"/>
        <v>0</v>
      </c>
      <c r="P9" s="4">
        <f t="shared" si="10"/>
        <v>21.65</v>
      </c>
    </row>
    <row r="10">
      <c r="A10" s="4">
        <v>2014.0</v>
      </c>
      <c r="B10" s="4">
        <v>160.0</v>
      </c>
      <c r="C10" s="4">
        <v>12.81</v>
      </c>
      <c r="D10" s="4">
        <v>20.35</v>
      </c>
      <c r="E10" s="4">
        <f t="shared" si="1"/>
        <v>1</v>
      </c>
      <c r="F10" s="4">
        <f t="shared" si="2"/>
        <v>1</v>
      </c>
      <c r="G10" s="4">
        <f t="shared" si="3"/>
        <v>31.2632</v>
      </c>
      <c r="H10" s="4">
        <f t="shared" si="4"/>
        <v>33.99665</v>
      </c>
      <c r="I10" s="4">
        <f t="shared" si="5"/>
        <v>2.73345</v>
      </c>
      <c r="J10" s="4">
        <v>3.7</v>
      </c>
      <c r="K10" s="4">
        <v>16.47</v>
      </c>
      <c r="L10" s="4">
        <f t="shared" si="6"/>
        <v>8</v>
      </c>
      <c r="M10" s="4">
        <f t="shared" si="7"/>
        <v>1</v>
      </c>
      <c r="N10" s="4">
        <f t="shared" si="8"/>
        <v>11.52356</v>
      </c>
      <c r="O10" s="4">
        <f t="shared" si="9"/>
        <v>3.7</v>
      </c>
      <c r="P10" s="4">
        <f t="shared" si="10"/>
        <v>16.47</v>
      </c>
    </row>
    <row r="11">
      <c r="A11" s="4">
        <v>2014.0</v>
      </c>
      <c r="B11" s="4">
        <v>161.0</v>
      </c>
      <c r="C11" s="4">
        <v>11.44</v>
      </c>
      <c r="D11" s="4">
        <v>18.49</v>
      </c>
      <c r="E11" s="4">
        <f t="shared" si="1"/>
        <v>1</v>
      </c>
      <c r="F11" s="4">
        <f t="shared" si="2"/>
        <v>1</v>
      </c>
      <c r="G11" s="4">
        <f t="shared" si="3"/>
        <v>30.3822</v>
      </c>
      <c r="H11" s="4">
        <f t="shared" si="4"/>
        <v>34.2409</v>
      </c>
      <c r="I11" s="4">
        <f t="shared" si="5"/>
        <v>3.8587</v>
      </c>
      <c r="J11" s="4">
        <v>12.7</v>
      </c>
      <c r="K11" s="4">
        <v>14.36</v>
      </c>
      <c r="L11" s="4">
        <f t="shared" si="6"/>
        <v>8</v>
      </c>
      <c r="M11" s="4">
        <f t="shared" si="7"/>
        <v>1</v>
      </c>
      <c r="N11" s="4">
        <f t="shared" si="8"/>
        <v>8.78074</v>
      </c>
      <c r="O11" s="4">
        <f t="shared" si="9"/>
        <v>12.7</v>
      </c>
      <c r="P11" s="4">
        <f t="shared" si="10"/>
        <v>14.36</v>
      </c>
    </row>
    <row r="12">
      <c r="A12" s="4">
        <v>2014.0</v>
      </c>
      <c r="B12" s="4">
        <v>162.0</v>
      </c>
      <c r="C12" s="4">
        <v>12.76</v>
      </c>
      <c r="D12" s="4">
        <v>20.87</v>
      </c>
      <c r="E12" s="4">
        <f t="shared" si="1"/>
        <v>1</v>
      </c>
      <c r="F12" s="4">
        <f t="shared" si="2"/>
        <v>1</v>
      </c>
      <c r="G12" s="4">
        <f t="shared" si="3"/>
        <v>32.0556</v>
      </c>
      <c r="H12" s="4">
        <f t="shared" si="4"/>
        <v>34.79765</v>
      </c>
      <c r="I12" s="4">
        <f t="shared" si="5"/>
        <v>2.74205</v>
      </c>
      <c r="J12" s="4">
        <v>2.1</v>
      </c>
      <c r="K12" s="4">
        <v>16.41</v>
      </c>
      <c r="L12" s="4">
        <f t="shared" si="6"/>
        <v>8</v>
      </c>
      <c r="M12" s="4">
        <f t="shared" si="7"/>
        <v>1</v>
      </c>
      <c r="N12" s="4">
        <f t="shared" si="8"/>
        <v>7.64314</v>
      </c>
      <c r="O12" s="4">
        <f t="shared" si="9"/>
        <v>2.1</v>
      </c>
      <c r="P12" s="4">
        <f t="shared" si="10"/>
        <v>16.41</v>
      </c>
    </row>
    <row r="13">
      <c r="A13" s="4">
        <v>2014.0</v>
      </c>
      <c r="B13" s="4">
        <v>163.0</v>
      </c>
      <c r="C13" s="4">
        <v>9.11</v>
      </c>
      <c r="D13" s="4">
        <v>22.27</v>
      </c>
      <c r="E13" s="4">
        <f t="shared" si="1"/>
        <v>1</v>
      </c>
      <c r="F13" s="4">
        <f t="shared" si="2"/>
        <v>1</v>
      </c>
      <c r="G13" s="4">
        <f t="shared" si="3"/>
        <v>28.4149</v>
      </c>
      <c r="H13" s="4">
        <f t="shared" si="4"/>
        <v>29.9734</v>
      </c>
      <c r="I13" s="4">
        <f t="shared" si="5"/>
        <v>1.5585</v>
      </c>
      <c r="J13" s="4">
        <v>2.6</v>
      </c>
      <c r="K13" s="4">
        <v>15.39</v>
      </c>
      <c r="L13" s="4">
        <f t="shared" si="6"/>
        <v>8</v>
      </c>
      <c r="M13" s="4">
        <f t="shared" si="7"/>
        <v>1</v>
      </c>
      <c r="N13" s="4">
        <f t="shared" si="8"/>
        <v>9.45213</v>
      </c>
      <c r="O13" s="4">
        <f t="shared" si="9"/>
        <v>2.6</v>
      </c>
      <c r="P13" s="4">
        <f t="shared" si="10"/>
        <v>15.39</v>
      </c>
    </row>
    <row r="14">
      <c r="A14" s="4">
        <v>2014.0</v>
      </c>
      <c r="B14" s="4">
        <v>164.0</v>
      </c>
      <c r="C14" s="4">
        <v>7.3</v>
      </c>
      <c r="D14" s="4">
        <v>21.0</v>
      </c>
      <c r="E14" s="4">
        <f t="shared" si="1"/>
        <v>1</v>
      </c>
      <c r="F14" s="4">
        <f t="shared" si="2"/>
        <v>1</v>
      </c>
      <c r="G14" s="4">
        <f t="shared" si="3"/>
        <v>24.6134</v>
      </c>
      <c r="H14" s="4">
        <f t="shared" si="4"/>
        <v>27.4344</v>
      </c>
      <c r="I14" s="4">
        <f t="shared" si="5"/>
        <v>2.821</v>
      </c>
      <c r="J14" s="4">
        <v>11.8</v>
      </c>
      <c r="K14" s="4">
        <v>13.46</v>
      </c>
      <c r="L14" s="4">
        <f t="shared" si="6"/>
        <v>8</v>
      </c>
      <c r="M14" s="4">
        <f t="shared" si="7"/>
        <v>1</v>
      </c>
      <c r="N14" s="4">
        <f t="shared" si="8"/>
        <v>8.53137</v>
      </c>
      <c r="O14" s="4">
        <f t="shared" si="9"/>
        <v>11.8</v>
      </c>
      <c r="P14" s="4">
        <f t="shared" si="10"/>
        <v>13.46</v>
      </c>
    </row>
    <row r="15">
      <c r="A15" s="4">
        <v>2014.0</v>
      </c>
      <c r="B15" s="4">
        <v>165.0</v>
      </c>
      <c r="C15" s="4">
        <v>9.63</v>
      </c>
      <c r="D15" s="4">
        <v>20.07</v>
      </c>
      <c r="E15" s="4">
        <f t="shared" si="1"/>
        <v>1</v>
      </c>
      <c r="F15" s="4">
        <f t="shared" si="2"/>
        <v>1</v>
      </c>
      <c r="G15" s="4">
        <f t="shared" si="3"/>
        <v>20.79056</v>
      </c>
      <c r="H15" s="4">
        <f t="shared" si="4"/>
        <v>23.0926</v>
      </c>
      <c r="I15" s="4">
        <f t="shared" si="5"/>
        <v>2.30204</v>
      </c>
      <c r="J15" s="4">
        <v>5.3</v>
      </c>
      <c r="K15" s="4">
        <v>13.76</v>
      </c>
      <c r="L15" s="4">
        <f t="shared" si="6"/>
        <v>8</v>
      </c>
      <c r="M15" s="4">
        <f t="shared" si="7"/>
        <v>1</v>
      </c>
      <c r="N15" s="4">
        <f t="shared" si="8"/>
        <v>4.7615</v>
      </c>
      <c r="O15" s="4">
        <f t="shared" si="9"/>
        <v>5.3</v>
      </c>
      <c r="P15" s="4">
        <f t="shared" si="10"/>
        <v>13.76</v>
      </c>
    </row>
    <row r="16">
      <c r="A16" s="4">
        <v>2014.0</v>
      </c>
      <c r="B16" s="4">
        <v>166.0</v>
      </c>
      <c r="C16" s="4">
        <v>7.84</v>
      </c>
      <c r="D16" s="4">
        <v>18.75</v>
      </c>
      <c r="E16" s="4">
        <f t="shared" si="1"/>
        <v>1</v>
      </c>
      <c r="F16" s="4">
        <f t="shared" si="2"/>
        <v>1</v>
      </c>
      <c r="G16" s="4">
        <f t="shared" si="3"/>
        <v>21.16726</v>
      </c>
      <c r="H16" s="4">
        <f t="shared" si="4"/>
        <v>23.98154</v>
      </c>
      <c r="I16" s="4">
        <f t="shared" si="5"/>
        <v>2.81428</v>
      </c>
      <c r="J16" s="4">
        <v>5.2</v>
      </c>
      <c r="K16" s="4">
        <v>12.27</v>
      </c>
      <c r="L16" s="4">
        <f t="shared" si="6"/>
        <v>8</v>
      </c>
      <c r="M16" s="4">
        <f t="shared" si="7"/>
        <v>1</v>
      </c>
      <c r="N16" s="4">
        <f t="shared" si="8"/>
        <v>0.21358</v>
      </c>
      <c r="O16" s="4">
        <f t="shared" si="9"/>
        <v>5.2</v>
      </c>
      <c r="P16" s="4">
        <f t="shared" si="10"/>
        <v>12.27</v>
      </c>
    </row>
    <row r="17">
      <c r="A17" s="4">
        <v>2014.0</v>
      </c>
      <c r="B17" s="4">
        <v>167.0</v>
      </c>
      <c r="C17" s="4">
        <v>7.5</v>
      </c>
      <c r="D17" s="4">
        <v>16.79</v>
      </c>
      <c r="E17" s="4">
        <f t="shared" si="1"/>
        <v>0</v>
      </c>
      <c r="F17" s="4">
        <f t="shared" si="2"/>
        <v>1</v>
      </c>
      <c r="G17" s="4">
        <f t="shared" si="3"/>
        <v>22.54934</v>
      </c>
      <c r="H17" s="4">
        <f t="shared" si="4"/>
        <v>23.7235</v>
      </c>
      <c r="I17" s="4">
        <f t="shared" si="5"/>
        <v>1.17416</v>
      </c>
      <c r="J17" s="4">
        <v>0.0</v>
      </c>
      <c r="K17" s="4">
        <v>11.32</v>
      </c>
      <c r="L17" s="4">
        <f t="shared" si="6"/>
        <v>3</v>
      </c>
      <c r="M17" s="4">
        <f t="shared" si="7"/>
        <v>1</v>
      </c>
      <c r="N17" s="4">
        <f t="shared" si="8"/>
        <v>6.104078</v>
      </c>
      <c r="O17" s="4">
        <f t="shared" si="9"/>
        <v>0</v>
      </c>
      <c r="P17" s="4">
        <f t="shared" si="10"/>
        <v>11.32</v>
      </c>
    </row>
    <row r="18">
      <c r="A18" s="4">
        <v>2014.0</v>
      </c>
      <c r="B18" s="4">
        <v>168.0</v>
      </c>
      <c r="C18" s="4">
        <v>6.7</v>
      </c>
      <c r="D18" s="4">
        <v>17.21</v>
      </c>
      <c r="E18" s="4">
        <f t="shared" si="1"/>
        <v>1</v>
      </c>
      <c r="F18" s="4">
        <f t="shared" si="2"/>
        <v>1</v>
      </c>
      <c r="G18" s="4">
        <f t="shared" si="3"/>
        <v>27.03538</v>
      </c>
      <c r="H18" s="4">
        <f t="shared" si="4"/>
        <v>30.98069</v>
      </c>
      <c r="I18" s="4">
        <f t="shared" si="5"/>
        <v>3.94531</v>
      </c>
      <c r="J18" s="4">
        <v>1.8</v>
      </c>
      <c r="K18" s="4">
        <v>11.58</v>
      </c>
      <c r="L18" s="4">
        <f t="shared" si="6"/>
        <v>8</v>
      </c>
      <c r="M18" s="4">
        <f t="shared" si="7"/>
        <v>1</v>
      </c>
      <c r="N18" s="4">
        <f t="shared" si="8"/>
        <v>11.540784</v>
      </c>
      <c r="O18" s="4">
        <f t="shared" si="9"/>
        <v>1.8</v>
      </c>
      <c r="P18" s="4">
        <f t="shared" si="10"/>
        <v>11.58</v>
      </c>
    </row>
    <row r="19">
      <c r="A19" s="4">
        <v>2014.0</v>
      </c>
      <c r="B19" s="4">
        <v>169.0</v>
      </c>
      <c r="C19" s="4">
        <v>5.576</v>
      </c>
      <c r="D19" s="4">
        <v>13.8</v>
      </c>
      <c r="E19" s="4">
        <f t="shared" si="1"/>
        <v>1</v>
      </c>
      <c r="F19" s="4">
        <f t="shared" si="2"/>
        <v>1</v>
      </c>
      <c r="G19" s="4">
        <f t="shared" si="3"/>
        <v>25.3794</v>
      </c>
      <c r="H19" s="4">
        <f t="shared" si="4"/>
        <v>29.11204</v>
      </c>
      <c r="I19" s="4">
        <f t="shared" si="5"/>
        <v>3.73264</v>
      </c>
      <c r="J19" s="4">
        <v>0.2</v>
      </c>
      <c r="K19" s="4">
        <v>8.93</v>
      </c>
      <c r="L19" s="4">
        <f t="shared" si="6"/>
        <v>8</v>
      </c>
      <c r="M19" s="4">
        <f t="shared" si="7"/>
        <v>1</v>
      </c>
      <c r="N19" s="4">
        <f t="shared" si="8"/>
        <v>10.441024</v>
      </c>
      <c r="O19" s="4">
        <f t="shared" si="9"/>
        <v>0</v>
      </c>
      <c r="P19" s="4">
        <f t="shared" si="10"/>
        <v>0</v>
      </c>
    </row>
    <row r="20">
      <c r="A20" s="4">
        <v>2014.0</v>
      </c>
      <c r="B20" s="4">
        <v>170.0</v>
      </c>
      <c r="C20" s="4">
        <v>8.24</v>
      </c>
      <c r="D20" s="4">
        <v>18.32</v>
      </c>
      <c r="E20" s="4">
        <f t="shared" si="1"/>
        <v>1</v>
      </c>
      <c r="F20" s="4">
        <f t="shared" si="2"/>
        <v>1</v>
      </c>
      <c r="G20" s="4">
        <f t="shared" si="3"/>
        <v>28.3778</v>
      </c>
      <c r="H20" s="4">
        <f t="shared" si="4"/>
        <v>32.4077</v>
      </c>
      <c r="I20" s="4">
        <f t="shared" si="5"/>
        <v>4.0299</v>
      </c>
      <c r="J20" s="4">
        <v>0.1</v>
      </c>
      <c r="K20" s="4">
        <v>12.46</v>
      </c>
      <c r="L20" s="4">
        <f t="shared" si="6"/>
        <v>8</v>
      </c>
      <c r="M20" s="4">
        <f t="shared" si="7"/>
        <v>1</v>
      </c>
      <c r="N20" s="4">
        <f t="shared" si="8"/>
        <v>10.89291</v>
      </c>
      <c r="O20" s="4">
        <f t="shared" si="9"/>
        <v>0.1</v>
      </c>
      <c r="P20" s="4">
        <f t="shared" si="10"/>
        <v>12.46</v>
      </c>
    </row>
    <row r="21" ht="15.75" customHeight="1">
      <c r="A21" s="4">
        <v>2014.0</v>
      </c>
      <c r="B21" s="4">
        <v>171.0</v>
      </c>
      <c r="C21" s="4">
        <v>8.31</v>
      </c>
      <c r="D21" s="4">
        <v>23.0</v>
      </c>
      <c r="E21" s="4">
        <f t="shared" si="1"/>
        <v>1</v>
      </c>
      <c r="F21" s="4">
        <f t="shared" si="2"/>
        <v>1</v>
      </c>
      <c r="G21" s="4">
        <f t="shared" si="3"/>
        <v>31.0867</v>
      </c>
      <c r="H21" s="4">
        <f t="shared" si="4"/>
        <v>33.8969</v>
      </c>
      <c r="I21" s="4">
        <f t="shared" si="5"/>
        <v>2.8102</v>
      </c>
      <c r="J21" s="4">
        <v>1.0</v>
      </c>
      <c r="K21" s="4">
        <v>15.86</v>
      </c>
      <c r="L21" s="4">
        <f t="shared" si="6"/>
        <v>8</v>
      </c>
      <c r="M21" s="4">
        <f t="shared" si="7"/>
        <v>1</v>
      </c>
      <c r="N21" s="4">
        <f t="shared" si="8"/>
        <v>7.44141</v>
      </c>
      <c r="O21" s="4">
        <f t="shared" si="9"/>
        <v>1</v>
      </c>
      <c r="P21" s="4">
        <f t="shared" si="10"/>
        <v>15.86</v>
      </c>
    </row>
    <row r="22" ht="15.75" customHeight="1">
      <c r="A22" s="4">
        <v>2014.0</v>
      </c>
      <c r="B22" s="4">
        <v>172.0</v>
      </c>
      <c r="C22" s="4">
        <v>12.04</v>
      </c>
      <c r="D22" s="4">
        <v>23.16</v>
      </c>
      <c r="E22" s="4">
        <f t="shared" si="1"/>
        <v>1</v>
      </c>
      <c r="F22" s="4">
        <f t="shared" si="2"/>
        <v>1</v>
      </c>
      <c r="G22" s="4">
        <f t="shared" si="3"/>
        <v>30.55737</v>
      </c>
      <c r="H22" s="4">
        <f t="shared" si="4"/>
        <v>33.1021</v>
      </c>
      <c r="I22" s="4">
        <f t="shared" si="5"/>
        <v>2.54473</v>
      </c>
      <c r="J22" s="4">
        <v>11.3</v>
      </c>
      <c r="K22" s="4">
        <v>15.57</v>
      </c>
      <c r="L22" s="4">
        <f t="shared" si="6"/>
        <v>8</v>
      </c>
      <c r="M22" s="4">
        <f t="shared" si="7"/>
        <v>1</v>
      </c>
      <c r="N22" s="4">
        <f t="shared" si="8"/>
        <v>9.40032</v>
      </c>
      <c r="O22" s="4">
        <f t="shared" si="9"/>
        <v>11.3</v>
      </c>
      <c r="P22" s="4">
        <f t="shared" si="10"/>
        <v>15.57</v>
      </c>
    </row>
    <row r="23" ht="15.75" customHeight="1">
      <c r="A23" s="4">
        <v>2014.0</v>
      </c>
      <c r="B23" s="4">
        <v>173.0</v>
      </c>
      <c r="C23" s="4">
        <v>8.56</v>
      </c>
      <c r="D23" s="4">
        <v>19.69</v>
      </c>
      <c r="E23" s="4">
        <f t="shared" si="1"/>
        <v>1</v>
      </c>
      <c r="F23" s="4">
        <f t="shared" si="2"/>
        <v>1</v>
      </c>
      <c r="G23" s="4">
        <f t="shared" si="3"/>
        <v>24.84362</v>
      </c>
      <c r="H23" s="4">
        <f t="shared" si="4"/>
        <v>27.215805</v>
      </c>
      <c r="I23" s="4">
        <f t="shared" si="5"/>
        <v>2.372185</v>
      </c>
      <c r="J23" s="4">
        <v>0.1</v>
      </c>
      <c r="K23" s="4">
        <v>13.53</v>
      </c>
      <c r="L23" s="4">
        <f t="shared" si="6"/>
        <v>8</v>
      </c>
      <c r="M23" s="4">
        <f t="shared" si="7"/>
        <v>1</v>
      </c>
      <c r="N23" s="4">
        <f t="shared" si="8"/>
        <v>9.23163</v>
      </c>
      <c r="O23" s="4">
        <f t="shared" si="9"/>
        <v>0.1</v>
      </c>
      <c r="P23" s="4">
        <f t="shared" si="10"/>
        <v>13.53</v>
      </c>
    </row>
    <row r="24" ht="15.75" customHeight="1">
      <c r="A24" s="4">
        <v>2014.0</v>
      </c>
      <c r="B24" s="4">
        <v>174.0</v>
      </c>
      <c r="C24" s="4">
        <v>9.34</v>
      </c>
      <c r="D24" s="4">
        <v>17.75</v>
      </c>
      <c r="E24" s="4">
        <f t="shared" si="1"/>
        <v>1</v>
      </c>
      <c r="F24" s="4">
        <f t="shared" si="2"/>
        <v>1</v>
      </c>
      <c r="G24" s="4">
        <f t="shared" si="3"/>
        <v>22.42848</v>
      </c>
      <c r="H24" s="4">
        <f t="shared" si="4"/>
        <v>25.61935</v>
      </c>
      <c r="I24" s="4">
        <f t="shared" si="5"/>
        <v>3.19087</v>
      </c>
      <c r="J24" s="4">
        <v>7.7</v>
      </c>
      <c r="K24" s="4">
        <v>12.63</v>
      </c>
      <c r="L24" s="4">
        <f t="shared" si="6"/>
        <v>8</v>
      </c>
      <c r="M24" s="4">
        <f t="shared" si="7"/>
        <v>1</v>
      </c>
      <c r="N24" s="4">
        <f t="shared" si="8"/>
        <v>8.701906</v>
      </c>
      <c r="O24" s="4">
        <f t="shared" si="9"/>
        <v>7.7</v>
      </c>
      <c r="P24" s="4">
        <f t="shared" si="10"/>
        <v>12.63</v>
      </c>
    </row>
    <row r="25" ht="15.75" customHeight="1">
      <c r="A25" s="4">
        <v>2014.0</v>
      </c>
      <c r="B25" s="4">
        <v>175.0</v>
      </c>
      <c r="C25" s="4">
        <v>7.71</v>
      </c>
      <c r="D25" s="4">
        <v>18.74</v>
      </c>
      <c r="E25" s="4">
        <f t="shared" si="1"/>
        <v>1</v>
      </c>
      <c r="F25" s="4">
        <f t="shared" si="2"/>
        <v>1</v>
      </c>
      <c r="G25" s="4">
        <f t="shared" si="3"/>
        <v>17.99251</v>
      </c>
      <c r="H25" s="4">
        <f t="shared" si="4"/>
        <v>20.80008</v>
      </c>
      <c r="I25" s="4">
        <f t="shared" si="5"/>
        <v>2.80757</v>
      </c>
      <c r="J25" s="4">
        <v>0.5</v>
      </c>
      <c r="K25" s="4">
        <v>12.46</v>
      </c>
      <c r="L25" s="4">
        <f t="shared" si="6"/>
        <v>8</v>
      </c>
      <c r="M25" s="4">
        <f t="shared" si="7"/>
        <v>1</v>
      </c>
      <c r="N25" s="4">
        <f t="shared" si="8"/>
        <v>5.929433</v>
      </c>
      <c r="O25" s="4">
        <f t="shared" si="9"/>
        <v>0.5</v>
      </c>
      <c r="P25" s="4">
        <f t="shared" si="10"/>
        <v>12.46</v>
      </c>
    </row>
    <row r="26" ht="15.75" customHeight="1">
      <c r="A26" s="4">
        <v>2014.0</v>
      </c>
      <c r="B26" s="4">
        <v>176.0</v>
      </c>
      <c r="C26" s="4">
        <v>6.097</v>
      </c>
      <c r="D26" s="4">
        <v>18.98</v>
      </c>
      <c r="E26" s="4">
        <f t="shared" si="1"/>
        <v>1</v>
      </c>
      <c r="F26" s="4">
        <f t="shared" si="2"/>
        <v>1</v>
      </c>
      <c r="G26" s="4">
        <f t="shared" si="3"/>
        <v>21.90496</v>
      </c>
      <c r="H26" s="4">
        <f t="shared" si="4"/>
        <v>21.94748</v>
      </c>
      <c r="I26" s="4">
        <f t="shared" si="5"/>
        <v>0.04252</v>
      </c>
      <c r="J26" s="4">
        <v>0.1</v>
      </c>
      <c r="K26" s="4">
        <v>12.74</v>
      </c>
      <c r="L26" s="4">
        <f t="shared" si="6"/>
        <v>8</v>
      </c>
      <c r="M26" s="4">
        <f t="shared" si="7"/>
        <v>1</v>
      </c>
      <c r="N26" s="4">
        <f t="shared" si="8"/>
        <v>1.037538</v>
      </c>
      <c r="O26" s="4">
        <f t="shared" si="9"/>
        <v>0.1</v>
      </c>
      <c r="P26" s="4">
        <f t="shared" si="10"/>
        <v>12.74</v>
      </c>
    </row>
    <row r="27" ht="15.75" customHeight="1">
      <c r="A27" s="4">
        <v>2014.0</v>
      </c>
      <c r="B27" s="4">
        <v>177.0</v>
      </c>
      <c r="C27" s="4">
        <v>8.58</v>
      </c>
      <c r="D27" s="4">
        <v>17.16</v>
      </c>
      <c r="E27" s="4">
        <f t="shared" si="1"/>
        <v>0</v>
      </c>
      <c r="F27" s="4">
        <f t="shared" si="2"/>
        <v>0</v>
      </c>
      <c r="G27" s="4">
        <f t="shared" si="3"/>
        <v>22.44186</v>
      </c>
      <c r="H27" s="4">
        <f t="shared" si="4"/>
        <v>21.18494</v>
      </c>
      <c r="I27" s="4" t="str">
        <f t="shared" si="5"/>
        <v> </v>
      </c>
      <c r="J27" s="4">
        <v>0.0</v>
      </c>
      <c r="K27" s="4">
        <v>12.66</v>
      </c>
      <c r="L27" s="4">
        <f t="shared" si="6"/>
        <v>3</v>
      </c>
      <c r="M27" s="4">
        <f t="shared" si="7"/>
        <v>1</v>
      </c>
      <c r="N27" s="4">
        <f t="shared" si="8"/>
        <v>7.63743</v>
      </c>
      <c r="O27" s="4">
        <f t="shared" si="9"/>
        <v>0</v>
      </c>
      <c r="P27" s="4">
        <f t="shared" si="10"/>
        <v>12.66</v>
      </c>
    </row>
    <row r="28" ht="15.75" customHeight="1">
      <c r="A28" s="4">
        <v>2014.0</v>
      </c>
      <c r="B28" s="4">
        <v>178.0</v>
      </c>
      <c r="C28" s="4">
        <v>8.38</v>
      </c>
      <c r="D28" s="4">
        <v>16.53</v>
      </c>
      <c r="E28" s="4">
        <f t="shared" si="1"/>
        <v>1</v>
      </c>
      <c r="F28" s="4">
        <f t="shared" si="2"/>
        <v>0</v>
      </c>
      <c r="G28" s="4">
        <f t="shared" si="3"/>
        <v>29.36754</v>
      </c>
      <c r="H28" s="4">
        <f t="shared" si="4"/>
        <v>29.36425</v>
      </c>
      <c r="I28" s="4" t="str">
        <f t="shared" si="5"/>
        <v> </v>
      </c>
      <c r="J28" s="4">
        <v>0.3</v>
      </c>
      <c r="K28" s="4">
        <v>11.99</v>
      </c>
      <c r="L28" s="4">
        <f t="shared" si="6"/>
        <v>8</v>
      </c>
      <c r="M28" s="4">
        <f t="shared" si="7"/>
        <v>1</v>
      </c>
      <c r="N28" s="4">
        <f t="shared" si="8"/>
        <v>5.060018</v>
      </c>
      <c r="O28" s="4">
        <f t="shared" si="9"/>
        <v>0.3</v>
      </c>
      <c r="P28" s="4">
        <f t="shared" si="10"/>
        <v>11.99</v>
      </c>
    </row>
    <row r="29" ht="15.75" customHeight="1">
      <c r="A29" s="4">
        <v>2014.0</v>
      </c>
      <c r="B29" s="4">
        <v>179.0</v>
      </c>
      <c r="C29" s="4">
        <v>8.04</v>
      </c>
      <c r="D29" s="4">
        <v>11.96</v>
      </c>
      <c r="E29" s="4">
        <f t="shared" si="1"/>
        <v>1</v>
      </c>
      <c r="F29" s="4">
        <f t="shared" si="2"/>
        <v>0</v>
      </c>
      <c r="G29" s="4">
        <f t="shared" si="3"/>
        <v>31.28648</v>
      </c>
      <c r="H29" s="4">
        <f t="shared" si="4"/>
        <v>30.05279</v>
      </c>
      <c r="I29" s="4" t="str">
        <f t="shared" si="5"/>
        <v> </v>
      </c>
      <c r="J29" s="4">
        <v>1.1</v>
      </c>
      <c r="K29" s="4">
        <v>9.98</v>
      </c>
      <c r="L29" s="4">
        <f t="shared" si="6"/>
        <v>8</v>
      </c>
      <c r="M29" s="4">
        <f t="shared" si="7"/>
        <v>0</v>
      </c>
      <c r="N29" s="4">
        <f t="shared" si="8"/>
        <v>-2.727866</v>
      </c>
      <c r="O29" s="4">
        <f t="shared" si="9"/>
        <v>0</v>
      </c>
      <c r="P29" s="4">
        <f t="shared" si="10"/>
        <v>0</v>
      </c>
    </row>
    <row r="30" ht="15.75" customHeight="1">
      <c r="A30" s="4">
        <v>2014.0</v>
      </c>
      <c r="B30" s="4">
        <v>180.0</v>
      </c>
      <c r="C30" s="4">
        <v>5.676</v>
      </c>
      <c r="D30" s="4">
        <v>21.65</v>
      </c>
      <c r="E30" s="4">
        <f t="shared" si="1"/>
        <v>0</v>
      </c>
      <c r="F30" s="4">
        <f t="shared" si="2"/>
        <v>0</v>
      </c>
      <c r="G30" s="4">
        <f t="shared" si="3"/>
        <v>34.2652</v>
      </c>
      <c r="H30" s="4">
        <f t="shared" si="4"/>
        <v>31.85959</v>
      </c>
      <c r="I30" s="4" t="str">
        <f t="shared" si="5"/>
        <v> </v>
      </c>
      <c r="J30" s="4">
        <v>0.0</v>
      </c>
      <c r="K30" s="4">
        <v>13.95</v>
      </c>
      <c r="L30" s="4">
        <f t="shared" si="6"/>
        <v>3</v>
      </c>
      <c r="M30" s="4">
        <f t="shared" si="7"/>
        <v>0</v>
      </c>
      <c r="N30" s="4">
        <f t="shared" si="8"/>
        <v>-6.295466</v>
      </c>
      <c r="O30" s="4">
        <f t="shared" si="9"/>
        <v>0</v>
      </c>
      <c r="P30" s="4">
        <f t="shared" si="10"/>
        <v>13.95</v>
      </c>
    </row>
    <row r="31" ht="15.75" customHeight="1">
      <c r="A31" s="4">
        <v>2014.0</v>
      </c>
      <c r="B31" s="4">
        <v>181.0</v>
      </c>
      <c r="C31" s="4">
        <v>9.63</v>
      </c>
      <c r="D31" s="4">
        <v>26.24</v>
      </c>
      <c r="E31" s="4">
        <f t="shared" si="1"/>
        <v>0</v>
      </c>
      <c r="F31" s="4">
        <f t="shared" si="2"/>
        <v>0</v>
      </c>
      <c r="G31" s="4">
        <f t="shared" si="3"/>
        <v>40.1544</v>
      </c>
      <c r="H31" s="4">
        <f t="shared" si="4"/>
        <v>37.10855</v>
      </c>
      <c r="I31" s="4" t="str">
        <f t="shared" si="5"/>
        <v> </v>
      </c>
      <c r="J31" s="4">
        <v>0.0</v>
      </c>
      <c r="K31" s="4">
        <v>19.46</v>
      </c>
      <c r="L31" s="4">
        <f t="shared" si="6"/>
        <v>3</v>
      </c>
      <c r="M31" s="4">
        <f t="shared" si="7"/>
        <v>0</v>
      </c>
      <c r="N31" s="4">
        <f t="shared" si="8"/>
        <v>-6.87684</v>
      </c>
      <c r="O31" s="4">
        <f t="shared" si="9"/>
        <v>0</v>
      </c>
      <c r="P31" s="4">
        <f t="shared" si="10"/>
        <v>19.46</v>
      </c>
    </row>
    <row r="32" ht="15.75" customHeight="1">
      <c r="A32" s="4">
        <v>2014.0</v>
      </c>
      <c r="B32" s="4">
        <v>182.0</v>
      </c>
      <c r="C32" s="4">
        <v>16.07</v>
      </c>
      <c r="D32" s="4">
        <v>29.64</v>
      </c>
      <c r="E32" s="4">
        <f t="shared" si="1"/>
        <v>0</v>
      </c>
      <c r="F32" s="4">
        <f t="shared" si="2"/>
        <v>0</v>
      </c>
      <c r="G32" s="4">
        <f t="shared" si="3"/>
        <v>43.7261</v>
      </c>
      <c r="H32" s="4">
        <f t="shared" si="4"/>
        <v>40.7075</v>
      </c>
      <c r="I32" s="4" t="str">
        <f t="shared" si="5"/>
        <v> </v>
      </c>
      <c r="J32" s="4">
        <v>0.0</v>
      </c>
      <c r="K32" s="4">
        <v>22.99</v>
      </c>
      <c r="L32" s="4">
        <f t="shared" si="6"/>
        <v>3</v>
      </c>
      <c r="M32" s="4">
        <f t="shared" si="7"/>
        <v>1</v>
      </c>
      <c r="N32" s="4">
        <f t="shared" si="8"/>
        <v>1.6219</v>
      </c>
      <c r="O32" s="4">
        <f t="shared" si="9"/>
        <v>0</v>
      </c>
      <c r="P32" s="4">
        <f t="shared" si="10"/>
        <v>22.99</v>
      </c>
    </row>
    <row r="33" ht="15.75" customHeight="1">
      <c r="A33" s="4">
        <v>2014.0</v>
      </c>
      <c r="B33" s="4">
        <v>183.0</v>
      </c>
      <c r="C33" s="4">
        <v>12.29</v>
      </c>
      <c r="D33" s="4">
        <v>29.97</v>
      </c>
      <c r="E33" s="4">
        <f t="shared" si="1"/>
        <v>1</v>
      </c>
      <c r="F33" s="4">
        <f t="shared" si="2"/>
        <v>0</v>
      </c>
      <c r="G33" s="4">
        <f t="shared" si="3"/>
        <v>44.1082</v>
      </c>
      <c r="H33" s="4">
        <f t="shared" si="4"/>
        <v>41.1603</v>
      </c>
      <c r="I33" s="4" t="str">
        <f t="shared" si="5"/>
        <v> </v>
      </c>
      <c r="J33" s="4">
        <v>3.3</v>
      </c>
      <c r="K33" s="4">
        <v>20.71</v>
      </c>
      <c r="L33" s="4">
        <f t="shared" si="6"/>
        <v>8</v>
      </c>
      <c r="M33" s="4">
        <f t="shared" si="7"/>
        <v>1</v>
      </c>
      <c r="N33" s="4">
        <f t="shared" si="8"/>
        <v>1.60834</v>
      </c>
      <c r="O33" s="4">
        <f t="shared" si="9"/>
        <v>3.3</v>
      </c>
      <c r="P33" s="4">
        <f t="shared" si="10"/>
        <v>20.71</v>
      </c>
    </row>
    <row r="34" ht="15.75" customHeight="1">
      <c r="A34" s="4">
        <v>2014.0</v>
      </c>
      <c r="B34" s="4">
        <v>184.0</v>
      </c>
      <c r="C34" s="4">
        <v>10.17</v>
      </c>
      <c r="D34" s="4">
        <v>24.16</v>
      </c>
      <c r="E34" s="4">
        <f t="shared" si="1"/>
        <v>1</v>
      </c>
      <c r="F34" s="4">
        <f t="shared" si="2"/>
        <v>0</v>
      </c>
      <c r="G34" s="4">
        <f t="shared" si="3"/>
        <v>38.039</v>
      </c>
      <c r="H34" s="4">
        <f t="shared" si="4"/>
        <v>34.26625</v>
      </c>
      <c r="I34" s="4" t="str">
        <f t="shared" si="5"/>
        <v> </v>
      </c>
      <c r="J34" s="4">
        <v>0.1</v>
      </c>
      <c r="K34" s="4">
        <v>17.1</v>
      </c>
      <c r="L34" s="4">
        <f t="shared" si="6"/>
        <v>8</v>
      </c>
      <c r="M34" s="4">
        <f t="shared" si="7"/>
        <v>0</v>
      </c>
      <c r="N34" s="4">
        <f t="shared" si="8"/>
        <v>-4.41521</v>
      </c>
      <c r="O34" s="4">
        <f t="shared" si="9"/>
        <v>0.1</v>
      </c>
      <c r="P34" s="4">
        <f t="shared" si="10"/>
        <v>17.1</v>
      </c>
    </row>
    <row r="35" ht="15.75" customHeight="1">
      <c r="A35" s="4">
        <v>2014.0</v>
      </c>
      <c r="B35" s="4">
        <v>185.0</v>
      </c>
      <c r="C35" s="4">
        <v>9.5</v>
      </c>
      <c r="D35" s="4">
        <v>23.93</v>
      </c>
      <c r="E35" s="4">
        <f t="shared" si="1"/>
        <v>0</v>
      </c>
      <c r="F35" s="4">
        <f t="shared" si="2"/>
        <v>0</v>
      </c>
      <c r="G35" s="4">
        <f t="shared" si="3"/>
        <v>35.8494</v>
      </c>
      <c r="H35" s="4">
        <f t="shared" si="4"/>
        <v>30.3938</v>
      </c>
      <c r="I35" s="4" t="str">
        <f t="shared" si="5"/>
        <v> </v>
      </c>
      <c r="J35" s="4">
        <v>0.0</v>
      </c>
      <c r="K35" s="4">
        <v>17.76</v>
      </c>
      <c r="L35" s="4">
        <f t="shared" si="6"/>
        <v>3</v>
      </c>
      <c r="M35" s="4">
        <f t="shared" si="7"/>
        <v>0</v>
      </c>
      <c r="N35" s="4">
        <f t="shared" si="8"/>
        <v>-9.11347</v>
      </c>
      <c r="O35" s="4">
        <f t="shared" si="9"/>
        <v>0</v>
      </c>
      <c r="P35" s="4">
        <f t="shared" si="10"/>
        <v>17.76</v>
      </c>
    </row>
    <row r="36" ht="15.75" customHeight="1">
      <c r="A36" s="4">
        <v>2014.0</v>
      </c>
      <c r="B36" s="4">
        <v>186.0</v>
      </c>
      <c r="C36" s="4">
        <v>12.58</v>
      </c>
      <c r="D36" s="4">
        <v>24.76</v>
      </c>
      <c r="E36" s="4">
        <f t="shared" si="1"/>
        <v>0</v>
      </c>
      <c r="F36" s="4">
        <f t="shared" si="2"/>
        <v>0</v>
      </c>
      <c r="G36" s="4">
        <f t="shared" si="3"/>
        <v>38.6848</v>
      </c>
      <c r="H36" s="4">
        <f t="shared" si="4"/>
        <v>33.03645</v>
      </c>
      <c r="I36" s="4" t="str">
        <f t="shared" si="5"/>
        <v> </v>
      </c>
      <c r="J36" s="4">
        <v>0.0</v>
      </c>
      <c r="K36" s="4">
        <v>18.74</v>
      </c>
      <c r="L36" s="4">
        <f t="shared" si="6"/>
        <v>3</v>
      </c>
      <c r="M36" s="4">
        <f t="shared" si="7"/>
        <v>0</v>
      </c>
      <c r="N36" s="4">
        <f t="shared" si="8"/>
        <v>-10.03561</v>
      </c>
      <c r="O36" s="4">
        <f t="shared" si="9"/>
        <v>0</v>
      </c>
      <c r="P36" s="4">
        <f t="shared" si="10"/>
        <v>18.74</v>
      </c>
    </row>
    <row r="37" ht="15.75" customHeight="1">
      <c r="A37" s="4">
        <v>2014.0</v>
      </c>
      <c r="B37" s="4">
        <v>187.0</v>
      </c>
      <c r="C37" s="4">
        <v>12.33</v>
      </c>
      <c r="D37" s="4">
        <v>27.71</v>
      </c>
      <c r="E37" s="4">
        <f t="shared" si="1"/>
        <v>0</v>
      </c>
      <c r="F37" s="4">
        <f t="shared" si="2"/>
        <v>0</v>
      </c>
      <c r="G37" s="4">
        <f t="shared" si="3"/>
        <v>36.9673</v>
      </c>
      <c r="H37" s="4">
        <f t="shared" si="4"/>
        <v>32.88595</v>
      </c>
      <c r="I37" s="4" t="str">
        <f t="shared" si="5"/>
        <v> </v>
      </c>
      <c r="J37" s="4">
        <v>0.0</v>
      </c>
      <c r="K37" s="4">
        <v>20.65</v>
      </c>
      <c r="L37" s="4">
        <f t="shared" si="6"/>
        <v>3</v>
      </c>
      <c r="M37" s="4">
        <f t="shared" si="7"/>
        <v>0</v>
      </c>
      <c r="N37" s="4">
        <f t="shared" si="8"/>
        <v>-10.93797</v>
      </c>
      <c r="O37" s="4">
        <f t="shared" si="9"/>
        <v>0</v>
      </c>
      <c r="P37" s="4">
        <f t="shared" si="10"/>
        <v>20.65</v>
      </c>
    </row>
    <row r="38" ht="15.75" customHeight="1">
      <c r="A38" s="4">
        <v>2014.0</v>
      </c>
      <c r="B38" s="4">
        <v>188.0</v>
      </c>
      <c r="C38" s="4">
        <v>12.04</v>
      </c>
      <c r="D38" s="4">
        <v>28.15</v>
      </c>
      <c r="E38" s="4">
        <f t="shared" si="1"/>
        <v>0</v>
      </c>
      <c r="F38" s="4">
        <f t="shared" si="2"/>
        <v>0</v>
      </c>
      <c r="G38" s="4">
        <f t="shared" si="3"/>
        <v>31.7057</v>
      </c>
      <c r="H38" s="4">
        <f t="shared" si="4"/>
        <v>27.7768</v>
      </c>
      <c r="I38" s="4" t="str">
        <f t="shared" si="5"/>
        <v> </v>
      </c>
      <c r="J38" s="4">
        <v>0.0</v>
      </c>
      <c r="K38" s="4">
        <v>20.72</v>
      </c>
      <c r="L38" s="4">
        <f t="shared" si="6"/>
        <v>3</v>
      </c>
      <c r="M38" s="4">
        <f t="shared" si="7"/>
        <v>0</v>
      </c>
      <c r="N38" s="4">
        <f t="shared" si="8"/>
        <v>-10.57362</v>
      </c>
      <c r="O38" s="4">
        <f t="shared" si="9"/>
        <v>0</v>
      </c>
      <c r="P38" s="4">
        <f t="shared" si="10"/>
        <v>20.72</v>
      </c>
    </row>
    <row r="39" ht="15.75" customHeight="1">
      <c r="A39" s="4">
        <v>2014.0</v>
      </c>
      <c r="B39" s="4">
        <v>189.0</v>
      </c>
      <c r="C39" s="4">
        <v>11.57</v>
      </c>
      <c r="D39" s="4">
        <v>27.6</v>
      </c>
      <c r="E39" s="4">
        <f t="shared" si="1"/>
        <v>0</v>
      </c>
      <c r="F39" s="4">
        <f t="shared" si="2"/>
        <v>0</v>
      </c>
      <c r="G39" s="4">
        <f t="shared" si="3"/>
        <v>35.5919</v>
      </c>
      <c r="H39" s="4">
        <f t="shared" si="4"/>
        <v>31.5102</v>
      </c>
      <c r="I39" s="4" t="str">
        <f t="shared" si="5"/>
        <v> </v>
      </c>
      <c r="J39" s="4">
        <v>0.0</v>
      </c>
      <c r="K39" s="4">
        <v>19.86</v>
      </c>
      <c r="L39" s="4">
        <f t="shared" si="6"/>
        <v>3</v>
      </c>
      <c r="M39" s="4">
        <f t="shared" si="7"/>
        <v>0</v>
      </c>
      <c r="N39" s="4">
        <f t="shared" si="8"/>
        <v>-6.33454</v>
      </c>
      <c r="O39" s="4">
        <f t="shared" si="9"/>
        <v>0</v>
      </c>
      <c r="P39" s="4">
        <f t="shared" si="10"/>
        <v>19.86</v>
      </c>
    </row>
    <row r="40" ht="15.75" customHeight="1">
      <c r="A40" s="4">
        <v>2014.0</v>
      </c>
      <c r="B40" s="4">
        <v>190.0</v>
      </c>
      <c r="C40" s="4">
        <v>12.01</v>
      </c>
      <c r="D40" s="4">
        <v>27.61</v>
      </c>
      <c r="E40" s="4">
        <f t="shared" si="1"/>
        <v>0</v>
      </c>
      <c r="F40" s="4">
        <f t="shared" si="2"/>
        <v>0</v>
      </c>
      <c r="G40" s="4">
        <f t="shared" si="3"/>
        <v>35.5365</v>
      </c>
      <c r="H40" s="4">
        <f t="shared" si="4"/>
        <v>30.29545</v>
      </c>
      <c r="I40" s="4" t="str">
        <f t="shared" si="5"/>
        <v> </v>
      </c>
      <c r="J40" s="4">
        <v>0.0</v>
      </c>
      <c r="K40" s="4">
        <v>20.67</v>
      </c>
      <c r="L40" s="4">
        <f t="shared" si="6"/>
        <v>3</v>
      </c>
      <c r="M40" s="4">
        <f t="shared" si="7"/>
        <v>1</v>
      </c>
      <c r="N40" s="4">
        <f t="shared" si="8"/>
        <v>0.58012</v>
      </c>
      <c r="O40" s="4">
        <f t="shared" si="9"/>
        <v>0</v>
      </c>
      <c r="P40" s="4">
        <f t="shared" si="10"/>
        <v>20.67</v>
      </c>
    </row>
    <row r="41" ht="15.75" customHeight="1">
      <c r="A41" s="4">
        <v>2014.0</v>
      </c>
      <c r="B41" s="4">
        <v>191.0</v>
      </c>
      <c r="C41" s="4">
        <v>10.3</v>
      </c>
      <c r="D41" s="4">
        <v>21.6</v>
      </c>
      <c r="E41" s="4">
        <f t="shared" si="1"/>
        <v>1</v>
      </c>
      <c r="F41" s="4">
        <f t="shared" si="2"/>
        <v>0</v>
      </c>
      <c r="G41" s="4">
        <f t="shared" si="3"/>
        <v>35.9466</v>
      </c>
      <c r="H41" s="4">
        <f t="shared" si="4"/>
        <v>32.64375</v>
      </c>
      <c r="I41" s="4" t="str">
        <f t="shared" si="5"/>
        <v> </v>
      </c>
      <c r="J41" s="4">
        <v>0.2</v>
      </c>
      <c r="K41" s="4">
        <v>15.21</v>
      </c>
      <c r="L41" s="4">
        <f t="shared" si="6"/>
        <v>8</v>
      </c>
      <c r="M41" s="4">
        <f t="shared" si="7"/>
        <v>0</v>
      </c>
      <c r="N41" s="4">
        <f t="shared" si="8"/>
        <v>-2.71199</v>
      </c>
      <c r="O41" s="4">
        <f t="shared" si="9"/>
        <v>0.2</v>
      </c>
      <c r="P41" s="4">
        <f t="shared" si="10"/>
        <v>15.21</v>
      </c>
    </row>
    <row r="42" ht="15.75" customHeight="1">
      <c r="A42" s="4">
        <v>2014.0</v>
      </c>
      <c r="B42" s="4">
        <v>192.0</v>
      </c>
      <c r="C42" s="4">
        <v>10.3</v>
      </c>
      <c r="D42" s="4">
        <v>15.14</v>
      </c>
      <c r="E42" s="4">
        <f t="shared" si="1"/>
        <v>0</v>
      </c>
      <c r="F42" s="4">
        <f t="shared" si="2"/>
        <v>0</v>
      </c>
      <c r="G42" s="4">
        <f t="shared" si="3"/>
        <v>33.5696</v>
      </c>
      <c r="H42" s="4">
        <f t="shared" si="4"/>
        <v>28.544</v>
      </c>
      <c r="I42" s="4" t="str">
        <f t="shared" si="5"/>
        <v> </v>
      </c>
      <c r="J42" s="4">
        <v>0.0</v>
      </c>
      <c r="K42" s="4">
        <v>12.54</v>
      </c>
      <c r="L42" s="4">
        <f t="shared" si="6"/>
        <v>3</v>
      </c>
      <c r="M42" s="4">
        <f t="shared" si="7"/>
        <v>0</v>
      </c>
      <c r="N42" s="4">
        <f t="shared" si="8"/>
        <v>-7.19499</v>
      </c>
      <c r="O42" s="4">
        <f t="shared" si="9"/>
        <v>0</v>
      </c>
      <c r="P42" s="4">
        <f t="shared" si="10"/>
        <v>12.54</v>
      </c>
    </row>
    <row r="43" ht="15.75" customHeight="1">
      <c r="A43" s="4">
        <v>2014.0</v>
      </c>
      <c r="B43" s="4">
        <v>193.0</v>
      </c>
      <c r="C43" s="4">
        <v>12.23</v>
      </c>
      <c r="D43" s="4">
        <v>26.21</v>
      </c>
      <c r="E43" s="4">
        <f t="shared" si="1"/>
        <v>0</v>
      </c>
      <c r="F43" s="4">
        <f t="shared" si="2"/>
        <v>0</v>
      </c>
      <c r="G43" s="4">
        <f t="shared" si="3"/>
        <v>45.9968</v>
      </c>
      <c r="H43" s="4">
        <f t="shared" si="4"/>
        <v>41.7095</v>
      </c>
      <c r="I43" s="4" t="str">
        <f t="shared" si="5"/>
        <v> </v>
      </c>
      <c r="J43" s="4">
        <v>0.0</v>
      </c>
      <c r="K43" s="4">
        <v>19.39</v>
      </c>
      <c r="L43" s="4">
        <f t="shared" si="6"/>
        <v>3</v>
      </c>
      <c r="M43" s="4">
        <f t="shared" si="7"/>
        <v>0</v>
      </c>
      <c r="N43" s="4">
        <f t="shared" si="8"/>
        <v>-10.33179</v>
      </c>
      <c r="O43" s="4">
        <f t="shared" si="9"/>
        <v>0</v>
      </c>
      <c r="P43" s="4">
        <f t="shared" si="10"/>
        <v>19.39</v>
      </c>
    </row>
    <row r="44" ht="15.75" customHeight="1">
      <c r="A44" s="4">
        <v>2014.0</v>
      </c>
      <c r="B44" s="4">
        <v>194.0</v>
      </c>
      <c r="C44" s="4">
        <v>12.85</v>
      </c>
      <c r="D44" s="4">
        <v>28.49</v>
      </c>
      <c r="E44" s="4">
        <f t="shared" si="1"/>
        <v>0</v>
      </c>
      <c r="F44" s="4">
        <f t="shared" si="2"/>
        <v>0</v>
      </c>
      <c r="G44" s="4">
        <f t="shared" si="3"/>
        <v>49.4589</v>
      </c>
      <c r="H44" s="4">
        <f t="shared" si="4"/>
        <v>45.4768</v>
      </c>
      <c r="I44" s="4" t="str">
        <f t="shared" si="5"/>
        <v> </v>
      </c>
      <c r="J44" s="4">
        <v>0.0</v>
      </c>
      <c r="K44" s="4">
        <v>21.55</v>
      </c>
      <c r="L44" s="4">
        <f t="shared" si="6"/>
        <v>3</v>
      </c>
      <c r="M44" s="4">
        <f t="shared" si="7"/>
        <v>0</v>
      </c>
      <c r="N44" s="4">
        <f t="shared" si="8"/>
        <v>-12.00451</v>
      </c>
      <c r="O44" s="4">
        <f t="shared" si="9"/>
        <v>0</v>
      </c>
      <c r="P44" s="4">
        <f t="shared" si="10"/>
        <v>21.55</v>
      </c>
    </row>
    <row r="45" ht="15.75" customHeight="1">
      <c r="A45" s="4">
        <v>2014.0</v>
      </c>
      <c r="B45" s="4">
        <v>195.0</v>
      </c>
      <c r="C45" s="4">
        <v>13.1</v>
      </c>
      <c r="D45" s="4">
        <v>31.59</v>
      </c>
      <c r="E45" s="4">
        <f t="shared" si="1"/>
        <v>0</v>
      </c>
      <c r="F45" s="4">
        <f t="shared" si="2"/>
        <v>0</v>
      </c>
      <c r="G45" s="4">
        <f t="shared" si="3"/>
        <v>51.222</v>
      </c>
      <c r="H45" s="4">
        <f t="shared" si="4"/>
        <v>46.63965</v>
      </c>
      <c r="I45" s="4" t="str">
        <f t="shared" si="5"/>
        <v> </v>
      </c>
      <c r="J45" s="4">
        <v>0.0</v>
      </c>
      <c r="K45" s="4">
        <v>22.96</v>
      </c>
      <c r="L45" s="4">
        <f t="shared" si="6"/>
        <v>3</v>
      </c>
      <c r="M45" s="4">
        <f t="shared" si="7"/>
        <v>0</v>
      </c>
      <c r="N45" s="4">
        <f t="shared" si="8"/>
        <v>-7.27424</v>
      </c>
      <c r="O45" s="4">
        <f t="shared" si="9"/>
        <v>0</v>
      </c>
      <c r="P45" s="4">
        <f t="shared" si="10"/>
        <v>22.96</v>
      </c>
    </row>
    <row r="46" ht="15.75" customHeight="1">
      <c r="A46" s="4">
        <v>2014.0</v>
      </c>
      <c r="B46" s="4">
        <v>196.0</v>
      </c>
      <c r="C46" s="4">
        <v>12.04</v>
      </c>
      <c r="D46" s="4">
        <v>30.6</v>
      </c>
      <c r="E46" s="4">
        <f t="shared" si="1"/>
        <v>0</v>
      </c>
      <c r="F46" s="4">
        <f t="shared" si="2"/>
        <v>0</v>
      </c>
      <c r="G46" s="4">
        <f t="shared" si="3"/>
        <v>48.6662</v>
      </c>
      <c r="H46" s="4">
        <f t="shared" si="4"/>
        <v>44.90225</v>
      </c>
      <c r="I46" s="4" t="str">
        <f t="shared" si="5"/>
        <v> </v>
      </c>
      <c r="J46" s="4">
        <v>0.0</v>
      </c>
      <c r="K46" s="4">
        <v>22.72</v>
      </c>
      <c r="L46" s="4">
        <f t="shared" si="6"/>
        <v>3</v>
      </c>
      <c r="M46" s="4">
        <f t="shared" si="7"/>
        <v>1</v>
      </c>
      <c r="N46" s="4">
        <f t="shared" si="8"/>
        <v>2.84844</v>
      </c>
      <c r="O46" s="4">
        <f t="shared" si="9"/>
        <v>0</v>
      </c>
      <c r="P46" s="4">
        <f t="shared" si="10"/>
        <v>22.72</v>
      </c>
    </row>
    <row r="47" ht="15.75" customHeight="1">
      <c r="A47" s="4">
        <v>2014.0</v>
      </c>
      <c r="B47" s="4">
        <v>197.0</v>
      </c>
      <c r="C47" s="4">
        <v>13.1</v>
      </c>
      <c r="D47" s="4">
        <v>32.24</v>
      </c>
      <c r="E47" s="4">
        <f t="shared" si="1"/>
        <v>1</v>
      </c>
      <c r="F47" s="4">
        <f t="shared" si="2"/>
        <v>0</v>
      </c>
      <c r="G47" s="4">
        <f t="shared" si="3"/>
        <v>50.2127</v>
      </c>
      <c r="H47" s="4">
        <f t="shared" si="4"/>
        <v>46.56625</v>
      </c>
      <c r="I47" s="4" t="str">
        <f t="shared" si="5"/>
        <v> </v>
      </c>
      <c r="J47" s="4">
        <v>3.3</v>
      </c>
      <c r="K47" s="4">
        <v>22.46</v>
      </c>
      <c r="L47" s="4">
        <f t="shared" si="6"/>
        <v>8</v>
      </c>
      <c r="M47" s="4">
        <f t="shared" si="7"/>
        <v>1</v>
      </c>
      <c r="N47" s="4">
        <f t="shared" si="8"/>
        <v>1.79686</v>
      </c>
      <c r="O47" s="4">
        <f t="shared" si="9"/>
        <v>3.3</v>
      </c>
      <c r="P47" s="4">
        <f t="shared" si="10"/>
        <v>22.46</v>
      </c>
    </row>
    <row r="48" ht="15.75" customHeight="1">
      <c r="A48" s="4">
        <v>2014.0</v>
      </c>
      <c r="B48" s="4">
        <v>198.0</v>
      </c>
      <c r="C48" s="4">
        <v>14.47</v>
      </c>
      <c r="D48" s="4">
        <v>29.86</v>
      </c>
      <c r="E48" s="4">
        <f t="shared" si="1"/>
        <v>1</v>
      </c>
      <c r="F48" s="4">
        <f t="shared" si="2"/>
        <v>0</v>
      </c>
      <c r="G48" s="4">
        <f t="shared" si="3"/>
        <v>45.4011</v>
      </c>
      <c r="H48" s="4">
        <f t="shared" si="4"/>
        <v>41.09135</v>
      </c>
      <c r="I48" s="4" t="str">
        <f t="shared" si="5"/>
        <v> </v>
      </c>
      <c r="J48" s="4">
        <v>3.5</v>
      </c>
      <c r="K48" s="4">
        <v>21.08</v>
      </c>
      <c r="L48" s="4">
        <f t="shared" si="6"/>
        <v>8</v>
      </c>
      <c r="M48" s="4">
        <f t="shared" si="7"/>
        <v>0</v>
      </c>
      <c r="N48" s="4">
        <f t="shared" si="8"/>
        <v>-7.36836</v>
      </c>
      <c r="O48" s="4">
        <f t="shared" si="9"/>
        <v>3.5</v>
      </c>
      <c r="P48" s="4">
        <f t="shared" si="10"/>
        <v>21.08</v>
      </c>
    </row>
    <row r="49" ht="15.75" customHeight="1">
      <c r="A49" s="4">
        <v>2014.0</v>
      </c>
      <c r="B49" s="4">
        <v>199.0</v>
      </c>
      <c r="C49" s="4">
        <v>14.17</v>
      </c>
      <c r="D49" s="4">
        <v>27.57</v>
      </c>
      <c r="E49" s="4">
        <f t="shared" si="1"/>
        <v>0</v>
      </c>
      <c r="F49" s="4">
        <f t="shared" si="2"/>
        <v>0</v>
      </c>
      <c r="G49" s="4">
        <f t="shared" si="3"/>
        <v>40.0234</v>
      </c>
      <c r="H49" s="4">
        <f t="shared" si="4"/>
        <v>33.8417</v>
      </c>
      <c r="I49" s="4" t="str">
        <f t="shared" si="5"/>
        <v> </v>
      </c>
      <c r="J49" s="4">
        <v>0.0</v>
      </c>
      <c r="K49" s="4">
        <v>21.33</v>
      </c>
      <c r="L49" s="4">
        <f t="shared" si="6"/>
        <v>3</v>
      </c>
      <c r="M49" s="4">
        <f t="shared" si="7"/>
        <v>0</v>
      </c>
      <c r="N49" s="4">
        <f t="shared" si="8"/>
        <v>-11.85798</v>
      </c>
      <c r="O49" s="4">
        <f t="shared" si="9"/>
        <v>0</v>
      </c>
      <c r="P49" s="4">
        <f t="shared" si="10"/>
        <v>21.33</v>
      </c>
    </row>
    <row r="50" ht="15.75" customHeight="1">
      <c r="A50" s="4">
        <v>2014.0</v>
      </c>
      <c r="B50" s="4">
        <v>200.0</v>
      </c>
      <c r="C50" s="4">
        <v>12.61</v>
      </c>
      <c r="D50" s="4">
        <v>26.98</v>
      </c>
      <c r="E50" s="4">
        <f t="shared" si="1"/>
        <v>0</v>
      </c>
      <c r="F50" s="4">
        <f t="shared" si="2"/>
        <v>0</v>
      </c>
      <c r="G50" s="4">
        <f t="shared" si="3"/>
        <v>40.3703</v>
      </c>
      <c r="H50" s="4">
        <f t="shared" si="4"/>
        <v>34.44075</v>
      </c>
      <c r="I50" s="4" t="str">
        <f t="shared" si="5"/>
        <v> </v>
      </c>
      <c r="J50" s="4">
        <v>0.0</v>
      </c>
      <c r="K50" s="4">
        <v>20.23</v>
      </c>
      <c r="L50" s="4">
        <f t="shared" si="6"/>
        <v>3</v>
      </c>
      <c r="M50" s="4">
        <f t="shared" si="7"/>
        <v>0</v>
      </c>
      <c r="N50" s="4">
        <f t="shared" si="8"/>
        <v>-10.7694</v>
      </c>
      <c r="O50" s="4">
        <f t="shared" si="9"/>
        <v>0</v>
      </c>
      <c r="P50" s="4">
        <f t="shared" si="10"/>
        <v>20.23</v>
      </c>
    </row>
    <row r="51" ht="15.75" customHeight="1">
      <c r="A51" s="4">
        <v>2014.0</v>
      </c>
      <c r="B51" s="4">
        <v>201.0</v>
      </c>
      <c r="C51" s="4">
        <v>10.07</v>
      </c>
      <c r="D51" s="4">
        <v>28.79</v>
      </c>
      <c r="E51" s="4">
        <f t="shared" si="1"/>
        <v>0</v>
      </c>
      <c r="F51" s="4">
        <f t="shared" si="2"/>
        <v>0</v>
      </c>
      <c r="G51" s="4">
        <f t="shared" si="3"/>
        <v>40.1056</v>
      </c>
      <c r="H51" s="4">
        <f t="shared" si="4"/>
        <v>34.2455</v>
      </c>
      <c r="I51" s="4" t="str">
        <f t="shared" si="5"/>
        <v> </v>
      </c>
      <c r="J51" s="4">
        <v>0.0</v>
      </c>
      <c r="K51" s="4">
        <v>20.49</v>
      </c>
      <c r="L51" s="4">
        <f t="shared" si="6"/>
        <v>3</v>
      </c>
      <c r="M51" s="4">
        <f t="shared" si="7"/>
        <v>0</v>
      </c>
      <c r="N51" s="4">
        <f t="shared" si="8"/>
        <v>-12.24745</v>
      </c>
      <c r="O51" s="4">
        <f t="shared" si="9"/>
        <v>0</v>
      </c>
      <c r="P51" s="4">
        <f t="shared" si="10"/>
        <v>20.49</v>
      </c>
    </row>
    <row r="52" ht="15.75" customHeight="1">
      <c r="A52" s="4">
        <v>2014.0</v>
      </c>
      <c r="B52" s="4">
        <v>202.0</v>
      </c>
      <c r="C52" s="4">
        <v>11.24</v>
      </c>
      <c r="D52" s="4">
        <v>27.58</v>
      </c>
      <c r="E52" s="4">
        <f t="shared" si="1"/>
        <v>0</v>
      </c>
      <c r="F52" s="4">
        <f t="shared" si="2"/>
        <v>0</v>
      </c>
      <c r="G52" s="4">
        <f t="shared" si="3"/>
        <v>39.3543</v>
      </c>
      <c r="H52" s="4">
        <f t="shared" si="4"/>
        <v>33.47705</v>
      </c>
      <c r="I52" s="4" t="str">
        <f t="shared" si="5"/>
        <v> </v>
      </c>
      <c r="J52" s="4">
        <v>0.0</v>
      </c>
      <c r="K52" s="4">
        <v>20.09</v>
      </c>
      <c r="L52" s="4">
        <f t="shared" si="6"/>
        <v>3</v>
      </c>
      <c r="M52" s="4">
        <f t="shared" si="7"/>
        <v>0</v>
      </c>
      <c r="N52" s="4">
        <f t="shared" si="8"/>
        <v>-11.68705</v>
      </c>
      <c r="O52" s="4">
        <f t="shared" si="9"/>
        <v>0</v>
      </c>
      <c r="P52" s="4">
        <f t="shared" si="10"/>
        <v>20.09</v>
      </c>
    </row>
    <row r="53" ht="15.75" customHeight="1">
      <c r="A53" s="4">
        <v>2014.0</v>
      </c>
      <c r="B53" s="4">
        <v>203.0</v>
      </c>
      <c r="C53" s="4">
        <v>9.11</v>
      </c>
      <c r="D53" s="4">
        <v>25.65</v>
      </c>
      <c r="E53" s="4">
        <f t="shared" si="1"/>
        <v>0</v>
      </c>
      <c r="F53" s="4">
        <f t="shared" si="2"/>
        <v>0</v>
      </c>
      <c r="G53" s="4">
        <f t="shared" si="3"/>
        <v>38.7421</v>
      </c>
      <c r="H53" s="4">
        <f t="shared" si="4"/>
        <v>33.94575</v>
      </c>
      <c r="I53" s="4" t="str">
        <f t="shared" si="5"/>
        <v> </v>
      </c>
      <c r="J53" s="4">
        <v>0.0</v>
      </c>
      <c r="K53" s="4">
        <v>18.33</v>
      </c>
      <c r="L53" s="4">
        <f t="shared" si="6"/>
        <v>3</v>
      </c>
      <c r="M53" s="4">
        <f t="shared" si="7"/>
        <v>0</v>
      </c>
      <c r="N53" s="4">
        <f t="shared" si="8"/>
        <v>-10.44354</v>
      </c>
      <c r="O53" s="4">
        <f t="shared" si="9"/>
        <v>0</v>
      </c>
      <c r="P53" s="4">
        <f t="shared" si="10"/>
        <v>18.33</v>
      </c>
    </row>
    <row r="54" ht="15.75" customHeight="1">
      <c r="A54" s="4">
        <v>2014.0</v>
      </c>
      <c r="B54" s="4">
        <v>204.0</v>
      </c>
      <c r="C54" s="4">
        <v>8.84</v>
      </c>
      <c r="D54" s="4">
        <v>27.91</v>
      </c>
      <c r="E54" s="4">
        <f t="shared" si="1"/>
        <v>0</v>
      </c>
      <c r="F54" s="4">
        <f t="shared" si="2"/>
        <v>0</v>
      </c>
      <c r="G54" s="4">
        <f t="shared" si="3"/>
        <v>41.8761</v>
      </c>
      <c r="H54" s="4">
        <f t="shared" si="4"/>
        <v>34.3165</v>
      </c>
      <c r="I54" s="4" t="str">
        <f t="shared" si="5"/>
        <v> </v>
      </c>
      <c r="J54" s="4">
        <v>0.0</v>
      </c>
      <c r="K54" s="4">
        <v>18.9</v>
      </c>
      <c r="L54" s="4">
        <f t="shared" si="6"/>
        <v>3</v>
      </c>
      <c r="M54" s="4">
        <f t="shared" si="7"/>
        <v>0</v>
      </c>
      <c r="N54" s="4">
        <f t="shared" si="8"/>
        <v>-11.30734</v>
      </c>
      <c r="O54" s="4">
        <f t="shared" si="9"/>
        <v>0</v>
      </c>
      <c r="P54" s="4">
        <f t="shared" si="10"/>
        <v>18.9</v>
      </c>
    </row>
    <row r="55" ht="15.75" customHeight="1">
      <c r="A55" s="4">
        <v>2014.0</v>
      </c>
      <c r="B55" s="4">
        <v>205.0</v>
      </c>
      <c r="C55" s="4">
        <v>10.67</v>
      </c>
      <c r="D55" s="4">
        <v>27.31</v>
      </c>
      <c r="E55" s="4">
        <f t="shared" si="1"/>
        <v>0</v>
      </c>
      <c r="F55" s="4">
        <f t="shared" si="2"/>
        <v>0</v>
      </c>
      <c r="G55" s="4">
        <f t="shared" si="3"/>
        <v>43.577</v>
      </c>
      <c r="H55" s="4">
        <f t="shared" si="4"/>
        <v>37.667</v>
      </c>
      <c r="I55" s="4" t="str">
        <f t="shared" si="5"/>
        <v> </v>
      </c>
      <c r="J55" s="4">
        <v>0.0</v>
      </c>
      <c r="K55" s="4">
        <v>18.77</v>
      </c>
      <c r="L55" s="4">
        <f t="shared" si="6"/>
        <v>3</v>
      </c>
      <c r="M55" s="4">
        <f t="shared" si="7"/>
        <v>0</v>
      </c>
      <c r="N55" s="4">
        <f t="shared" si="8"/>
        <v>-7.22435</v>
      </c>
      <c r="O55" s="4">
        <f t="shared" si="9"/>
        <v>0</v>
      </c>
      <c r="P55" s="4">
        <f t="shared" si="10"/>
        <v>18.77</v>
      </c>
    </row>
    <row r="56" ht="15.75" customHeight="1">
      <c r="A56" s="4">
        <v>2014.0</v>
      </c>
      <c r="B56" s="4">
        <v>206.0</v>
      </c>
      <c r="C56" s="4">
        <v>10.27</v>
      </c>
      <c r="D56" s="4">
        <v>26.68</v>
      </c>
      <c r="E56" s="4">
        <f t="shared" si="1"/>
        <v>0</v>
      </c>
      <c r="F56" s="4">
        <f t="shared" si="2"/>
        <v>0</v>
      </c>
      <c r="G56" s="4">
        <f t="shared" si="3"/>
        <v>45.6763</v>
      </c>
      <c r="H56" s="4">
        <f t="shared" si="4"/>
        <v>39.445</v>
      </c>
      <c r="I56" s="4" t="str">
        <f t="shared" si="5"/>
        <v> </v>
      </c>
      <c r="J56" s="4">
        <v>0.0</v>
      </c>
      <c r="K56" s="4">
        <v>19.13</v>
      </c>
      <c r="L56" s="4">
        <f t="shared" si="6"/>
        <v>3</v>
      </c>
      <c r="M56" s="4">
        <f t="shared" si="7"/>
        <v>0</v>
      </c>
      <c r="N56" s="4">
        <f t="shared" si="8"/>
        <v>-13.28842</v>
      </c>
      <c r="O56" s="4">
        <f t="shared" si="9"/>
        <v>0</v>
      </c>
      <c r="P56" s="4">
        <f t="shared" si="10"/>
        <v>19.13</v>
      </c>
    </row>
    <row r="57" ht="15.75" customHeight="1">
      <c r="A57" s="4">
        <v>2014.0</v>
      </c>
      <c r="B57" s="4">
        <v>207.0</v>
      </c>
      <c r="C57" s="4">
        <v>16.56</v>
      </c>
      <c r="D57" s="4">
        <v>28.3</v>
      </c>
      <c r="E57" s="4">
        <f t="shared" si="1"/>
        <v>0</v>
      </c>
      <c r="F57" s="4">
        <f t="shared" si="2"/>
        <v>0</v>
      </c>
      <c r="G57" s="4">
        <f t="shared" si="3"/>
        <v>51.052</v>
      </c>
      <c r="H57" s="4">
        <f t="shared" si="4"/>
        <v>44.7223</v>
      </c>
      <c r="I57" s="4" t="str">
        <f t="shared" si="5"/>
        <v> </v>
      </c>
      <c r="J57" s="4">
        <v>0.0</v>
      </c>
      <c r="K57" s="4">
        <v>21.84</v>
      </c>
      <c r="L57" s="4">
        <f t="shared" si="6"/>
        <v>3</v>
      </c>
      <c r="M57" s="4">
        <f t="shared" si="7"/>
        <v>0</v>
      </c>
      <c r="N57" s="4">
        <f t="shared" si="8"/>
        <v>-11.28745</v>
      </c>
      <c r="O57" s="4">
        <f t="shared" si="9"/>
        <v>0</v>
      </c>
      <c r="P57" s="4">
        <f t="shared" si="10"/>
        <v>21.84</v>
      </c>
    </row>
    <row r="58" ht="15.75" customHeight="1">
      <c r="A58" s="4">
        <v>2014.0</v>
      </c>
      <c r="B58" s="4">
        <v>208.0</v>
      </c>
      <c r="C58" s="4">
        <v>9.24</v>
      </c>
      <c r="D58" s="4">
        <v>30.12</v>
      </c>
      <c r="E58" s="4">
        <f t="shared" si="1"/>
        <v>0</v>
      </c>
      <c r="F58" s="4">
        <f t="shared" si="2"/>
        <v>0</v>
      </c>
      <c r="G58" s="4">
        <f t="shared" si="3"/>
        <v>51.7513</v>
      </c>
      <c r="H58" s="4">
        <f t="shared" si="4"/>
        <v>44.09405</v>
      </c>
      <c r="I58" s="4" t="str">
        <f t="shared" si="5"/>
        <v> </v>
      </c>
      <c r="J58" s="4">
        <v>0.0</v>
      </c>
      <c r="K58" s="4">
        <v>20.43</v>
      </c>
      <c r="L58" s="4">
        <f t="shared" si="6"/>
        <v>3</v>
      </c>
      <c r="M58" s="4">
        <f t="shared" si="7"/>
        <v>0</v>
      </c>
      <c r="N58" s="4">
        <f t="shared" si="8"/>
        <v>-12.00043</v>
      </c>
      <c r="O58" s="4">
        <f t="shared" si="9"/>
        <v>0</v>
      </c>
      <c r="P58" s="4">
        <f t="shared" si="10"/>
        <v>20.43</v>
      </c>
    </row>
    <row r="59" ht="15.75" customHeight="1">
      <c r="A59" s="4">
        <v>2014.0</v>
      </c>
      <c r="B59" s="4">
        <v>209.0</v>
      </c>
      <c r="C59" s="4">
        <v>12.04</v>
      </c>
      <c r="D59" s="4">
        <v>32.95</v>
      </c>
      <c r="E59" s="4">
        <f t="shared" si="1"/>
        <v>0</v>
      </c>
      <c r="F59" s="4">
        <f t="shared" si="2"/>
        <v>0</v>
      </c>
      <c r="G59" s="4">
        <f t="shared" si="3"/>
        <v>54.1457</v>
      </c>
      <c r="H59" s="4">
        <f t="shared" si="4"/>
        <v>46.7829</v>
      </c>
      <c r="I59" s="4" t="str">
        <f t="shared" si="5"/>
        <v> </v>
      </c>
      <c r="J59" s="4">
        <v>0.0</v>
      </c>
      <c r="K59" s="4">
        <v>23.32</v>
      </c>
      <c r="L59" s="4">
        <f t="shared" si="6"/>
        <v>3</v>
      </c>
      <c r="M59" s="4">
        <f t="shared" si="7"/>
        <v>0</v>
      </c>
      <c r="N59" s="4">
        <f t="shared" si="8"/>
        <v>-10.10396</v>
      </c>
      <c r="O59" s="4">
        <f t="shared" si="9"/>
        <v>0</v>
      </c>
      <c r="P59" s="4">
        <f t="shared" si="10"/>
        <v>23.32</v>
      </c>
    </row>
    <row r="60" ht="15.75" customHeight="1">
      <c r="A60" s="4">
        <v>2014.0</v>
      </c>
      <c r="B60" s="4">
        <v>210.0</v>
      </c>
      <c r="C60" s="4">
        <v>13.1</v>
      </c>
      <c r="D60" s="4">
        <v>32.42</v>
      </c>
      <c r="E60" s="4">
        <f t="shared" si="1"/>
        <v>0</v>
      </c>
      <c r="F60" s="4">
        <f t="shared" si="2"/>
        <v>0</v>
      </c>
      <c r="G60" s="4">
        <f t="shared" si="3"/>
        <v>55.8732</v>
      </c>
      <c r="H60" s="4">
        <f t="shared" si="4"/>
        <v>48.54835</v>
      </c>
      <c r="I60" s="4" t="str">
        <f t="shared" si="5"/>
        <v> </v>
      </c>
      <c r="J60" s="4">
        <v>0.0</v>
      </c>
      <c r="K60" s="4">
        <v>24.16</v>
      </c>
      <c r="L60" s="4">
        <f t="shared" si="6"/>
        <v>3</v>
      </c>
      <c r="M60" s="4">
        <f t="shared" si="7"/>
        <v>0</v>
      </c>
      <c r="N60" s="4">
        <f t="shared" si="8"/>
        <v>-13.20568</v>
      </c>
      <c r="O60" s="4">
        <f t="shared" si="9"/>
        <v>0</v>
      </c>
      <c r="P60" s="4">
        <f t="shared" si="10"/>
        <v>24.16</v>
      </c>
    </row>
    <row r="61" ht="15.75" customHeight="1">
      <c r="A61" s="4">
        <v>2014.0</v>
      </c>
      <c r="B61" s="4">
        <v>211.0</v>
      </c>
      <c r="C61" s="4">
        <v>17.29</v>
      </c>
      <c r="D61" s="4">
        <v>32.88</v>
      </c>
      <c r="E61" s="4">
        <f t="shared" si="1"/>
        <v>0</v>
      </c>
      <c r="F61" s="4">
        <f t="shared" si="2"/>
        <v>0</v>
      </c>
      <c r="G61" s="4">
        <f t="shared" si="3"/>
        <v>55.5248</v>
      </c>
      <c r="H61" s="4">
        <f t="shared" si="4"/>
        <v>48.1253</v>
      </c>
      <c r="I61" s="4" t="str">
        <f t="shared" si="5"/>
        <v> </v>
      </c>
      <c r="J61" s="4">
        <v>0.0</v>
      </c>
      <c r="K61" s="4">
        <v>25.54</v>
      </c>
      <c r="L61" s="4">
        <f t="shared" si="6"/>
        <v>3</v>
      </c>
      <c r="M61" s="4">
        <f t="shared" si="7"/>
        <v>0</v>
      </c>
      <c r="N61" s="4">
        <f t="shared" si="8"/>
        <v>-12.67839</v>
      </c>
      <c r="O61" s="4">
        <f t="shared" si="9"/>
        <v>0</v>
      </c>
      <c r="P61" s="4">
        <f t="shared" si="10"/>
        <v>25.54</v>
      </c>
    </row>
    <row r="62" ht="15.75" customHeight="1">
      <c r="A62" s="4">
        <v>2014.0</v>
      </c>
      <c r="B62" s="4">
        <v>212.0</v>
      </c>
      <c r="C62" s="4">
        <v>13.6</v>
      </c>
      <c r="D62" s="4">
        <v>33.71</v>
      </c>
      <c r="E62" s="4">
        <f t="shared" si="1"/>
        <v>0</v>
      </c>
      <c r="F62" s="4">
        <f t="shared" si="2"/>
        <v>0</v>
      </c>
      <c r="G62" s="4">
        <f t="shared" si="3"/>
        <v>53.736</v>
      </c>
      <c r="H62" s="4">
        <f t="shared" si="4"/>
        <v>46.2312</v>
      </c>
      <c r="I62" s="4" t="str">
        <f t="shared" si="5"/>
        <v> </v>
      </c>
      <c r="J62" s="4">
        <v>0.0</v>
      </c>
      <c r="K62" s="4">
        <v>24.48</v>
      </c>
      <c r="L62" s="4">
        <f t="shared" si="6"/>
        <v>3</v>
      </c>
      <c r="M62" s="4">
        <f t="shared" si="7"/>
        <v>0</v>
      </c>
      <c r="N62" s="4">
        <f t="shared" si="8"/>
        <v>-12.40214</v>
      </c>
      <c r="O62" s="4">
        <f t="shared" si="9"/>
        <v>0</v>
      </c>
      <c r="P62" s="4">
        <f t="shared" si="10"/>
        <v>24.48</v>
      </c>
    </row>
    <row r="63" ht="15.75" customHeight="1">
      <c r="A63" s="4">
        <v>2014.0</v>
      </c>
      <c r="B63" s="4">
        <v>213.0</v>
      </c>
      <c r="C63" s="4">
        <v>13.87</v>
      </c>
      <c r="D63" s="4">
        <v>33.98</v>
      </c>
      <c r="E63" s="4">
        <f t="shared" si="1"/>
        <v>0</v>
      </c>
      <c r="F63" s="4">
        <f t="shared" si="2"/>
        <v>0</v>
      </c>
      <c r="G63" s="4">
        <f t="shared" si="3"/>
        <v>52.9242</v>
      </c>
      <c r="H63" s="4">
        <f t="shared" si="4"/>
        <v>47.3807</v>
      </c>
      <c r="I63" s="4" t="str">
        <f t="shared" si="5"/>
        <v> </v>
      </c>
      <c r="J63" s="4">
        <v>0.0</v>
      </c>
      <c r="K63" s="4">
        <v>24.53</v>
      </c>
      <c r="L63" s="4">
        <f t="shared" si="6"/>
        <v>3</v>
      </c>
      <c r="M63" s="4">
        <f t="shared" si="7"/>
        <v>0</v>
      </c>
      <c r="N63" s="4">
        <f t="shared" si="8"/>
        <v>-11.5403</v>
      </c>
      <c r="O63" s="4">
        <f t="shared" si="9"/>
        <v>0</v>
      </c>
      <c r="P63" s="4">
        <f t="shared" si="10"/>
        <v>24.53</v>
      </c>
    </row>
    <row r="64" ht="15.75" customHeight="1">
      <c r="A64" s="4">
        <v>2014.0</v>
      </c>
      <c r="B64" s="4">
        <v>214.0</v>
      </c>
      <c r="C64" s="4">
        <v>15.0</v>
      </c>
      <c r="D64" s="4">
        <v>35.17</v>
      </c>
      <c r="E64" s="4">
        <f t="shared" si="1"/>
        <v>0</v>
      </c>
      <c r="F64" s="4">
        <f t="shared" si="2"/>
        <v>0</v>
      </c>
      <c r="G64" s="4">
        <f t="shared" si="3"/>
        <v>54.3289</v>
      </c>
      <c r="H64" s="4">
        <f t="shared" si="4"/>
        <v>49.2983</v>
      </c>
      <c r="I64" s="4" t="str">
        <f t="shared" si="5"/>
        <v> </v>
      </c>
      <c r="J64" s="4">
        <v>0.0</v>
      </c>
      <c r="K64" s="4">
        <v>24.66</v>
      </c>
      <c r="L64" s="4">
        <f t="shared" si="6"/>
        <v>3</v>
      </c>
      <c r="M64" s="4">
        <f t="shared" si="7"/>
        <v>0</v>
      </c>
      <c r="N64" s="4">
        <f t="shared" si="8"/>
        <v>-12.68507</v>
      </c>
      <c r="O64" s="4">
        <f t="shared" si="9"/>
        <v>0</v>
      </c>
      <c r="P64" s="4">
        <f t="shared" si="10"/>
        <v>24.66</v>
      </c>
    </row>
    <row r="65" ht="15.75" customHeight="1">
      <c r="A65" s="4">
        <v>2014.0</v>
      </c>
      <c r="B65" s="4">
        <v>215.0</v>
      </c>
      <c r="C65" s="4">
        <v>16.36</v>
      </c>
      <c r="D65" s="4">
        <v>31.09</v>
      </c>
      <c r="E65" s="4">
        <f t="shared" si="1"/>
        <v>0</v>
      </c>
      <c r="F65" s="4">
        <f t="shared" si="2"/>
        <v>0</v>
      </c>
      <c r="G65" s="4">
        <f t="shared" si="3"/>
        <v>52.76</v>
      </c>
      <c r="H65" s="4">
        <f t="shared" si="4"/>
        <v>49.35725</v>
      </c>
      <c r="I65" s="4" t="str">
        <f t="shared" si="5"/>
        <v> </v>
      </c>
      <c r="J65" s="4">
        <v>0.0</v>
      </c>
      <c r="K65" s="4">
        <v>23.71</v>
      </c>
      <c r="L65" s="4">
        <f t="shared" si="6"/>
        <v>3</v>
      </c>
      <c r="M65" s="4">
        <f t="shared" si="7"/>
        <v>0</v>
      </c>
      <c r="N65" s="4">
        <f t="shared" si="8"/>
        <v>-6.22306</v>
      </c>
      <c r="O65" s="4">
        <f t="shared" si="9"/>
        <v>0</v>
      </c>
      <c r="P65" s="4">
        <f t="shared" si="10"/>
        <v>23.71</v>
      </c>
    </row>
    <row r="66" ht="15.75" customHeight="1">
      <c r="A66" s="4">
        <v>2014.0</v>
      </c>
      <c r="B66" s="4">
        <v>216.0</v>
      </c>
      <c r="C66" s="4">
        <v>13.9</v>
      </c>
      <c r="D66" s="4">
        <v>30.2</v>
      </c>
      <c r="E66" s="4">
        <f t="shared" si="1"/>
        <v>0</v>
      </c>
      <c r="F66" s="4">
        <f t="shared" si="2"/>
        <v>0</v>
      </c>
      <c r="G66" s="4">
        <f t="shared" si="3"/>
        <v>50.6271</v>
      </c>
      <c r="H66" s="4">
        <f t="shared" si="4"/>
        <v>49.55295</v>
      </c>
      <c r="I66" s="4" t="str">
        <f t="shared" si="5"/>
        <v> </v>
      </c>
      <c r="J66" s="4">
        <v>0.0</v>
      </c>
      <c r="K66" s="4">
        <v>22.29</v>
      </c>
      <c r="L66" s="4">
        <f t="shared" si="6"/>
        <v>3</v>
      </c>
      <c r="M66" s="4">
        <f t="shared" si="7"/>
        <v>1</v>
      </c>
      <c r="N66" s="4">
        <f t="shared" si="8"/>
        <v>3.44626</v>
      </c>
      <c r="O66" s="4">
        <f t="shared" si="9"/>
        <v>0</v>
      </c>
      <c r="P66" s="4">
        <f t="shared" si="10"/>
        <v>22.29</v>
      </c>
    </row>
    <row r="67" ht="15.75" customHeight="1">
      <c r="A67" s="4">
        <v>2014.0</v>
      </c>
      <c r="B67" s="4">
        <v>217.0</v>
      </c>
      <c r="C67" s="4">
        <v>14.64</v>
      </c>
      <c r="D67" s="4">
        <v>30.52</v>
      </c>
      <c r="E67" s="4">
        <f t="shared" si="1"/>
        <v>1</v>
      </c>
      <c r="F67" s="4">
        <f t="shared" si="2"/>
        <v>0</v>
      </c>
      <c r="G67" s="4">
        <f t="shared" si="3"/>
        <v>54.9092</v>
      </c>
      <c r="H67" s="4">
        <f t="shared" si="4"/>
        <v>53.77765</v>
      </c>
      <c r="I67" s="4" t="str">
        <f t="shared" si="5"/>
        <v> </v>
      </c>
      <c r="J67" s="4">
        <v>9.4</v>
      </c>
      <c r="K67" s="4">
        <v>21.05</v>
      </c>
      <c r="L67" s="4">
        <f t="shared" si="6"/>
        <v>8</v>
      </c>
      <c r="M67" s="4">
        <f t="shared" si="7"/>
        <v>1</v>
      </c>
      <c r="N67" s="4">
        <f t="shared" si="8"/>
        <v>6.27809</v>
      </c>
      <c r="O67" s="4">
        <f t="shared" si="9"/>
        <v>9.4</v>
      </c>
      <c r="P67" s="4">
        <f t="shared" si="10"/>
        <v>21.05</v>
      </c>
    </row>
    <row r="68" ht="15.75" customHeight="1">
      <c r="A68" s="4">
        <v>2014.0</v>
      </c>
      <c r="B68" s="4">
        <v>218.0</v>
      </c>
      <c r="C68" s="4">
        <v>15.29</v>
      </c>
      <c r="D68" s="4">
        <v>30.5</v>
      </c>
      <c r="E68" s="4">
        <f t="shared" si="1"/>
        <v>1</v>
      </c>
      <c r="F68" s="4">
        <f t="shared" si="2"/>
        <v>0</v>
      </c>
      <c r="G68" s="4">
        <f t="shared" si="3"/>
        <v>52.5203</v>
      </c>
      <c r="H68" s="4">
        <f t="shared" si="4"/>
        <v>50.36885</v>
      </c>
      <c r="I68" s="4" t="str">
        <f t="shared" si="5"/>
        <v> </v>
      </c>
      <c r="J68" s="4">
        <v>7.2</v>
      </c>
      <c r="K68" s="4">
        <v>21.38</v>
      </c>
      <c r="L68" s="4">
        <f t="shared" si="6"/>
        <v>8</v>
      </c>
      <c r="M68" s="4">
        <f t="shared" si="7"/>
        <v>1</v>
      </c>
      <c r="N68" s="4">
        <f t="shared" si="8"/>
        <v>6.87003</v>
      </c>
      <c r="O68" s="4">
        <f t="shared" si="9"/>
        <v>7.2</v>
      </c>
      <c r="P68" s="4">
        <f t="shared" si="10"/>
        <v>21.38</v>
      </c>
    </row>
    <row r="69" ht="15.75" customHeight="1">
      <c r="A69" s="4">
        <v>2014.0</v>
      </c>
      <c r="B69" s="4">
        <v>219.0</v>
      </c>
      <c r="C69" s="4">
        <v>14.23</v>
      </c>
      <c r="D69" s="4">
        <v>29.5</v>
      </c>
      <c r="E69" s="4">
        <f t="shared" si="1"/>
        <v>1</v>
      </c>
      <c r="F69" s="4">
        <f t="shared" si="2"/>
        <v>0</v>
      </c>
      <c r="G69" s="4">
        <f t="shared" si="3"/>
        <v>50.2223</v>
      </c>
      <c r="H69" s="4">
        <f t="shared" si="4"/>
        <v>47.2344</v>
      </c>
      <c r="I69" s="4" t="str">
        <f t="shared" si="5"/>
        <v> </v>
      </c>
      <c r="J69" s="4">
        <v>1.9</v>
      </c>
      <c r="K69" s="4">
        <v>19.79</v>
      </c>
      <c r="L69" s="4">
        <f t="shared" si="6"/>
        <v>8</v>
      </c>
      <c r="M69" s="4">
        <f t="shared" si="7"/>
        <v>1</v>
      </c>
      <c r="N69" s="4">
        <f t="shared" si="8"/>
        <v>2.66025</v>
      </c>
      <c r="O69" s="4">
        <f t="shared" si="9"/>
        <v>1.9</v>
      </c>
      <c r="P69" s="4">
        <f t="shared" si="10"/>
        <v>19.79</v>
      </c>
    </row>
    <row r="70" ht="15.75" customHeight="1">
      <c r="A70" s="4">
        <v>2014.0</v>
      </c>
      <c r="B70" s="4">
        <v>220.0</v>
      </c>
      <c r="C70" s="4">
        <v>13.97</v>
      </c>
      <c r="D70" s="4">
        <v>26.34</v>
      </c>
      <c r="E70" s="4">
        <f t="shared" si="1"/>
        <v>1</v>
      </c>
      <c r="F70" s="4">
        <f t="shared" si="2"/>
        <v>0</v>
      </c>
      <c r="G70" s="4">
        <f t="shared" si="3"/>
        <v>48.2334</v>
      </c>
      <c r="H70" s="4">
        <f t="shared" si="4"/>
        <v>45.442</v>
      </c>
      <c r="I70" s="4" t="str">
        <f t="shared" si="5"/>
        <v> </v>
      </c>
      <c r="J70" s="4">
        <v>0.1</v>
      </c>
      <c r="K70" s="4">
        <v>19.56</v>
      </c>
      <c r="L70" s="4">
        <f t="shared" si="6"/>
        <v>8</v>
      </c>
      <c r="M70" s="4">
        <f t="shared" si="7"/>
        <v>0</v>
      </c>
      <c r="N70" s="4">
        <f t="shared" si="8"/>
        <v>-6.17137</v>
      </c>
      <c r="O70" s="4">
        <f t="shared" si="9"/>
        <v>0.1</v>
      </c>
      <c r="P70" s="4">
        <f t="shared" si="10"/>
        <v>19.56</v>
      </c>
    </row>
    <row r="71" ht="15.75" customHeight="1">
      <c r="A71" s="4">
        <v>2014.0</v>
      </c>
      <c r="B71" s="4">
        <v>221.0</v>
      </c>
      <c r="C71" s="4">
        <v>13.83</v>
      </c>
      <c r="D71" s="4">
        <v>29.9</v>
      </c>
      <c r="E71" s="4">
        <f t="shared" si="1"/>
        <v>0</v>
      </c>
      <c r="F71" s="4">
        <f t="shared" si="2"/>
        <v>0</v>
      </c>
      <c r="G71" s="4">
        <f t="shared" si="3"/>
        <v>44.0955</v>
      </c>
      <c r="H71" s="4">
        <f t="shared" si="4"/>
        <v>40.1471</v>
      </c>
      <c r="I71" s="4" t="str">
        <f t="shared" si="5"/>
        <v> </v>
      </c>
      <c r="J71" s="4">
        <v>0.0</v>
      </c>
      <c r="K71" s="4">
        <v>21.48</v>
      </c>
      <c r="L71" s="4">
        <f t="shared" si="6"/>
        <v>3</v>
      </c>
      <c r="M71" s="4">
        <f t="shared" si="7"/>
        <v>0</v>
      </c>
      <c r="N71" s="4">
        <f t="shared" si="8"/>
        <v>-10.15841</v>
      </c>
      <c r="O71" s="4">
        <f t="shared" si="9"/>
        <v>0</v>
      </c>
      <c r="P71" s="4">
        <f t="shared" si="10"/>
        <v>21.48</v>
      </c>
    </row>
    <row r="72" ht="15.75" customHeight="1">
      <c r="A72" s="4">
        <v>2014.0</v>
      </c>
      <c r="B72" s="4">
        <v>222.0</v>
      </c>
      <c r="C72" s="4">
        <v>14.44</v>
      </c>
      <c r="D72" s="4">
        <v>29.7</v>
      </c>
      <c r="E72" s="4">
        <f t="shared" si="1"/>
        <v>0</v>
      </c>
      <c r="F72" s="4">
        <f t="shared" si="2"/>
        <v>0</v>
      </c>
      <c r="G72" s="4">
        <f t="shared" si="3"/>
        <v>45.5014</v>
      </c>
      <c r="H72" s="4">
        <f t="shared" si="4"/>
        <v>43.08325</v>
      </c>
      <c r="I72" s="4" t="str">
        <f t="shared" si="5"/>
        <v> </v>
      </c>
      <c r="J72" s="4">
        <v>0.0</v>
      </c>
      <c r="K72" s="4">
        <v>22.42</v>
      </c>
      <c r="L72" s="4">
        <f t="shared" si="6"/>
        <v>3</v>
      </c>
      <c r="M72" s="4">
        <f t="shared" si="7"/>
        <v>0</v>
      </c>
      <c r="N72" s="4">
        <f t="shared" si="8"/>
        <v>-5.8909</v>
      </c>
      <c r="O72" s="4">
        <f t="shared" si="9"/>
        <v>0</v>
      </c>
      <c r="P72" s="4">
        <f t="shared" si="10"/>
        <v>22.42</v>
      </c>
    </row>
    <row r="73" ht="15.75" customHeight="1">
      <c r="A73" s="4">
        <v>2014.0</v>
      </c>
      <c r="B73" s="4">
        <v>223.0</v>
      </c>
      <c r="C73" s="4">
        <v>15.22</v>
      </c>
      <c r="D73" s="4">
        <v>30.45</v>
      </c>
      <c r="E73" s="4">
        <f t="shared" si="1"/>
        <v>0</v>
      </c>
      <c r="F73" s="4">
        <f t="shared" si="2"/>
        <v>0</v>
      </c>
      <c r="G73" s="4">
        <f t="shared" si="3"/>
        <v>47.9663</v>
      </c>
      <c r="H73" s="4">
        <f t="shared" si="4"/>
        <v>47.1987</v>
      </c>
      <c r="I73" s="4" t="str">
        <f t="shared" si="5"/>
        <v> </v>
      </c>
      <c r="J73" s="4">
        <v>0.0</v>
      </c>
      <c r="K73" s="4">
        <v>22.43</v>
      </c>
      <c r="L73" s="4">
        <f t="shared" si="6"/>
        <v>3</v>
      </c>
      <c r="M73" s="4">
        <f t="shared" si="7"/>
        <v>1</v>
      </c>
      <c r="N73" s="4">
        <f t="shared" si="8"/>
        <v>3.08661</v>
      </c>
      <c r="O73" s="4">
        <f t="shared" si="9"/>
        <v>0</v>
      </c>
      <c r="P73" s="4">
        <f t="shared" si="10"/>
        <v>22.43</v>
      </c>
    </row>
    <row r="74" ht="15.75" customHeight="1">
      <c r="A74" s="4">
        <v>2014.0</v>
      </c>
      <c r="B74" s="4">
        <v>224.0</v>
      </c>
      <c r="C74" s="4">
        <v>15.22</v>
      </c>
      <c r="D74" s="4">
        <v>30.95</v>
      </c>
      <c r="E74" s="4">
        <f t="shared" si="1"/>
        <v>1</v>
      </c>
      <c r="F74" s="4">
        <f t="shared" si="2"/>
        <v>1</v>
      </c>
      <c r="G74" s="4">
        <f t="shared" si="3"/>
        <v>46.9709</v>
      </c>
      <c r="H74" s="4">
        <f t="shared" si="4"/>
        <v>47.3911</v>
      </c>
      <c r="I74" s="4">
        <f t="shared" si="5"/>
        <v>0.4202</v>
      </c>
      <c r="J74" s="4">
        <v>7.7</v>
      </c>
      <c r="K74" s="4">
        <v>22.74</v>
      </c>
      <c r="L74" s="4">
        <f t="shared" si="6"/>
        <v>8</v>
      </c>
      <c r="M74" s="4">
        <f t="shared" si="7"/>
        <v>1</v>
      </c>
      <c r="N74" s="4">
        <f t="shared" si="8"/>
        <v>6.37532</v>
      </c>
      <c r="O74" s="4">
        <f t="shared" si="9"/>
        <v>7.7</v>
      </c>
      <c r="P74" s="4">
        <f t="shared" si="10"/>
        <v>22.74</v>
      </c>
    </row>
    <row r="75" ht="15.75" customHeight="1">
      <c r="A75" s="4">
        <v>2014.0</v>
      </c>
      <c r="B75" s="4">
        <v>225.0</v>
      </c>
      <c r="C75" s="4">
        <v>13.67</v>
      </c>
      <c r="D75" s="4">
        <v>23.04</v>
      </c>
      <c r="E75" s="4">
        <f t="shared" si="1"/>
        <v>1</v>
      </c>
      <c r="F75" s="4">
        <f t="shared" si="2"/>
        <v>1</v>
      </c>
      <c r="G75" s="4">
        <f t="shared" si="3"/>
        <v>38.549</v>
      </c>
      <c r="H75" s="4">
        <f t="shared" si="4"/>
        <v>41.04225</v>
      </c>
      <c r="I75" s="4">
        <f t="shared" si="5"/>
        <v>2.49325</v>
      </c>
      <c r="J75" s="4">
        <v>6.9</v>
      </c>
      <c r="K75" s="4">
        <v>19.4</v>
      </c>
      <c r="L75" s="4">
        <f t="shared" si="6"/>
        <v>8</v>
      </c>
      <c r="M75" s="4">
        <f t="shared" si="7"/>
        <v>1</v>
      </c>
      <c r="N75" s="4">
        <f t="shared" si="8"/>
        <v>10.98612</v>
      </c>
      <c r="O75" s="4">
        <f t="shared" si="9"/>
        <v>6.9</v>
      </c>
      <c r="P75" s="4">
        <f t="shared" si="10"/>
        <v>19.4</v>
      </c>
    </row>
    <row r="76" ht="15.75" customHeight="1">
      <c r="A76" s="4">
        <v>2014.0</v>
      </c>
      <c r="B76" s="4">
        <v>226.0</v>
      </c>
      <c r="C76" s="4">
        <v>10.9</v>
      </c>
      <c r="D76" s="4">
        <v>24.65</v>
      </c>
      <c r="E76" s="4">
        <f t="shared" si="1"/>
        <v>1</v>
      </c>
      <c r="F76" s="4">
        <f t="shared" si="2"/>
        <v>1</v>
      </c>
      <c r="G76" s="4">
        <f t="shared" si="3"/>
        <v>40.2944</v>
      </c>
      <c r="H76" s="4">
        <f t="shared" si="4"/>
        <v>40.80375</v>
      </c>
      <c r="I76" s="4">
        <f t="shared" si="5"/>
        <v>0.50935</v>
      </c>
      <c r="J76" s="4">
        <v>1.7</v>
      </c>
      <c r="K76" s="4">
        <v>18.7</v>
      </c>
      <c r="L76" s="4">
        <f t="shared" si="6"/>
        <v>8</v>
      </c>
      <c r="M76" s="4">
        <f t="shared" si="7"/>
        <v>1</v>
      </c>
      <c r="N76" s="4">
        <f t="shared" si="8"/>
        <v>7.7509</v>
      </c>
      <c r="O76" s="4">
        <f t="shared" si="9"/>
        <v>1.7</v>
      </c>
      <c r="P76" s="4">
        <f t="shared" si="10"/>
        <v>18.7</v>
      </c>
    </row>
    <row r="77" ht="15.75" customHeight="1">
      <c r="A77" s="4">
        <v>2014.0</v>
      </c>
      <c r="B77" s="4">
        <v>227.0</v>
      </c>
      <c r="C77" s="4">
        <v>15.82</v>
      </c>
      <c r="D77" s="4">
        <v>27.57</v>
      </c>
      <c r="E77" s="4">
        <f t="shared" si="1"/>
        <v>1</v>
      </c>
      <c r="F77" s="4">
        <f t="shared" si="2"/>
        <v>0</v>
      </c>
      <c r="G77" s="4">
        <f t="shared" si="3"/>
        <v>42.2167</v>
      </c>
      <c r="H77" s="4">
        <f t="shared" si="4"/>
        <v>40.23035</v>
      </c>
      <c r="I77" s="4" t="str">
        <f t="shared" si="5"/>
        <v> </v>
      </c>
      <c r="J77" s="4">
        <v>4.1</v>
      </c>
      <c r="K77" s="4">
        <v>20.61</v>
      </c>
      <c r="L77" s="4">
        <f t="shared" si="6"/>
        <v>8</v>
      </c>
      <c r="M77" s="4">
        <f t="shared" si="7"/>
        <v>1</v>
      </c>
      <c r="N77" s="4">
        <f t="shared" si="8"/>
        <v>7.79054</v>
      </c>
      <c r="O77" s="4">
        <f t="shared" si="9"/>
        <v>4.1</v>
      </c>
      <c r="P77" s="4">
        <f t="shared" si="10"/>
        <v>20.61</v>
      </c>
    </row>
    <row r="78" ht="15.75" customHeight="1">
      <c r="A78" s="4">
        <v>2014.0</v>
      </c>
      <c r="B78" s="4">
        <v>228.0</v>
      </c>
      <c r="C78" s="4">
        <v>12.63</v>
      </c>
      <c r="D78" s="4">
        <v>23.15</v>
      </c>
      <c r="E78" s="4">
        <f t="shared" si="1"/>
        <v>1</v>
      </c>
      <c r="F78" s="4">
        <f t="shared" si="2"/>
        <v>0</v>
      </c>
      <c r="G78" s="4">
        <f t="shared" si="3"/>
        <v>38.3597</v>
      </c>
      <c r="H78" s="4">
        <f t="shared" si="4"/>
        <v>36.7579</v>
      </c>
      <c r="I78" s="4" t="str">
        <f t="shared" si="5"/>
        <v> </v>
      </c>
      <c r="J78" s="4">
        <v>0.2</v>
      </c>
      <c r="K78" s="4">
        <v>16.43</v>
      </c>
      <c r="L78" s="4">
        <f t="shared" si="6"/>
        <v>8</v>
      </c>
      <c r="M78" s="4">
        <f t="shared" si="7"/>
        <v>1</v>
      </c>
      <c r="N78" s="4">
        <f t="shared" si="8"/>
        <v>5.27219</v>
      </c>
      <c r="O78" s="4">
        <f t="shared" si="9"/>
        <v>0.2</v>
      </c>
      <c r="P78" s="4">
        <f t="shared" si="10"/>
        <v>16.43</v>
      </c>
    </row>
    <row r="79" ht="15.75" customHeight="1">
      <c r="A79" s="4">
        <v>2014.0</v>
      </c>
      <c r="B79" s="4">
        <v>229.0</v>
      </c>
      <c r="C79" s="4">
        <v>10.97</v>
      </c>
      <c r="D79" s="4">
        <v>20.6</v>
      </c>
      <c r="E79" s="4">
        <f t="shared" si="1"/>
        <v>1</v>
      </c>
      <c r="F79" s="4">
        <f t="shared" si="2"/>
        <v>0</v>
      </c>
      <c r="G79" s="4">
        <f t="shared" si="3"/>
        <v>37.1332</v>
      </c>
      <c r="H79" s="4">
        <f t="shared" si="4"/>
        <v>34.36455</v>
      </c>
      <c r="I79" s="4" t="str">
        <f t="shared" si="5"/>
        <v> </v>
      </c>
      <c r="J79" s="4">
        <v>7.3</v>
      </c>
      <c r="K79" s="4">
        <v>15.21</v>
      </c>
      <c r="L79" s="4">
        <f t="shared" si="6"/>
        <v>8</v>
      </c>
      <c r="M79" s="4">
        <f t="shared" si="7"/>
        <v>0</v>
      </c>
      <c r="N79" s="4">
        <f t="shared" si="8"/>
        <v>-6.68025</v>
      </c>
      <c r="O79" s="4">
        <f t="shared" si="9"/>
        <v>7.3</v>
      </c>
      <c r="P79" s="4">
        <f t="shared" si="10"/>
        <v>15.21</v>
      </c>
    </row>
    <row r="80" ht="15.75" customHeight="1">
      <c r="A80" s="4">
        <v>2014.0</v>
      </c>
      <c r="B80" s="4">
        <v>230.0</v>
      </c>
      <c r="C80" s="4">
        <v>12.29</v>
      </c>
      <c r="D80" s="4">
        <v>24.82</v>
      </c>
      <c r="E80" s="4">
        <f t="shared" si="1"/>
        <v>0</v>
      </c>
      <c r="F80" s="4">
        <f t="shared" si="2"/>
        <v>0</v>
      </c>
      <c r="G80" s="4">
        <f t="shared" si="3"/>
        <v>35.9696</v>
      </c>
      <c r="H80" s="4">
        <f t="shared" si="4"/>
        <v>31.6717</v>
      </c>
      <c r="I80" s="4" t="str">
        <f t="shared" si="5"/>
        <v> </v>
      </c>
      <c r="J80" s="4">
        <v>0.0</v>
      </c>
      <c r="K80" s="4">
        <v>16.45</v>
      </c>
      <c r="L80" s="4">
        <f t="shared" si="6"/>
        <v>3</v>
      </c>
      <c r="M80" s="4">
        <f t="shared" si="7"/>
        <v>0</v>
      </c>
      <c r="N80" s="4">
        <f t="shared" si="8"/>
        <v>-10.10763</v>
      </c>
      <c r="O80" s="4">
        <f t="shared" si="9"/>
        <v>0</v>
      </c>
      <c r="P80" s="4">
        <f t="shared" si="10"/>
        <v>16.45</v>
      </c>
    </row>
    <row r="81" ht="15.75" customHeight="1">
      <c r="A81" s="4">
        <v>2014.0</v>
      </c>
      <c r="B81" s="4">
        <v>231.0</v>
      </c>
      <c r="C81" s="4">
        <v>9.1</v>
      </c>
      <c r="D81" s="4">
        <v>26.48</v>
      </c>
      <c r="E81" s="4">
        <f t="shared" si="1"/>
        <v>0</v>
      </c>
      <c r="F81" s="4">
        <f t="shared" si="2"/>
        <v>0</v>
      </c>
      <c r="G81" s="4">
        <f t="shared" si="3"/>
        <v>35.57948</v>
      </c>
      <c r="H81" s="4">
        <f t="shared" si="4"/>
        <v>30.9855</v>
      </c>
      <c r="I81" s="4" t="str">
        <f t="shared" si="5"/>
        <v> </v>
      </c>
      <c r="J81" s="4">
        <v>0.0</v>
      </c>
      <c r="K81" s="4">
        <v>17.77</v>
      </c>
      <c r="L81" s="4">
        <f t="shared" si="6"/>
        <v>3</v>
      </c>
      <c r="M81" s="4">
        <f t="shared" si="7"/>
        <v>0</v>
      </c>
      <c r="N81" s="4">
        <f t="shared" si="8"/>
        <v>-9.13713</v>
      </c>
      <c r="O81" s="4">
        <f t="shared" si="9"/>
        <v>0</v>
      </c>
      <c r="P81" s="4">
        <f t="shared" si="10"/>
        <v>17.77</v>
      </c>
    </row>
    <row r="82" ht="15.75" customHeight="1">
      <c r="A82" s="4">
        <v>2014.0</v>
      </c>
      <c r="B82" s="4">
        <v>232.0</v>
      </c>
      <c r="C82" s="4">
        <v>10.77</v>
      </c>
      <c r="D82" s="4">
        <v>28.55</v>
      </c>
      <c r="E82" s="4">
        <f t="shared" si="1"/>
        <v>0</v>
      </c>
      <c r="F82" s="4">
        <f t="shared" si="2"/>
        <v>0</v>
      </c>
      <c r="G82" s="4">
        <f t="shared" si="3"/>
        <v>36.68568</v>
      </c>
      <c r="H82" s="4">
        <f t="shared" si="4"/>
        <v>32.66527</v>
      </c>
      <c r="I82" s="4" t="str">
        <f t="shared" si="5"/>
        <v> </v>
      </c>
      <c r="J82" s="4">
        <v>0.0</v>
      </c>
      <c r="K82" s="4">
        <v>19.44</v>
      </c>
      <c r="L82" s="4">
        <f t="shared" si="6"/>
        <v>3</v>
      </c>
      <c r="M82" s="4">
        <f t="shared" si="7"/>
        <v>0</v>
      </c>
      <c r="N82" s="4">
        <f t="shared" si="8"/>
        <v>-7.85515</v>
      </c>
      <c r="O82" s="4">
        <f t="shared" si="9"/>
        <v>0</v>
      </c>
      <c r="P82" s="4">
        <f t="shared" si="10"/>
        <v>19.44</v>
      </c>
    </row>
    <row r="83" ht="15.75" customHeight="1">
      <c r="A83" s="4">
        <v>2014.0</v>
      </c>
      <c r="B83" s="4">
        <v>233.0</v>
      </c>
      <c r="C83" s="4">
        <v>13.9</v>
      </c>
      <c r="D83" s="4">
        <v>28.07</v>
      </c>
      <c r="E83" s="4">
        <f t="shared" si="1"/>
        <v>0</v>
      </c>
      <c r="F83" s="4">
        <f t="shared" si="2"/>
        <v>0</v>
      </c>
      <c r="G83" s="4">
        <f t="shared" si="3"/>
        <v>32.71312</v>
      </c>
      <c r="H83" s="4">
        <f t="shared" si="4"/>
        <v>31.43705</v>
      </c>
      <c r="I83" s="4" t="str">
        <f t="shared" si="5"/>
        <v> </v>
      </c>
      <c r="J83" s="4">
        <v>0.0</v>
      </c>
      <c r="K83" s="4">
        <v>19.92</v>
      </c>
      <c r="L83" s="4">
        <f t="shared" si="6"/>
        <v>3</v>
      </c>
      <c r="M83" s="4">
        <f t="shared" si="7"/>
        <v>0</v>
      </c>
      <c r="N83" s="4">
        <f t="shared" si="8"/>
        <v>-2.933606</v>
      </c>
      <c r="O83" s="4">
        <f t="shared" si="9"/>
        <v>0</v>
      </c>
      <c r="P83" s="4">
        <f t="shared" si="10"/>
        <v>19.92</v>
      </c>
    </row>
    <row r="84" ht="15.75" customHeight="1">
      <c r="A84" s="4">
        <v>2014.0</v>
      </c>
      <c r="B84" s="4">
        <v>234.0</v>
      </c>
      <c r="C84" s="4">
        <v>9.1</v>
      </c>
      <c r="D84" s="4">
        <v>22.84</v>
      </c>
      <c r="E84" s="4">
        <f t="shared" si="1"/>
        <v>1</v>
      </c>
      <c r="F84" s="4">
        <f t="shared" si="2"/>
        <v>0</v>
      </c>
      <c r="G84" s="4">
        <f t="shared" si="3"/>
        <v>29.79534</v>
      </c>
      <c r="H84" s="4">
        <f t="shared" si="4"/>
        <v>29.60242</v>
      </c>
      <c r="I84" s="4" t="str">
        <f t="shared" si="5"/>
        <v> </v>
      </c>
      <c r="J84" s="4">
        <v>2.4</v>
      </c>
      <c r="K84" s="4">
        <v>15.47</v>
      </c>
      <c r="L84" s="4">
        <f t="shared" si="6"/>
        <v>8</v>
      </c>
      <c r="M84" s="4">
        <f t="shared" si="7"/>
        <v>0</v>
      </c>
      <c r="N84" s="4">
        <f t="shared" si="8"/>
        <v>-6.086928</v>
      </c>
      <c r="O84" s="4">
        <f t="shared" si="9"/>
        <v>2.4</v>
      </c>
      <c r="P84" s="4">
        <f t="shared" si="10"/>
        <v>15.47</v>
      </c>
    </row>
    <row r="85" ht="15.75" customHeight="1">
      <c r="A85" s="4">
        <v>2014.0</v>
      </c>
      <c r="B85" s="4">
        <v>235.0</v>
      </c>
      <c r="C85" s="4">
        <v>6.298</v>
      </c>
      <c r="D85" s="4">
        <v>22.51</v>
      </c>
      <c r="E85" s="4">
        <f t="shared" si="1"/>
        <v>0</v>
      </c>
      <c r="F85" s="4">
        <f t="shared" si="2"/>
        <v>0</v>
      </c>
      <c r="G85" s="4">
        <f t="shared" si="3"/>
        <v>23.8486</v>
      </c>
      <c r="H85" s="4">
        <f t="shared" si="4"/>
        <v>23.23512</v>
      </c>
      <c r="I85" s="4" t="str">
        <f t="shared" si="5"/>
        <v> </v>
      </c>
      <c r="J85" s="4">
        <v>0.0</v>
      </c>
      <c r="K85" s="4">
        <v>13.9</v>
      </c>
      <c r="L85" s="4">
        <f t="shared" si="6"/>
        <v>3</v>
      </c>
      <c r="M85" s="4">
        <f t="shared" si="7"/>
        <v>0</v>
      </c>
      <c r="N85" s="4">
        <f t="shared" si="8"/>
        <v>-1.788528</v>
      </c>
      <c r="O85" s="4">
        <f t="shared" si="9"/>
        <v>0</v>
      </c>
      <c r="P85" s="4">
        <f t="shared" si="10"/>
        <v>13.9</v>
      </c>
    </row>
    <row r="86" ht="15.75" customHeight="1">
      <c r="A86" s="4">
        <v>2014.0</v>
      </c>
      <c r="B86" s="4">
        <v>236.0</v>
      </c>
      <c r="C86" s="4">
        <v>7.97</v>
      </c>
      <c r="D86" s="4">
        <v>23.72</v>
      </c>
      <c r="E86" s="4">
        <f t="shared" si="1"/>
        <v>0</v>
      </c>
      <c r="F86" s="4">
        <f t="shared" si="2"/>
        <v>1</v>
      </c>
      <c r="G86" s="4">
        <f t="shared" si="3"/>
        <v>25.9003</v>
      </c>
      <c r="H86" s="4">
        <f t="shared" si="4"/>
        <v>26.82585</v>
      </c>
      <c r="I86" s="4">
        <f t="shared" si="5"/>
        <v>0.92555</v>
      </c>
      <c r="J86" s="4">
        <v>0.0</v>
      </c>
      <c r="K86" s="4">
        <v>16.09</v>
      </c>
      <c r="L86" s="4">
        <f t="shared" si="6"/>
        <v>3</v>
      </c>
      <c r="M86" s="4">
        <f t="shared" si="7"/>
        <v>1</v>
      </c>
      <c r="N86" s="4">
        <f t="shared" si="8"/>
        <v>5.96159</v>
      </c>
      <c r="O86" s="4">
        <f t="shared" si="9"/>
        <v>0</v>
      </c>
      <c r="P86" s="4">
        <f t="shared" si="10"/>
        <v>16.09</v>
      </c>
    </row>
    <row r="87" ht="15.75" customHeight="1">
      <c r="A87" s="4">
        <v>2014.0</v>
      </c>
      <c r="B87" s="4">
        <v>237.0</v>
      </c>
      <c r="C87" s="4">
        <v>12.9</v>
      </c>
      <c r="D87" s="4">
        <v>18.23</v>
      </c>
      <c r="E87" s="4">
        <f t="shared" si="1"/>
        <v>1</v>
      </c>
      <c r="F87" s="4">
        <f t="shared" si="2"/>
        <v>1</v>
      </c>
      <c r="G87" s="4">
        <f t="shared" si="3"/>
        <v>26.5683</v>
      </c>
      <c r="H87" s="4">
        <f t="shared" si="4"/>
        <v>30.0885</v>
      </c>
      <c r="I87" s="4">
        <f t="shared" si="5"/>
        <v>3.5202</v>
      </c>
      <c r="J87" s="4">
        <v>2.0</v>
      </c>
      <c r="K87" s="4">
        <v>14.82</v>
      </c>
      <c r="L87" s="4">
        <f t="shared" si="6"/>
        <v>8</v>
      </c>
      <c r="M87" s="4">
        <f t="shared" si="7"/>
        <v>1</v>
      </c>
      <c r="N87" s="4">
        <f t="shared" si="8"/>
        <v>10.63212</v>
      </c>
      <c r="O87" s="4">
        <f t="shared" si="9"/>
        <v>2</v>
      </c>
      <c r="P87" s="4">
        <f t="shared" si="10"/>
        <v>14.82</v>
      </c>
    </row>
    <row r="88" ht="15.75" customHeight="1">
      <c r="A88" s="4">
        <v>2014.0</v>
      </c>
      <c r="B88" s="4">
        <v>238.0</v>
      </c>
      <c r="C88" s="4">
        <v>10.74</v>
      </c>
      <c r="D88" s="4">
        <v>19.14</v>
      </c>
      <c r="E88" s="4">
        <f t="shared" si="1"/>
        <v>1</v>
      </c>
      <c r="J88" s="4">
        <v>0.9</v>
      </c>
      <c r="K88" s="4">
        <v>13.98</v>
      </c>
      <c r="L88" s="4">
        <f t="shared" si="6"/>
        <v>8</v>
      </c>
      <c r="O88" s="4">
        <f t="shared" si="9"/>
        <v>0.9</v>
      </c>
      <c r="P88" s="4">
        <f t="shared" si="10"/>
        <v>13.98</v>
      </c>
    </row>
    <row r="89" ht="15.75" customHeight="1">
      <c r="A89" s="4">
        <v>2014.0</v>
      </c>
      <c r="B89" s="4">
        <v>239.0</v>
      </c>
      <c r="C89" s="4">
        <v>9.93</v>
      </c>
      <c r="D89" s="4">
        <v>17.24</v>
      </c>
      <c r="E89" s="4">
        <f t="shared" si="1"/>
        <v>1</v>
      </c>
      <c r="J89" s="4">
        <v>5.9</v>
      </c>
      <c r="K89" s="4">
        <v>11.78</v>
      </c>
      <c r="L89" s="4">
        <f t="shared" si="6"/>
        <v>8</v>
      </c>
      <c r="O89" s="4">
        <f t="shared" si="9"/>
        <v>5.9</v>
      </c>
      <c r="P89" s="4">
        <f t="shared" si="10"/>
        <v>11.78</v>
      </c>
    </row>
    <row r="90" ht="15.75" customHeight="1">
      <c r="A90" s="4">
        <v>2014.0</v>
      </c>
      <c r="B90" s="4">
        <v>240.0</v>
      </c>
      <c r="C90" s="4">
        <v>8.34</v>
      </c>
      <c r="D90" s="4">
        <v>18.75</v>
      </c>
      <c r="E90" s="4">
        <f t="shared" si="1"/>
        <v>1</v>
      </c>
      <c r="J90" s="4">
        <v>0.1</v>
      </c>
      <c r="K90" s="4">
        <v>12.97</v>
      </c>
      <c r="L90" s="4">
        <f t="shared" si="6"/>
        <v>8</v>
      </c>
      <c r="O90" s="4">
        <f t="shared" si="9"/>
        <v>0.1</v>
      </c>
      <c r="P90" s="4">
        <f t="shared" si="10"/>
        <v>12.97</v>
      </c>
    </row>
    <row r="91" ht="15.75" customHeight="1">
      <c r="A91" s="4">
        <v>2014.0</v>
      </c>
      <c r="B91" s="4">
        <v>241.0</v>
      </c>
      <c r="C91" s="4">
        <v>10.07</v>
      </c>
      <c r="D91" s="4">
        <v>19.05</v>
      </c>
      <c r="E91" s="4">
        <f t="shared" si="1"/>
        <v>1</v>
      </c>
      <c r="J91" s="4">
        <v>1.8</v>
      </c>
      <c r="K91" s="4">
        <v>13.5</v>
      </c>
      <c r="L91" s="4">
        <f t="shared" si="6"/>
        <v>8</v>
      </c>
      <c r="O91" s="4">
        <f t="shared" si="9"/>
        <v>1.8</v>
      </c>
      <c r="P91" s="4">
        <f t="shared" si="10"/>
        <v>13.5</v>
      </c>
    </row>
    <row r="92" ht="15.75" customHeight="1">
      <c r="A92" s="4">
        <v>2014.0</v>
      </c>
      <c r="B92" s="4">
        <v>242.0</v>
      </c>
      <c r="C92" s="4">
        <v>7.97</v>
      </c>
      <c r="D92" s="4">
        <v>15.35</v>
      </c>
      <c r="E92" s="4">
        <f t="shared" si="1"/>
        <v>1</v>
      </c>
      <c r="J92" s="4">
        <v>5.7</v>
      </c>
      <c r="K92" s="4">
        <v>10.83</v>
      </c>
      <c r="L92" s="4">
        <f t="shared" si="6"/>
        <v>8</v>
      </c>
      <c r="O92" s="4">
        <f t="shared" si="9"/>
        <v>5.7</v>
      </c>
      <c r="P92" s="4">
        <f t="shared" si="10"/>
        <v>10.83</v>
      </c>
    </row>
    <row r="93" ht="15.75" customHeight="1">
      <c r="A93" s="4">
        <v>2014.0</v>
      </c>
      <c r="B93" s="4">
        <v>243.0</v>
      </c>
      <c r="C93" s="4">
        <v>5.427</v>
      </c>
      <c r="D93" s="4">
        <v>16.29</v>
      </c>
      <c r="E93" s="4">
        <f t="shared" si="1"/>
        <v>1</v>
      </c>
      <c r="J93" s="4">
        <v>0.1</v>
      </c>
      <c r="K93" s="4">
        <v>10.15</v>
      </c>
      <c r="L93" s="4">
        <f t="shared" si="6"/>
        <v>8</v>
      </c>
      <c r="O93" s="4">
        <f t="shared" si="9"/>
        <v>0.1</v>
      </c>
      <c r="P93" s="4">
        <f t="shared" si="10"/>
        <v>10.15</v>
      </c>
    </row>
    <row r="94" ht="15.75" customHeight="1"/>
    <row r="95" ht="15.75" customHeight="1"/>
    <row r="96" ht="15.75" customHeight="1">
      <c r="O96" s="4">
        <f>SUM(O2:O93)</f>
        <v>142.1</v>
      </c>
      <c r="P96" s="4">
        <f>SUMIF(P2:P93,"&gt;0")/10</f>
        <v>165.048</v>
      </c>
    </row>
    <row r="97" ht="15.75" customHeight="1"/>
    <row r="98" ht="15.75" customHeight="1">
      <c r="I98" s="4">
        <f>SUM(I2:I87)</f>
        <v>53.348655</v>
      </c>
      <c r="O98" s="4" t="s">
        <v>15</v>
      </c>
      <c r="P98" s="4">
        <f>O96/P96</f>
        <v>0.8609616596</v>
      </c>
    </row>
    <row r="99" ht="15.75" customHeight="1">
      <c r="I99" s="4">
        <f>SUM(I2:I31)</f>
        <v>45.480105</v>
      </c>
      <c r="O99" s="4" t="s">
        <v>16</v>
      </c>
      <c r="P99" s="4">
        <f>SUM(O2:O31)/(SUM(P2:P31)/10)</f>
        <v>1.46399629</v>
      </c>
    </row>
    <row r="100" ht="15.75" customHeight="1">
      <c r="I100" s="4">
        <f>SUM(I32:I62)</f>
        <v>0</v>
      </c>
      <c r="O100" s="4" t="s">
        <v>17</v>
      </c>
      <c r="P100" s="4">
        <f>SUM(O33:O62)/(SUM(P33:P62)/10)</f>
        <v>0.1701682047</v>
      </c>
    </row>
    <row r="101" ht="15.75" customHeight="1">
      <c r="I101" s="4">
        <f>SUM(I63:I93)</f>
        <v>7.86855</v>
      </c>
      <c r="O101" s="4" t="s">
        <v>18</v>
      </c>
      <c r="P101" s="4">
        <f>SUM(O63:O93)/(SUM(P63:P93)/10)</f>
        <v>1.160685763</v>
      </c>
    </row>
    <row r="102" ht="15.75" customHeight="1">
      <c r="I102" s="4">
        <f>SUMIF(I2:I87,"&gt;0")</f>
        <v>53.348655</v>
      </c>
    </row>
    <row r="103" ht="15.75" customHeight="1">
      <c r="I103" s="4">
        <f>SUMIF(I2:I31,"&gt;0")</f>
        <v>45.480105</v>
      </c>
    </row>
    <row r="104" ht="15.75" customHeight="1">
      <c r="I104" s="4">
        <f>SUMIF(I32:I62,"&gt;0")</f>
        <v>0</v>
      </c>
      <c r="P104" s="4">
        <f>SUM(O16:O35)/(SUM(P16:P35)/10)</f>
        <v>1.179598562</v>
      </c>
    </row>
    <row r="105" ht="15.75" customHeight="1">
      <c r="I105" s="4">
        <f>SUMIF(I63:I87,"&gt;0")</f>
        <v>7.86855</v>
      </c>
      <c r="P105" s="4">
        <f>SUM(O36:O55)/(SUM(P36:P55)/10)</f>
        <v>0.1764602082</v>
      </c>
    </row>
    <row r="106" ht="15.75" customHeight="1">
      <c r="P106" s="4">
        <f>SUM(O56:O77)/(SUM(P56:P77)/10)</f>
        <v>0.8063682415</v>
      </c>
    </row>
    <row r="107" ht="15.75" customHeight="1">
      <c r="P107" s="4">
        <f>SUM(O16:O77)/(SUM(P16:P77)/10)</f>
        <v>0.6754518991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2015.0</v>
      </c>
      <c r="B2" s="4">
        <v>152.0</v>
      </c>
      <c r="C2" s="4">
        <v>10.4</v>
      </c>
      <c r="D2" s="4">
        <v>21.03</v>
      </c>
      <c r="E2" s="4">
        <f t="shared" ref="E2:E93" si="1">IF(J2&gt;0,1,0)</f>
        <v>0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25.52</v>
      </c>
      <c r="H2" s="4">
        <f t="shared" ref="H2:H87" si="4">0.63 * D2 + 0.37 * D3 + 0.49 * D4 + 0.22 * D5 + 0.65 * D6 + 0.24 *C2 - 0.06 * C3- 0.15 * C4 - 0.135 * C5 + 0.15 * C6 + 4.88 * E2 + 3.55 * E3 + 3.34 *E4 + 2.5 * E5 + 2.29 *E6-31.34</f>
        <v>21.15965</v>
      </c>
      <c r="I2" s="4" t="str">
        <f t="shared" ref="I2:I87" si="5">IF((H2-G2)&gt;0,H2-G2," ")</f>
        <v> </v>
      </c>
      <c r="J2" s="4">
        <v>0.0</v>
      </c>
      <c r="K2" s="4">
        <v>15.98</v>
      </c>
      <c r="L2" s="4">
        <f t="shared" ref="L2:L93" si="6">IF(E2&gt;0,8,3)</f>
        <v>3</v>
      </c>
      <c r="M2" s="4">
        <f t="shared" ref="M2:M87" si="7">IF(N2&gt;=0,1,0)</f>
        <v>0</v>
      </c>
      <c r="N2" s="4">
        <f t="shared" ref="N2:N87" si="8">-0.216*D2-0.191*D3-0.119*D4+0.004*C2-0.171*C3+0.628*C4-0.479*L2+0.513*L3+0.046*L4+5.947*E2+6.699*E3+4.328*E4-1.788</f>
        <v>-9.65786</v>
      </c>
      <c r="O2" s="4">
        <f t="shared" ref="O2:O93" si="9">IF(K2&gt;10,J2,0)</f>
        <v>0</v>
      </c>
      <c r="P2" s="4">
        <f t="shared" ref="P2:P93" si="10">IF(K2&gt;10,K2,0)</f>
        <v>15.98</v>
      </c>
    </row>
    <row r="3">
      <c r="A3" s="4">
        <v>2015.0</v>
      </c>
      <c r="B3" s="4">
        <v>153.0</v>
      </c>
      <c r="C3" s="4">
        <v>8.38</v>
      </c>
      <c r="D3" s="4">
        <v>23.28</v>
      </c>
      <c r="E3" s="4">
        <f t="shared" si="1"/>
        <v>0</v>
      </c>
      <c r="F3" s="4">
        <f t="shared" si="2"/>
        <v>0</v>
      </c>
      <c r="G3" s="4">
        <f t="shared" si="3"/>
        <v>26.4105</v>
      </c>
      <c r="H3" s="4">
        <f t="shared" si="4"/>
        <v>21.57385</v>
      </c>
      <c r="I3" s="4" t="str">
        <f t="shared" si="5"/>
        <v> </v>
      </c>
      <c r="J3" s="4">
        <v>0.0</v>
      </c>
      <c r="K3" s="4">
        <v>16.06</v>
      </c>
      <c r="L3" s="4">
        <f t="shared" si="6"/>
        <v>3</v>
      </c>
      <c r="M3" s="4">
        <f t="shared" si="7"/>
        <v>0</v>
      </c>
      <c r="N3" s="4">
        <f t="shared" si="8"/>
        <v>-8.48691</v>
      </c>
      <c r="O3" s="4">
        <f t="shared" si="9"/>
        <v>0</v>
      </c>
      <c r="P3" s="4">
        <f t="shared" si="10"/>
        <v>16.06</v>
      </c>
    </row>
    <row r="4">
      <c r="A4" s="4">
        <v>2015.0</v>
      </c>
      <c r="B4" s="4">
        <v>154.0</v>
      </c>
      <c r="C4" s="4">
        <v>9.05</v>
      </c>
      <c r="D4" s="4">
        <v>28.68</v>
      </c>
      <c r="E4" s="4">
        <f t="shared" si="1"/>
        <v>0</v>
      </c>
      <c r="F4" s="4">
        <f t="shared" si="2"/>
        <v>0</v>
      </c>
      <c r="G4" s="4">
        <f t="shared" si="3"/>
        <v>31.8333</v>
      </c>
      <c r="H4" s="4">
        <f t="shared" si="4"/>
        <v>26.107</v>
      </c>
      <c r="I4" s="4" t="str">
        <f t="shared" si="5"/>
        <v> </v>
      </c>
      <c r="J4" s="4">
        <v>0.0</v>
      </c>
      <c r="K4" s="4">
        <v>20.43</v>
      </c>
      <c r="L4" s="4">
        <f t="shared" si="6"/>
        <v>3</v>
      </c>
      <c r="M4" s="4">
        <f t="shared" si="7"/>
        <v>0</v>
      </c>
      <c r="N4" s="4">
        <f t="shared" si="8"/>
        <v>-10.73385</v>
      </c>
      <c r="O4" s="4">
        <f t="shared" si="9"/>
        <v>0</v>
      </c>
      <c r="P4" s="4">
        <f t="shared" si="10"/>
        <v>20.43</v>
      </c>
    </row>
    <row r="5">
      <c r="A5" s="4">
        <v>2015.0</v>
      </c>
      <c r="B5" s="4">
        <v>155.0</v>
      </c>
      <c r="C5" s="4">
        <v>12.23</v>
      </c>
      <c r="D5" s="4">
        <v>21.84</v>
      </c>
      <c r="E5" s="4">
        <f t="shared" si="1"/>
        <v>0</v>
      </c>
      <c r="F5" s="4">
        <f t="shared" si="2"/>
        <v>0</v>
      </c>
      <c r="G5" s="4">
        <f t="shared" si="3"/>
        <v>25.9872</v>
      </c>
      <c r="H5" s="4">
        <f t="shared" si="4"/>
        <v>21.3765</v>
      </c>
      <c r="I5" s="4" t="str">
        <f t="shared" si="5"/>
        <v> </v>
      </c>
      <c r="J5" s="4">
        <v>0.0</v>
      </c>
      <c r="K5" s="4">
        <v>18.65</v>
      </c>
      <c r="L5" s="4">
        <f t="shared" si="6"/>
        <v>3</v>
      </c>
      <c r="M5" s="4">
        <f t="shared" si="7"/>
        <v>0</v>
      </c>
      <c r="N5" s="4">
        <f t="shared" si="8"/>
        <v>-9.32861</v>
      </c>
      <c r="O5" s="4">
        <f t="shared" si="9"/>
        <v>0</v>
      </c>
      <c r="P5" s="4">
        <f t="shared" si="10"/>
        <v>18.65</v>
      </c>
    </row>
    <row r="6">
      <c r="A6" s="4">
        <v>2015.0</v>
      </c>
      <c r="B6" s="4">
        <v>156.0</v>
      </c>
      <c r="C6" s="4">
        <v>8.51</v>
      </c>
      <c r="D6" s="4">
        <v>17.72</v>
      </c>
      <c r="E6" s="4">
        <f t="shared" si="1"/>
        <v>0</v>
      </c>
      <c r="F6" s="4">
        <f t="shared" si="2"/>
        <v>0</v>
      </c>
      <c r="G6" s="4">
        <f t="shared" si="3"/>
        <v>22.9588</v>
      </c>
      <c r="H6" s="4">
        <f t="shared" si="4"/>
        <v>18.95485</v>
      </c>
      <c r="I6" s="4" t="str">
        <f t="shared" si="5"/>
        <v> </v>
      </c>
      <c r="J6" s="4">
        <v>0.0</v>
      </c>
      <c r="K6" s="4">
        <v>12.86</v>
      </c>
      <c r="L6" s="4">
        <f t="shared" si="6"/>
        <v>3</v>
      </c>
      <c r="M6" s="4">
        <f t="shared" si="7"/>
        <v>0</v>
      </c>
      <c r="N6" s="4">
        <f t="shared" si="8"/>
        <v>-8.50352</v>
      </c>
      <c r="O6" s="4">
        <f t="shared" si="9"/>
        <v>0</v>
      </c>
      <c r="P6" s="4">
        <f t="shared" si="10"/>
        <v>12.86</v>
      </c>
    </row>
    <row r="7">
      <c r="A7" s="4">
        <v>2015.0</v>
      </c>
      <c r="B7" s="4">
        <v>157.0</v>
      </c>
      <c r="C7" s="4">
        <v>6.7</v>
      </c>
      <c r="D7" s="4">
        <v>20.84</v>
      </c>
      <c r="E7" s="4">
        <f t="shared" si="1"/>
        <v>0</v>
      </c>
      <c r="F7" s="4">
        <f t="shared" si="2"/>
        <v>0</v>
      </c>
      <c r="G7" s="4">
        <f t="shared" si="3"/>
        <v>24.27548</v>
      </c>
      <c r="H7" s="4">
        <f t="shared" si="4"/>
        <v>20.0892</v>
      </c>
      <c r="I7" s="4" t="str">
        <f t="shared" si="5"/>
        <v> </v>
      </c>
      <c r="J7" s="4">
        <v>0.0</v>
      </c>
      <c r="K7" s="4">
        <v>14.14</v>
      </c>
      <c r="L7" s="4">
        <f t="shared" si="6"/>
        <v>3</v>
      </c>
      <c r="M7" s="4">
        <f t="shared" si="7"/>
        <v>0</v>
      </c>
      <c r="N7" s="4">
        <f t="shared" si="8"/>
        <v>-8.70716</v>
      </c>
      <c r="O7" s="4">
        <f t="shared" si="9"/>
        <v>0</v>
      </c>
      <c r="P7" s="4">
        <f t="shared" si="10"/>
        <v>14.14</v>
      </c>
    </row>
    <row r="8">
      <c r="A8" s="4">
        <v>2015.0</v>
      </c>
      <c r="B8" s="4">
        <v>158.0</v>
      </c>
      <c r="C8" s="4">
        <v>8.24</v>
      </c>
      <c r="D8" s="4">
        <v>26.98</v>
      </c>
      <c r="E8" s="4">
        <f t="shared" si="1"/>
        <v>0</v>
      </c>
      <c r="F8" s="4">
        <f t="shared" si="2"/>
        <v>0</v>
      </c>
      <c r="G8" s="4">
        <f t="shared" si="3"/>
        <v>27.08016</v>
      </c>
      <c r="H8" s="4">
        <f t="shared" si="4"/>
        <v>22.04392</v>
      </c>
      <c r="I8" s="4" t="str">
        <f t="shared" si="5"/>
        <v> </v>
      </c>
      <c r="J8" s="4">
        <v>0.0</v>
      </c>
      <c r="K8" s="4">
        <v>19.37</v>
      </c>
      <c r="L8" s="4">
        <f t="shared" si="6"/>
        <v>3</v>
      </c>
      <c r="M8" s="4">
        <f t="shared" si="7"/>
        <v>0</v>
      </c>
      <c r="N8" s="4">
        <f t="shared" si="8"/>
        <v>-11.31353</v>
      </c>
      <c r="O8" s="4">
        <f t="shared" si="9"/>
        <v>0</v>
      </c>
      <c r="P8" s="4">
        <f t="shared" si="10"/>
        <v>19.37</v>
      </c>
    </row>
    <row r="9">
      <c r="A9" s="4">
        <v>2015.0</v>
      </c>
      <c r="B9" s="4">
        <v>159.0</v>
      </c>
      <c r="C9" s="4">
        <v>10.37</v>
      </c>
      <c r="D9" s="4">
        <v>22.14</v>
      </c>
      <c r="E9" s="4">
        <f t="shared" si="1"/>
        <v>0</v>
      </c>
      <c r="F9" s="4">
        <f t="shared" si="2"/>
        <v>0</v>
      </c>
      <c r="G9" s="4">
        <f t="shared" si="3"/>
        <v>24.1525</v>
      </c>
      <c r="H9" s="4">
        <f t="shared" si="4"/>
        <v>20.17587</v>
      </c>
      <c r="I9" s="4" t="str">
        <f t="shared" si="5"/>
        <v> </v>
      </c>
      <c r="J9" s="4">
        <v>0.0</v>
      </c>
      <c r="K9" s="4">
        <v>18.68</v>
      </c>
      <c r="L9" s="4">
        <f t="shared" si="6"/>
        <v>3</v>
      </c>
      <c r="M9" s="4">
        <f t="shared" si="7"/>
        <v>0</v>
      </c>
      <c r="N9" s="4">
        <f t="shared" si="8"/>
        <v>-9.530416</v>
      </c>
      <c r="O9" s="4">
        <f t="shared" si="9"/>
        <v>0</v>
      </c>
      <c r="P9" s="4">
        <f t="shared" si="10"/>
        <v>18.68</v>
      </c>
    </row>
    <row r="10">
      <c r="A10" s="4">
        <v>2015.0</v>
      </c>
      <c r="B10" s="4">
        <v>160.0</v>
      </c>
      <c r="C10" s="4">
        <v>7.1</v>
      </c>
      <c r="D10" s="4">
        <v>20.4</v>
      </c>
      <c r="E10" s="4">
        <f t="shared" si="1"/>
        <v>0</v>
      </c>
      <c r="F10" s="4">
        <f t="shared" si="2"/>
        <v>0</v>
      </c>
      <c r="G10" s="4">
        <f t="shared" si="3"/>
        <v>26.35646</v>
      </c>
      <c r="H10" s="4">
        <f t="shared" si="4"/>
        <v>21.35297</v>
      </c>
      <c r="I10" s="4" t="str">
        <f t="shared" si="5"/>
        <v> </v>
      </c>
      <c r="J10" s="4">
        <v>0.0</v>
      </c>
      <c r="K10" s="4">
        <v>14.81</v>
      </c>
      <c r="L10" s="4">
        <f t="shared" si="6"/>
        <v>3</v>
      </c>
      <c r="M10" s="4">
        <f t="shared" si="7"/>
        <v>0</v>
      </c>
      <c r="N10" s="4">
        <f t="shared" si="8"/>
        <v>-9.595184</v>
      </c>
      <c r="O10" s="4">
        <f t="shared" si="9"/>
        <v>0</v>
      </c>
      <c r="P10" s="4">
        <f t="shared" si="10"/>
        <v>14.81</v>
      </c>
    </row>
    <row r="11">
      <c r="A11" s="4">
        <v>2015.0</v>
      </c>
      <c r="B11" s="4">
        <v>161.0</v>
      </c>
      <c r="C11" s="4">
        <v>6.868</v>
      </c>
      <c r="D11" s="4">
        <v>20.54</v>
      </c>
      <c r="E11" s="4">
        <f t="shared" si="1"/>
        <v>0</v>
      </c>
      <c r="F11" s="4">
        <f t="shared" si="2"/>
        <v>0</v>
      </c>
      <c r="G11" s="4">
        <f t="shared" si="3"/>
        <v>29.45704</v>
      </c>
      <c r="H11" s="4">
        <f t="shared" si="4"/>
        <v>25.60419</v>
      </c>
      <c r="I11" s="4" t="str">
        <f t="shared" si="5"/>
        <v> </v>
      </c>
      <c r="J11" s="4">
        <v>0.0</v>
      </c>
      <c r="K11" s="4">
        <v>14.47</v>
      </c>
      <c r="L11" s="4">
        <f t="shared" si="6"/>
        <v>3</v>
      </c>
      <c r="M11" s="4">
        <f t="shared" si="7"/>
        <v>0</v>
      </c>
      <c r="N11" s="4">
        <f t="shared" si="8"/>
        <v>-7.423366</v>
      </c>
      <c r="O11" s="4">
        <f t="shared" si="9"/>
        <v>0</v>
      </c>
      <c r="P11" s="4">
        <f t="shared" si="10"/>
        <v>14.47</v>
      </c>
    </row>
    <row r="12">
      <c r="A12" s="4">
        <v>2015.0</v>
      </c>
      <c r="B12" s="4">
        <v>162.0</v>
      </c>
      <c r="C12" s="4">
        <v>6.178</v>
      </c>
      <c r="D12" s="4">
        <v>20.6</v>
      </c>
      <c r="E12" s="4">
        <f t="shared" si="1"/>
        <v>0</v>
      </c>
      <c r="F12" s="4">
        <f t="shared" si="2"/>
        <v>0</v>
      </c>
      <c r="G12" s="4">
        <f t="shared" si="3"/>
        <v>33.4837</v>
      </c>
      <c r="H12" s="4">
        <f t="shared" si="4"/>
        <v>30.09672</v>
      </c>
      <c r="I12" s="4" t="str">
        <f t="shared" si="5"/>
        <v> </v>
      </c>
      <c r="J12" s="4">
        <v>0.0</v>
      </c>
      <c r="K12" s="4">
        <v>14.53</v>
      </c>
      <c r="L12" s="4">
        <f t="shared" si="6"/>
        <v>3</v>
      </c>
      <c r="M12" s="4">
        <f t="shared" si="7"/>
        <v>0</v>
      </c>
      <c r="N12" s="4">
        <f t="shared" si="8"/>
        <v>-9.856028</v>
      </c>
      <c r="O12" s="4">
        <f t="shared" si="9"/>
        <v>0</v>
      </c>
      <c r="P12" s="4">
        <f t="shared" si="10"/>
        <v>14.53</v>
      </c>
    </row>
    <row r="13">
      <c r="A13" s="4">
        <v>2015.0</v>
      </c>
      <c r="B13" s="4">
        <v>163.0</v>
      </c>
      <c r="C13" s="4">
        <v>9.63</v>
      </c>
      <c r="D13" s="4">
        <v>21.2</v>
      </c>
      <c r="E13" s="4">
        <f t="shared" si="1"/>
        <v>0</v>
      </c>
      <c r="F13" s="4">
        <f t="shared" si="2"/>
        <v>0</v>
      </c>
      <c r="G13" s="4">
        <f t="shared" si="3"/>
        <v>31.8937</v>
      </c>
      <c r="H13" s="4">
        <f t="shared" si="4"/>
        <v>28.7182</v>
      </c>
      <c r="I13" s="4" t="str">
        <f t="shared" si="5"/>
        <v> </v>
      </c>
      <c r="J13" s="4">
        <v>0.0</v>
      </c>
      <c r="K13" s="4">
        <v>15.71</v>
      </c>
      <c r="L13" s="4">
        <f t="shared" si="6"/>
        <v>3</v>
      </c>
      <c r="M13" s="4">
        <f t="shared" si="7"/>
        <v>0</v>
      </c>
      <c r="N13" s="4">
        <f t="shared" si="8"/>
        <v>-5.43637</v>
      </c>
      <c r="O13" s="4">
        <f t="shared" si="9"/>
        <v>0</v>
      </c>
      <c r="P13" s="4">
        <f t="shared" si="10"/>
        <v>15.71</v>
      </c>
    </row>
    <row r="14">
      <c r="A14" s="4">
        <v>2015.0</v>
      </c>
      <c r="B14" s="4">
        <v>164.0</v>
      </c>
      <c r="C14" s="4">
        <v>7.91</v>
      </c>
      <c r="D14" s="4">
        <v>26.51</v>
      </c>
      <c r="E14" s="4">
        <f t="shared" si="1"/>
        <v>0</v>
      </c>
      <c r="F14" s="4">
        <f t="shared" si="2"/>
        <v>0</v>
      </c>
      <c r="G14" s="4">
        <f t="shared" si="3"/>
        <v>35.35718</v>
      </c>
      <c r="H14" s="4">
        <f t="shared" si="4"/>
        <v>32.3775</v>
      </c>
      <c r="I14" s="4" t="str">
        <f t="shared" si="5"/>
        <v> </v>
      </c>
      <c r="J14" s="4">
        <v>0.0</v>
      </c>
      <c r="K14" s="4">
        <v>18.71</v>
      </c>
      <c r="L14" s="4">
        <f t="shared" si="6"/>
        <v>3</v>
      </c>
      <c r="M14" s="4">
        <f t="shared" si="7"/>
        <v>0</v>
      </c>
      <c r="N14" s="4">
        <f t="shared" si="8"/>
        <v>-3.56241</v>
      </c>
      <c r="O14" s="4">
        <f t="shared" si="9"/>
        <v>0</v>
      </c>
      <c r="P14" s="4">
        <f t="shared" si="10"/>
        <v>18.71</v>
      </c>
    </row>
    <row r="15">
      <c r="A15" s="4">
        <v>2015.0</v>
      </c>
      <c r="B15" s="4">
        <v>165.0</v>
      </c>
      <c r="C15" s="4">
        <v>16.76</v>
      </c>
      <c r="D15" s="4">
        <v>29.05</v>
      </c>
      <c r="E15" s="4">
        <f t="shared" si="1"/>
        <v>0</v>
      </c>
      <c r="F15" s="4">
        <f t="shared" si="2"/>
        <v>0</v>
      </c>
      <c r="G15" s="4">
        <f t="shared" si="3"/>
        <v>37.91534</v>
      </c>
      <c r="H15" s="4">
        <f t="shared" si="4"/>
        <v>34.57202</v>
      </c>
      <c r="I15" s="4" t="str">
        <f t="shared" si="5"/>
        <v> </v>
      </c>
      <c r="J15" s="4">
        <v>0.0</v>
      </c>
      <c r="K15" s="4">
        <v>23.08</v>
      </c>
      <c r="L15" s="4">
        <f t="shared" si="6"/>
        <v>3</v>
      </c>
      <c r="M15" s="4">
        <f t="shared" si="7"/>
        <v>1</v>
      </c>
      <c r="N15" s="4">
        <f t="shared" si="8"/>
        <v>1.84593</v>
      </c>
      <c r="O15" s="4">
        <f t="shared" si="9"/>
        <v>0</v>
      </c>
      <c r="P15" s="4">
        <f t="shared" si="10"/>
        <v>23.08</v>
      </c>
    </row>
    <row r="16">
      <c r="A16" s="4">
        <v>2015.0</v>
      </c>
      <c r="B16" s="4">
        <v>166.0</v>
      </c>
      <c r="C16" s="4">
        <v>17.5</v>
      </c>
      <c r="D16" s="4">
        <v>29.02</v>
      </c>
      <c r="E16" s="4">
        <f t="shared" si="1"/>
        <v>1</v>
      </c>
      <c r="F16" s="4">
        <f t="shared" si="2"/>
        <v>0</v>
      </c>
      <c r="G16" s="4">
        <f t="shared" si="3"/>
        <v>35.77375</v>
      </c>
      <c r="H16" s="4">
        <f t="shared" si="4"/>
        <v>33.84559</v>
      </c>
      <c r="I16" s="4" t="str">
        <f t="shared" si="5"/>
        <v> </v>
      </c>
      <c r="J16" s="4">
        <v>12.0</v>
      </c>
      <c r="K16" s="4">
        <v>21.58</v>
      </c>
      <c r="L16" s="4">
        <f t="shared" si="6"/>
        <v>8</v>
      </c>
      <c r="M16" s="4">
        <f t="shared" si="7"/>
        <v>1</v>
      </c>
      <c r="N16" s="4">
        <f t="shared" si="8"/>
        <v>1.272224</v>
      </c>
      <c r="O16" s="4">
        <f t="shared" si="9"/>
        <v>12</v>
      </c>
      <c r="P16" s="4">
        <f t="shared" si="10"/>
        <v>21.58</v>
      </c>
    </row>
    <row r="17">
      <c r="A17" s="4">
        <v>2015.0</v>
      </c>
      <c r="B17" s="4">
        <v>167.0</v>
      </c>
      <c r="C17" s="4">
        <v>10.64</v>
      </c>
      <c r="D17" s="4">
        <v>19.89</v>
      </c>
      <c r="E17" s="4">
        <f t="shared" si="1"/>
        <v>1</v>
      </c>
      <c r="F17" s="4">
        <f t="shared" si="2"/>
        <v>1</v>
      </c>
      <c r="G17" s="4">
        <f t="shared" si="3"/>
        <v>27.7719</v>
      </c>
      <c r="H17" s="4">
        <f t="shared" si="4"/>
        <v>28.511625</v>
      </c>
      <c r="I17" s="4">
        <f t="shared" si="5"/>
        <v>0.739725</v>
      </c>
      <c r="J17" s="4">
        <v>11.2</v>
      </c>
      <c r="K17" s="4">
        <v>15.36</v>
      </c>
      <c r="L17" s="4">
        <f t="shared" si="6"/>
        <v>8</v>
      </c>
      <c r="M17" s="4">
        <f t="shared" si="7"/>
        <v>0</v>
      </c>
      <c r="N17" s="4">
        <f t="shared" si="8"/>
        <v>-6.64754</v>
      </c>
      <c r="O17" s="4">
        <f t="shared" si="9"/>
        <v>11.2</v>
      </c>
      <c r="P17" s="4">
        <f t="shared" si="10"/>
        <v>15.36</v>
      </c>
    </row>
    <row r="18">
      <c r="A18" s="4">
        <v>2015.0</v>
      </c>
      <c r="B18" s="4">
        <v>168.0</v>
      </c>
      <c r="C18" s="4">
        <v>6.968</v>
      </c>
      <c r="D18" s="4">
        <v>21.47</v>
      </c>
      <c r="E18" s="4">
        <f t="shared" si="1"/>
        <v>0</v>
      </c>
      <c r="F18" s="4">
        <f t="shared" si="2"/>
        <v>0</v>
      </c>
      <c r="G18" s="4">
        <f t="shared" si="3"/>
        <v>26.62316</v>
      </c>
      <c r="H18" s="4">
        <f t="shared" si="4"/>
        <v>22.62326</v>
      </c>
      <c r="I18" s="4" t="str">
        <f t="shared" si="5"/>
        <v> </v>
      </c>
      <c r="J18" s="4">
        <v>0.0</v>
      </c>
      <c r="K18" s="4">
        <v>14.34</v>
      </c>
      <c r="L18" s="4">
        <f t="shared" si="6"/>
        <v>3</v>
      </c>
      <c r="M18" s="4">
        <f t="shared" si="7"/>
        <v>0</v>
      </c>
      <c r="N18" s="4">
        <f t="shared" si="8"/>
        <v>-10.074178</v>
      </c>
      <c r="O18" s="4">
        <f t="shared" si="9"/>
        <v>0</v>
      </c>
      <c r="P18" s="4">
        <f t="shared" si="10"/>
        <v>14.34</v>
      </c>
    </row>
    <row r="19">
      <c r="A19" s="4">
        <v>2015.0</v>
      </c>
      <c r="B19" s="4">
        <v>169.0</v>
      </c>
      <c r="C19" s="4">
        <v>5.576</v>
      </c>
      <c r="D19" s="4">
        <v>21.91</v>
      </c>
      <c r="E19" s="4">
        <f t="shared" si="1"/>
        <v>0</v>
      </c>
      <c r="F19" s="4">
        <f t="shared" si="2"/>
        <v>0</v>
      </c>
      <c r="G19" s="4">
        <f t="shared" si="3"/>
        <v>30.27211</v>
      </c>
      <c r="H19" s="4">
        <f t="shared" si="4"/>
        <v>26.01772</v>
      </c>
      <c r="I19" s="4" t="str">
        <f t="shared" si="5"/>
        <v> </v>
      </c>
      <c r="J19" s="4">
        <v>0.0</v>
      </c>
      <c r="K19" s="4">
        <v>14.19</v>
      </c>
      <c r="L19" s="4">
        <f t="shared" si="6"/>
        <v>3</v>
      </c>
      <c r="M19" s="4">
        <f t="shared" si="7"/>
        <v>0</v>
      </c>
      <c r="N19" s="4">
        <f t="shared" si="8"/>
        <v>-0.283663</v>
      </c>
      <c r="O19" s="4">
        <f t="shared" si="9"/>
        <v>0</v>
      </c>
      <c r="P19" s="4">
        <f t="shared" si="10"/>
        <v>14.19</v>
      </c>
    </row>
    <row r="20">
      <c r="A20" s="4">
        <v>2015.0</v>
      </c>
      <c r="B20" s="4">
        <v>170.0</v>
      </c>
      <c r="C20" s="4">
        <v>5.777</v>
      </c>
      <c r="D20" s="4">
        <v>20.22</v>
      </c>
      <c r="E20" s="4">
        <f t="shared" si="1"/>
        <v>0</v>
      </c>
      <c r="F20" s="4">
        <f t="shared" si="2"/>
        <v>0</v>
      </c>
      <c r="G20" s="4">
        <f t="shared" si="3"/>
        <v>27.4758</v>
      </c>
      <c r="H20" s="4">
        <f t="shared" si="4"/>
        <v>24.41018</v>
      </c>
      <c r="I20" s="4" t="str">
        <f t="shared" si="5"/>
        <v> </v>
      </c>
      <c r="J20" s="4">
        <v>0.0</v>
      </c>
      <c r="K20" s="4">
        <v>14.64</v>
      </c>
      <c r="L20" s="4">
        <f t="shared" si="6"/>
        <v>3</v>
      </c>
      <c r="M20" s="4">
        <f t="shared" si="7"/>
        <v>1</v>
      </c>
      <c r="N20" s="4">
        <f t="shared" si="8"/>
        <v>3.705538</v>
      </c>
      <c r="O20" s="4">
        <f t="shared" si="9"/>
        <v>0</v>
      </c>
      <c r="P20" s="4">
        <f t="shared" si="10"/>
        <v>14.64</v>
      </c>
    </row>
    <row r="21" ht="15.75" customHeight="1">
      <c r="A21" s="4">
        <v>2015.0</v>
      </c>
      <c r="B21" s="4">
        <v>171.0</v>
      </c>
      <c r="C21" s="4">
        <v>14.17</v>
      </c>
      <c r="D21" s="4">
        <v>22.12</v>
      </c>
      <c r="E21" s="4">
        <f t="shared" si="1"/>
        <v>1</v>
      </c>
      <c r="F21" s="4">
        <f t="shared" si="2"/>
        <v>0</v>
      </c>
      <c r="G21" s="4">
        <f t="shared" si="3"/>
        <v>37.0888</v>
      </c>
      <c r="H21" s="4">
        <f t="shared" si="4"/>
        <v>33.4957</v>
      </c>
      <c r="I21" s="4" t="str">
        <f t="shared" si="5"/>
        <v> </v>
      </c>
      <c r="J21" s="4">
        <v>7.8</v>
      </c>
      <c r="K21" s="4">
        <v>17.44</v>
      </c>
      <c r="L21" s="4">
        <f t="shared" si="6"/>
        <v>8</v>
      </c>
      <c r="M21" s="4">
        <f t="shared" si="7"/>
        <v>0</v>
      </c>
      <c r="N21" s="4">
        <f t="shared" si="8"/>
        <v>-5.32282</v>
      </c>
      <c r="O21" s="4">
        <f t="shared" si="9"/>
        <v>7.8</v>
      </c>
      <c r="P21" s="4">
        <f t="shared" si="10"/>
        <v>17.44</v>
      </c>
    </row>
    <row r="22" ht="15.75" customHeight="1">
      <c r="A22" s="4">
        <v>2015.0</v>
      </c>
      <c r="B22" s="4">
        <v>172.0</v>
      </c>
      <c r="C22" s="4">
        <v>15.26</v>
      </c>
      <c r="D22" s="4">
        <v>21.86</v>
      </c>
      <c r="E22" s="4">
        <f t="shared" si="1"/>
        <v>0</v>
      </c>
      <c r="F22" s="4">
        <f t="shared" si="2"/>
        <v>0</v>
      </c>
      <c r="G22" s="4">
        <f t="shared" si="3"/>
        <v>35.71</v>
      </c>
      <c r="H22" s="4">
        <f t="shared" si="4"/>
        <v>30.43055</v>
      </c>
      <c r="I22" s="4" t="str">
        <f t="shared" si="5"/>
        <v> </v>
      </c>
      <c r="J22" s="4">
        <v>0.0</v>
      </c>
      <c r="K22" s="4">
        <v>17.34</v>
      </c>
      <c r="L22" s="4">
        <f t="shared" si="6"/>
        <v>3</v>
      </c>
      <c r="M22" s="4">
        <f t="shared" si="7"/>
        <v>0</v>
      </c>
      <c r="N22" s="4">
        <f t="shared" si="8"/>
        <v>-8.50545</v>
      </c>
      <c r="O22" s="4">
        <f t="shared" si="9"/>
        <v>0</v>
      </c>
      <c r="P22" s="4">
        <f t="shared" si="10"/>
        <v>17.34</v>
      </c>
    </row>
    <row r="23" ht="15.75" customHeight="1">
      <c r="A23" s="4">
        <v>2015.0</v>
      </c>
      <c r="B23" s="4">
        <v>173.0</v>
      </c>
      <c r="C23" s="4">
        <v>12.04</v>
      </c>
      <c r="D23" s="4">
        <v>28.42</v>
      </c>
      <c r="E23" s="4">
        <f t="shared" si="1"/>
        <v>0</v>
      </c>
      <c r="F23" s="4">
        <f t="shared" si="2"/>
        <v>0</v>
      </c>
      <c r="G23" s="4">
        <f t="shared" si="3"/>
        <v>39.7683</v>
      </c>
      <c r="H23" s="4">
        <f t="shared" si="4"/>
        <v>35.5752</v>
      </c>
      <c r="I23" s="4" t="str">
        <f t="shared" si="5"/>
        <v> </v>
      </c>
      <c r="J23" s="4">
        <v>0.0</v>
      </c>
      <c r="K23" s="4">
        <v>19.96</v>
      </c>
      <c r="L23" s="4">
        <f t="shared" si="6"/>
        <v>3</v>
      </c>
      <c r="M23" s="4">
        <f t="shared" si="7"/>
        <v>0</v>
      </c>
      <c r="N23" s="4">
        <f t="shared" si="8"/>
        <v>-11.71658</v>
      </c>
      <c r="O23" s="4">
        <f t="shared" si="9"/>
        <v>0</v>
      </c>
      <c r="P23" s="4">
        <f t="shared" si="10"/>
        <v>19.96</v>
      </c>
    </row>
    <row r="24" ht="15.75" customHeight="1">
      <c r="A24" s="4">
        <v>2015.0</v>
      </c>
      <c r="B24" s="4">
        <v>174.0</v>
      </c>
      <c r="C24" s="4">
        <v>12.86</v>
      </c>
      <c r="D24" s="4">
        <v>24.25</v>
      </c>
      <c r="E24" s="4">
        <f t="shared" si="1"/>
        <v>0</v>
      </c>
      <c r="F24" s="4">
        <f t="shared" si="2"/>
        <v>0</v>
      </c>
      <c r="G24" s="4">
        <f t="shared" si="3"/>
        <v>34.6935</v>
      </c>
      <c r="H24" s="4">
        <f t="shared" si="4"/>
        <v>32.2483</v>
      </c>
      <c r="I24" s="4" t="str">
        <f t="shared" si="5"/>
        <v> </v>
      </c>
      <c r="J24" s="4">
        <v>0.0</v>
      </c>
      <c r="K24" s="4">
        <v>18.75</v>
      </c>
      <c r="L24" s="4">
        <f t="shared" si="6"/>
        <v>3</v>
      </c>
      <c r="M24" s="4">
        <f t="shared" si="7"/>
        <v>0</v>
      </c>
      <c r="N24" s="4">
        <f t="shared" si="8"/>
        <v>-8.78707</v>
      </c>
      <c r="O24" s="4">
        <f t="shared" si="9"/>
        <v>0</v>
      </c>
      <c r="P24" s="4">
        <f t="shared" si="10"/>
        <v>18.75</v>
      </c>
    </row>
    <row r="25" ht="15.75" customHeight="1">
      <c r="A25" s="4">
        <v>2015.0</v>
      </c>
      <c r="B25" s="4">
        <v>175.0</v>
      </c>
      <c r="C25" s="4">
        <v>9.71</v>
      </c>
      <c r="D25" s="4">
        <v>28.11</v>
      </c>
      <c r="E25" s="4">
        <f t="shared" si="1"/>
        <v>0</v>
      </c>
      <c r="F25" s="4">
        <f t="shared" si="2"/>
        <v>0</v>
      </c>
      <c r="G25" s="4">
        <f t="shared" si="3"/>
        <v>33.1005</v>
      </c>
      <c r="H25" s="4">
        <f t="shared" si="4"/>
        <v>31.82355</v>
      </c>
      <c r="I25" s="4" t="str">
        <f t="shared" si="5"/>
        <v> </v>
      </c>
      <c r="J25" s="4">
        <v>0.0</v>
      </c>
      <c r="K25" s="4">
        <v>20.02</v>
      </c>
      <c r="L25" s="4">
        <f t="shared" si="6"/>
        <v>3</v>
      </c>
      <c r="M25" s="4">
        <f t="shared" si="7"/>
        <v>0</v>
      </c>
      <c r="N25" s="4">
        <f t="shared" si="8"/>
        <v>-5.38451</v>
      </c>
      <c r="O25" s="4">
        <f t="shared" si="9"/>
        <v>0</v>
      </c>
      <c r="P25" s="4">
        <f t="shared" si="10"/>
        <v>20.02</v>
      </c>
    </row>
    <row r="26" ht="15.75" customHeight="1">
      <c r="A26" s="4">
        <v>2015.0</v>
      </c>
      <c r="B26" s="4">
        <v>176.0</v>
      </c>
      <c r="C26" s="4">
        <v>13.1</v>
      </c>
      <c r="D26" s="4">
        <v>27.31</v>
      </c>
      <c r="E26" s="4">
        <f t="shared" si="1"/>
        <v>0</v>
      </c>
      <c r="F26" s="4">
        <f t="shared" si="2"/>
        <v>0</v>
      </c>
      <c r="G26" s="4">
        <f t="shared" si="3"/>
        <v>35.9668</v>
      </c>
      <c r="H26" s="4">
        <f t="shared" si="4"/>
        <v>33.73615</v>
      </c>
      <c r="I26" s="4" t="str">
        <f t="shared" si="5"/>
        <v> </v>
      </c>
      <c r="J26" s="4">
        <v>0.0</v>
      </c>
      <c r="K26" s="4">
        <v>19.98</v>
      </c>
      <c r="L26" s="4">
        <f t="shared" si="6"/>
        <v>3</v>
      </c>
      <c r="M26" s="4">
        <f t="shared" si="7"/>
        <v>1</v>
      </c>
      <c r="N26" s="4">
        <f t="shared" si="8"/>
        <v>5.83988</v>
      </c>
      <c r="O26" s="4">
        <f t="shared" si="9"/>
        <v>0</v>
      </c>
      <c r="P26" s="4">
        <f t="shared" si="10"/>
        <v>19.98</v>
      </c>
    </row>
    <row r="27" ht="15.75" customHeight="1">
      <c r="A27" s="4">
        <v>2015.0</v>
      </c>
      <c r="B27" s="4">
        <v>177.0</v>
      </c>
      <c r="C27" s="4">
        <v>13.1</v>
      </c>
      <c r="D27" s="4">
        <v>26.32</v>
      </c>
      <c r="E27" s="4">
        <f t="shared" si="1"/>
        <v>1</v>
      </c>
      <c r="F27" s="4">
        <f t="shared" si="2"/>
        <v>1</v>
      </c>
      <c r="G27" s="4">
        <f t="shared" si="3"/>
        <v>36.2816</v>
      </c>
      <c r="H27" s="4">
        <f t="shared" si="4"/>
        <v>36.7143</v>
      </c>
      <c r="I27" s="4">
        <f t="shared" si="5"/>
        <v>0.4327</v>
      </c>
      <c r="J27" s="4">
        <v>0.1</v>
      </c>
      <c r="K27" s="4">
        <v>19.82</v>
      </c>
      <c r="L27" s="4">
        <f t="shared" si="6"/>
        <v>8</v>
      </c>
      <c r="M27" s="4">
        <f t="shared" si="7"/>
        <v>1</v>
      </c>
      <c r="N27" s="4">
        <f t="shared" si="8"/>
        <v>9.64254</v>
      </c>
      <c r="O27" s="4">
        <f t="shared" si="9"/>
        <v>0.1</v>
      </c>
      <c r="P27" s="4">
        <f t="shared" si="10"/>
        <v>19.82</v>
      </c>
    </row>
    <row r="28" ht="15.75" customHeight="1">
      <c r="A28" s="4">
        <v>2015.0</v>
      </c>
      <c r="B28" s="4">
        <v>178.0</v>
      </c>
      <c r="C28" s="4">
        <v>14.43</v>
      </c>
      <c r="D28" s="4">
        <v>20.02</v>
      </c>
      <c r="E28" s="4">
        <f t="shared" si="1"/>
        <v>1</v>
      </c>
      <c r="F28" s="4">
        <f t="shared" si="2"/>
        <v>1</v>
      </c>
      <c r="G28" s="4">
        <f t="shared" si="3"/>
        <v>34.4109</v>
      </c>
      <c r="H28" s="4">
        <f t="shared" si="4"/>
        <v>35.9612</v>
      </c>
      <c r="I28" s="4">
        <f t="shared" si="5"/>
        <v>1.5503</v>
      </c>
      <c r="J28" s="4">
        <v>33.2</v>
      </c>
      <c r="K28" s="4">
        <v>17.14</v>
      </c>
      <c r="L28" s="4">
        <f t="shared" si="6"/>
        <v>8</v>
      </c>
      <c r="M28" s="4">
        <f t="shared" si="7"/>
        <v>1</v>
      </c>
      <c r="N28" s="4">
        <f t="shared" si="8"/>
        <v>5.90432</v>
      </c>
      <c r="O28" s="4">
        <f t="shared" si="9"/>
        <v>33.2</v>
      </c>
      <c r="P28" s="4">
        <f t="shared" si="10"/>
        <v>17.14</v>
      </c>
    </row>
    <row r="29" ht="15.75" customHeight="1">
      <c r="A29" s="4">
        <v>2015.0</v>
      </c>
      <c r="B29" s="4">
        <v>179.0</v>
      </c>
      <c r="C29" s="4">
        <v>12.19</v>
      </c>
      <c r="D29" s="4">
        <v>16.09</v>
      </c>
      <c r="E29" s="4">
        <f t="shared" si="1"/>
        <v>1</v>
      </c>
      <c r="F29" s="4">
        <f t="shared" si="2"/>
        <v>1</v>
      </c>
      <c r="G29" s="4">
        <f t="shared" si="3"/>
        <v>35.6353</v>
      </c>
      <c r="H29" s="4">
        <f t="shared" si="4"/>
        <v>36.66705</v>
      </c>
      <c r="I29" s="4">
        <f t="shared" si="5"/>
        <v>1.03175</v>
      </c>
      <c r="J29" s="4">
        <v>4.5</v>
      </c>
      <c r="K29" s="4">
        <v>13.95</v>
      </c>
      <c r="L29" s="4">
        <f t="shared" si="6"/>
        <v>8</v>
      </c>
      <c r="M29" s="4">
        <f t="shared" si="7"/>
        <v>0</v>
      </c>
      <c r="N29" s="4">
        <f t="shared" si="8"/>
        <v>-0.00338</v>
      </c>
      <c r="O29" s="4">
        <f t="shared" si="9"/>
        <v>4.5</v>
      </c>
      <c r="P29" s="4">
        <f t="shared" si="10"/>
        <v>13.95</v>
      </c>
    </row>
    <row r="30" ht="15.75" customHeight="1">
      <c r="A30" s="4">
        <v>2015.0</v>
      </c>
      <c r="B30" s="4">
        <v>180.0</v>
      </c>
      <c r="C30" s="4">
        <v>10.9</v>
      </c>
      <c r="D30" s="4">
        <v>23.4</v>
      </c>
      <c r="E30" s="4">
        <f t="shared" si="1"/>
        <v>0</v>
      </c>
      <c r="F30" s="4">
        <f t="shared" si="2"/>
        <v>0</v>
      </c>
      <c r="G30" s="4">
        <f t="shared" si="3"/>
        <v>37.4499</v>
      </c>
      <c r="H30" s="4">
        <f t="shared" si="4"/>
        <v>36.16695</v>
      </c>
      <c r="I30" s="4" t="str">
        <f t="shared" si="5"/>
        <v> </v>
      </c>
      <c r="J30" s="4">
        <v>0.0</v>
      </c>
      <c r="K30" s="4">
        <v>16.75</v>
      </c>
      <c r="L30" s="4">
        <f t="shared" si="6"/>
        <v>3</v>
      </c>
      <c r="M30" s="4">
        <f t="shared" si="7"/>
        <v>1</v>
      </c>
      <c r="N30" s="4">
        <f t="shared" si="8"/>
        <v>5.36391</v>
      </c>
      <c r="O30" s="4">
        <f t="shared" si="9"/>
        <v>0</v>
      </c>
      <c r="P30" s="4">
        <f t="shared" si="10"/>
        <v>16.75</v>
      </c>
    </row>
    <row r="31" ht="15.75" customHeight="1">
      <c r="A31" s="4">
        <v>2015.0</v>
      </c>
      <c r="B31" s="4">
        <v>181.0</v>
      </c>
      <c r="C31" s="4">
        <v>9.9</v>
      </c>
      <c r="D31" s="4">
        <v>25.4</v>
      </c>
      <c r="E31" s="4">
        <f t="shared" si="1"/>
        <v>1</v>
      </c>
      <c r="F31" s="4">
        <f t="shared" si="2"/>
        <v>1</v>
      </c>
      <c r="G31" s="4">
        <f t="shared" si="3"/>
        <v>43.9967</v>
      </c>
      <c r="H31" s="4">
        <f t="shared" si="4"/>
        <v>44.00475</v>
      </c>
      <c r="I31" s="4">
        <f t="shared" si="5"/>
        <v>0.00805</v>
      </c>
      <c r="J31" s="4">
        <v>0.4</v>
      </c>
      <c r="K31" s="4">
        <v>17.35</v>
      </c>
      <c r="L31" s="4">
        <f t="shared" si="6"/>
        <v>8</v>
      </c>
      <c r="M31" s="4">
        <f t="shared" si="7"/>
        <v>1</v>
      </c>
      <c r="N31" s="4">
        <f t="shared" si="8"/>
        <v>6.98133</v>
      </c>
      <c r="O31" s="4">
        <f t="shared" si="9"/>
        <v>0.4</v>
      </c>
      <c r="P31" s="4">
        <f t="shared" si="10"/>
        <v>17.35</v>
      </c>
    </row>
    <row r="32" ht="15.75" customHeight="1">
      <c r="A32" s="4">
        <v>2015.0</v>
      </c>
      <c r="B32" s="4">
        <v>182.0</v>
      </c>
      <c r="C32" s="4">
        <v>12.31</v>
      </c>
      <c r="D32" s="4">
        <v>25.93</v>
      </c>
      <c r="E32" s="4">
        <f t="shared" si="1"/>
        <v>1</v>
      </c>
      <c r="F32" s="4">
        <f t="shared" si="2"/>
        <v>0</v>
      </c>
      <c r="G32" s="4">
        <f t="shared" si="3"/>
        <v>42.992</v>
      </c>
      <c r="H32" s="4">
        <f t="shared" si="4"/>
        <v>39.91765</v>
      </c>
      <c r="I32" s="4" t="str">
        <f t="shared" si="5"/>
        <v> </v>
      </c>
      <c r="J32" s="4">
        <v>0.2</v>
      </c>
      <c r="K32" s="4">
        <v>18.93</v>
      </c>
      <c r="L32" s="4">
        <f t="shared" si="6"/>
        <v>8</v>
      </c>
      <c r="M32" s="4">
        <f t="shared" si="7"/>
        <v>1</v>
      </c>
      <c r="N32" s="4">
        <f t="shared" si="8"/>
        <v>3.43083</v>
      </c>
      <c r="O32" s="4">
        <f t="shared" si="9"/>
        <v>0.2</v>
      </c>
      <c r="P32" s="4">
        <f t="shared" si="10"/>
        <v>18.93</v>
      </c>
    </row>
    <row r="33" ht="15.75" customHeight="1">
      <c r="A33" s="4">
        <v>2015.0</v>
      </c>
      <c r="B33" s="4">
        <v>183.0</v>
      </c>
      <c r="C33" s="4">
        <v>10.87</v>
      </c>
      <c r="D33" s="4">
        <v>26.61</v>
      </c>
      <c r="E33" s="4">
        <f t="shared" si="1"/>
        <v>1</v>
      </c>
      <c r="F33" s="4">
        <f t="shared" si="2"/>
        <v>0</v>
      </c>
      <c r="G33" s="4">
        <f t="shared" si="3"/>
        <v>36.4663</v>
      </c>
      <c r="H33" s="4">
        <f t="shared" si="4"/>
        <v>32.35055</v>
      </c>
      <c r="I33" s="4" t="str">
        <f t="shared" si="5"/>
        <v> </v>
      </c>
      <c r="J33" s="4">
        <v>1.2</v>
      </c>
      <c r="K33" s="4">
        <v>18.97</v>
      </c>
      <c r="L33" s="4">
        <f t="shared" si="6"/>
        <v>8</v>
      </c>
      <c r="M33" s="4">
        <f t="shared" si="7"/>
        <v>0</v>
      </c>
      <c r="N33" s="4">
        <f t="shared" si="8"/>
        <v>-3.09395</v>
      </c>
      <c r="O33" s="4">
        <f t="shared" si="9"/>
        <v>1.2</v>
      </c>
      <c r="P33" s="4">
        <f t="shared" si="10"/>
        <v>18.97</v>
      </c>
    </row>
    <row r="34" ht="15.75" customHeight="1">
      <c r="A34" s="4">
        <v>2015.0</v>
      </c>
      <c r="B34" s="4">
        <v>184.0</v>
      </c>
      <c r="C34" s="4">
        <v>11.77</v>
      </c>
      <c r="D34" s="4">
        <v>22.99</v>
      </c>
      <c r="E34" s="4">
        <f t="shared" si="1"/>
        <v>0</v>
      </c>
      <c r="F34" s="4">
        <f t="shared" si="2"/>
        <v>0</v>
      </c>
      <c r="G34" s="4">
        <f t="shared" si="3"/>
        <v>32.2882</v>
      </c>
      <c r="H34" s="4">
        <f t="shared" si="4"/>
        <v>30.0066</v>
      </c>
      <c r="I34" s="4" t="str">
        <f t="shared" si="5"/>
        <v> </v>
      </c>
      <c r="J34" s="4">
        <v>0.0</v>
      </c>
      <c r="K34" s="4">
        <v>17.73</v>
      </c>
      <c r="L34" s="4">
        <f t="shared" si="6"/>
        <v>3</v>
      </c>
      <c r="M34" s="4">
        <f t="shared" si="7"/>
        <v>0</v>
      </c>
      <c r="N34" s="4">
        <f t="shared" si="8"/>
        <v>-7.86969</v>
      </c>
      <c r="O34" s="4">
        <f t="shared" si="9"/>
        <v>0</v>
      </c>
      <c r="P34" s="4">
        <f t="shared" si="10"/>
        <v>17.73</v>
      </c>
    </row>
    <row r="35" ht="15.75" customHeight="1">
      <c r="A35" s="4">
        <v>2015.0</v>
      </c>
      <c r="B35" s="4">
        <v>185.0</v>
      </c>
      <c r="C35" s="4">
        <v>16.69</v>
      </c>
      <c r="D35" s="4">
        <v>29.17</v>
      </c>
      <c r="E35" s="4">
        <f t="shared" si="1"/>
        <v>0</v>
      </c>
      <c r="F35" s="4">
        <f t="shared" si="2"/>
        <v>0</v>
      </c>
      <c r="G35" s="4">
        <f t="shared" si="3"/>
        <v>39.8082</v>
      </c>
      <c r="H35" s="4">
        <f t="shared" si="4"/>
        <v>33.46155</v>
      </c>
      <c r="I35" s="4" t="str">
        <f t="shared" si="5"/>
        <v> </v>
      </c>
      <c r="J35" s="4">
        <v>0.0</v>
      </c>
      <c r="K35" s="4">
        <v>23.48</v>
      </c>
      <c r="L35" s="4">
        <f t="shared" si="6"/>
        <v>3</v>
      </c>
      <c r="M35" s="4">
        <f t="shared" si="7"/>
        <v>0</v>
      </c>
      <c r="N35" s="4">
        <f t="shared" si="8"/>
        <v>-11.85125</v>
      </c>
      <c r="O35" s="4">
        <f t="shared" si="9"/>
        <v>0</v>
      </c>
      <c r="P35" s="4">
        <f t="shared" si="10"/>
        <v>23.48</v>
      </c>
    </row>
    <row r="36" ht="15.75" customHeight="1">
      <c r="A36" s="4">
        <v>2015.0</v>
      </c>
      <c r="B36" s="4">
        <v>186.0</v>
      </c>
      <c r="C36" s="4">
        <v>16.49</v>
      </c>
      <c r="D36" s="4">
        <v>28.01</v>
      </c>
      <c r="E36" s="4">
        <f t="shared" si="1"/>
        <v>0</v>
      </c>
      <c r="F36" s="4">
        <f t="shared" si="2"/>
        <v>0</v>
      </c>
      <c r="G36" s="4">
        <f t="shared" si="3"/>
        <v>38.7081</v>
      </c>
      <c r="H36" s="4">
        <f t="shared" si="4"/>
        <v>35.8917</v>
      </c>
      <c r="I36" s="4" t="str">
        <f t="shared" si="5"/>
        <v> </v>
      </c>
      <c r="J36" s="4">
        <v>0.0</v>
      </c>
      <c r="K36" s="4">
        <v>22.72</v>
      </c>
      <c r="L36" s="4">
        <f t="shared" si="6"/>
        <v>3</v>
      </c>
      <c r="M36" s="4">
        <f t="shared" si="7"/>
        <v>0</v>
      </c>
      <c r="N36" s="4">
        <f t="shared" si="8"/>
        <v>-2.10197</v>
      </c>
      <c r="O36" s="4">
        <f t="shared" si="9"/>
        <v>0</v>
      </c>
      <c r="P36" s="4">
        <f t="shared" si="10"/>
        <v>22.72</v>
      </c>
    </row>
    <row r="37" ht="15.75" customHeight="1">
      <c r="A37" s="4">
        <v>2015.0</v>
      </c>
      <c r="B37" s="4">
        <v>187.0</v>
      </c>
      <c r="C37" s="4">
        <v>10.7</v>
      </c>
      <c r="D37" s="4">
        <v>22.01</v>
      </c>
      <c r="E37" s="4">
        <f t="shared" si="1"/>
        <v>0</v>
      </c>
      <c r="F37" s="4">
        <f t="shared" si="2"/>
        <v>0</v>
      </c>
      <c r="G37" s="4">
        <f t="shared" si="3"/>
        <v>35.7395</v>
      </c>
      <c r="H37" s="4">
        <f t="shared" si="4"/>
        <v>34.08275</v>
      </c>
      <c r="I37" s="4" t="str">
        <f t="shared" si="5"/>
        <v> </v>
      </c>
      <c r="J37" s="4">
        <v>0.0</v>
      </c>
      <c r="K37" s="4">
        <v>16.44</v>
      </c>
      <c r="L37" s="4">
        <f t="shared" si="6"/>
        <v>3</v>
      </c>
      <c r="M37" s="4">
        <f t="shared" si="7"/>
        <v>1</v>
      </c>
      <c r="N37" s="4">
        <f t="shared" si="8"/>
        <v>1.15365</v>
      </c>
      <c r="O37" s="4">
        <f t="shared" si="9"/>
        <v>0</v>
      </c>
      <c r="P37" s="4">
        <f t="shared" si="10"/>
        <v>16.44</v>
      </c>
    </row>
    <row r="38" ht="15.75" customHeight="1">
      <c r="A38" s="4">
        <v>2015.0</v>
      </c>
      <c r="B38" s="4">
        <v>188.0</v>
      </c>
      <c r="C38" s="4">
        <v>15.37</v>
      </c>
      <c r="D38" s="4">
        <v>23.08</v>
      </c>
      <c r="E38" s="4">
        <f t="shared" si="1"/>
        <v>1</v>
      </c>
      <c r="F38" s="4">
        <f t="shared" si="2"/>
        <v>0</v>
      </c>
      <c r="G38" s="4">
        <f t="shared" si="3"/>
        <v>36.4271</v>
      </c>
      <c r="H38" s="4">
        <f t="shared" si="4"/>
        <v>35.2163</v>
      </c>
      <c r="I38" s="4" t="str">
        <f t="shared" si="5"/>
        <v> </v>
      </c>
      <c r="J38" s="4">
        <v>0.1</v>
      </c>
      <c r="K38" s="4">
        <v>19.48</v>
      </c>
      <c r="L38" s="4">
        <f t="shared" si="6"/>
        <v>8</v>
      </c>
      <c r="M38" s="4">
        <f t="shared" si="7"/>
        <v>1</v>
      </c>
      <c r="N38" s="4">
        <f t="shared" si="8"/>
        <v>1.54039</v>
      </c>
      <c r="O38" s="4">
        <f t="shared" si="9"/>
        <v>0.1</v>
      </c>
      <c r="P38" s="4">
        <f t="shared" si="10"/>
        <v>19.48</v>
      </c>
    </row>
    <row r="39" ht="15.75" customHeight="1">
      <c r="A39" s="4">
        <v>2015.0</v>
      </c>
      <c r="B39" s="4">
        <v>189.0</v>
      </c>
      <c r="C39" s="4">
        <v>13.04</v>
      </c>
      <c r="D39" s="4">
        <v>25.24</v>
      </c>
      <c r="E39" s="4">
        <f t="shared" si="1"/>
        <v>0</v>
      </c>
      <c r="F39" s="4">
        <f t="shared" si="2"/>
        <v>0</v>
      </c>
      <c r="G39" s="4">
        <f t="shared" si="3"/>
        <v>33.435</v>
      </c>
      <c r="H39" s="4">
        <f t="shared" si="4"/>
        <v>33.30385</v>
      </c>
      <c r="I39" s="4" t="str">
        <f t="shared" si="5"/>
        <v> </v>
      </c>
      <c r="J39" s="4">
        <v>0.0</v>
      </c>
      <c r="K39" s="4">
        <v>18.68</v>
      </c>
      <c r="L39" s="4">
        <f t="shared" si="6"/>
        <v>3</v>
      </c>
      <c r="M39" s="4">
        <f t="shared" si="7"/>
        <v>1</v>
      </c>
      <c r="N39" s="4">
        <f t="shared" si="8"/>
        <v>4.42125</v>
      </c>
      <c r="O39" s="4">
        <f t="shared" si="9"/>
        <v>0</v>
      </c>
      <c r="P39" s="4">
        <f t="shared" si="10"/>
        <v>18.68</v>
      </c>
    </row>
    <row r="40" ht="15.75" customHeight="1">
      <c r="A40" s="4">
        <v>2015.0</v>
      </c>
      <c r="B40" s="4">
        <v>190.0</v>
      </c>
      <c r="C40" s="4">
        <v>16.11</v>
      </c>
      <c r="D40" s="4">
        <v>26.59</v>
      </c>
      <c r="E40" s="4">
        <f t="shared" si="1"/>
        <v>1</v>
      </c>
      <c r="F40" s="4">
        <f t="shared" si="2"/>
        <v>1</v>
      </c>
      <c r="G40" s="4">
        <f t="shared" si="3"/>
        <v>33.4041</v>
      </c>
      <c r="H40" s="4">
        <f t="shared" si="4"/>
        <v>34.0978</v>
      </c>
      <c r="I40" s="4">
        <f t="shared" si="5"/>
        <v>0.6937</v>
      </c>
      <c r="J40" s="4">
        <v>2.7</v>
      </c>
      <c r="K40" s="4">
        <v>21.86</v>
      </c>
      <c r="L40" s="4">
        <f t="shared" si="6"/>
        <v>8</v>
      </c>
      <c r="M40" s="4">
        <f t="shared" si="7"/>
        <v>1</v>
      </c>
      <c r="N40" s="4">
        <f t="shared" si="8"/>
        <v>3.0612</v>
      </c>
      <c r="O40" s="4">
        <f t="shared" si="9"/>
        <v>2.7</v>
      </c>
      <c r="P40" s="4">
        <f t="shared" si="10"/>
        <v>21.86</v>
      </c>
    </row>
    <row r="41" ht="15.75" customHeight="1">
      <c r="A41" s="4">
        <v>2015.0</v>
      </c>
      <c r="B41" s="4">
        <v>191.0</v>
      </c>
      <c r="C41" s="4">
        <v>13.5</v>
      </c>
      <c r="D41" s="4">
        <v>26.03</v>
      </c>
      <c r="E41" s="4">
        <f t="shared" si="1"/>
        <v>1</v>
      </c>
      <c r="F41" s="4">
        <f t="shared" si="2"/>
        <v>1</v>
      </c>
      <c r="G41" s="4">
        <f t="shared" si="3"/>
        <v>32.4241</v>
      </c>
      <c r="H41" s="4">
        <f t="shared" si="4"/>
        <v>33.26635</v>
      </c>
      <c r="I41" s="4">
        <f t="shared" si="5"/>
        <v>0.84225</v>
      </c>
      <c r="J41" s="4">
        <v>4.0</v>
      </c>
      <c r="K41" s="4">
        <v>19.08</v>
      </c>
      <c r="L41" s="4">
        <f t="shared" si="6"/>
        <v>8</v>
      </c>
      <c r="M41" s="4">
        <f t="shared" si="7"/>
        <v>0</v>
      </c>
      <c r="N41" s="4">
        <f t="shared" si="8"/>
        <v>-0.43527</v>
      </c>
      <c r="O41" s="4">
        <f t="shared" si="9"/>
        <v>4</v>
      </c>
      <c r="P41" s="4">
        <f t="shared" si="10"/>
        <v>19.08</v>
      </c>
    </row>
    <row r="42" ht="15.75" customHeight="1">
      <c r="A42" s="4">
        <v>2015.0</v>
      </c>
      <c r="B42" s="4">
        <v>192.0</v>
      </c>
      <c r="C42" s="4">
        <v>11.31</v>
      </c>
      <c r="D42" s="4">
        <v>19.75</v>
      </c>
      <c r="E42" s="4">
        <f t="shared" si="1"/>
        <v>0</v>
      </c>
      <c r="F42" s="4">
        <f t="shared" si="2"/>
        <v>1</v>
      </c>
      <c r="G42" s="4">
        <f t="shared" si="3"/>
        <v>27.2103</v>
      </c>
      <c r="H42" s="4">
        <f t="shared" si="4"/>
        <v>27.4346</v>
      </c>
      <c r="I42" s="4">
        <f t="shared" si="5"/>
        <v>0.2243</v>
      </c>
      <c r="J42" s="4">
        <v>0.0</v>
      </c>
      <c r="K42" s="4">
        <v>15.07</v>
      </c>
      <c r="L42" s="4">
        <f t="shared" si="6"/>
        <v>3</v>
      </c>
      <c r="M42" s="4">
        <f t="shared" si="7"/>
        <v>1</v>
      </c>
      <c r="N42" s="4">
        <f t="shared" si="8"/>
        <v>6.72662</v>
      </c>
      <c r="O42" s="4">
        <f t="shared" si="9"/>
        <v>0</v>
      </c>
      <c r="P42" s="4">
        <f t="shared" si="10"/>
        <v>15.07</v>
      </c>
    </row>
    <row r="43" ht="15.75" customHeight="1">
      <c r="A43" s="4">
        <v>2015.0</v>
      </c>
      <c r="B43" s="4">
        <v>193.0</v>
      </c>
      <c r="C43" s="4">
        <v>10.44</v>
      </c>
      <c r="D43" s="4">
        <v>19.15</v>
      </c>
      <c r="E43" s="4">
        <f t="shared" si="1"/>
        <v>1</v>
      </c>
      <c r="F43" s="4">
        <f t="shared" si="2"/>
        <v>1</v>
      </c>
      <c r="G43" s="4">
        <f t="shared" si="3"/>
        <v>31.5027</v>
      </c>
      <c r="H43" s="4">
        <f t="shared" si="4"/>
        <v>32.81275</v>
      </c>
      <c r="I43" s="4">
        <f t="shared" si="5"/>
        <v>1.31005</v>
      </c>
      <c r="J43" s="4">
        <v>8.1</v>
      </c>
      <c r="K43" s="4">
        <v>13.97</v>
      </c>
      <c r="L43" s="4">
        <f t="shared" si="6"/>
        <v>8</v>
      </c>
      <c r="M43" s="4">
        <f t="shared" si="7"/>
        <v>1</v>
      </c>
      <c r="N43" s="4">
        <f t="shared" si="8"/>
        <v>10.94577</v>
      </c>
      <c r="O43" s="4">
        <f t="shared" si="9"/>
        <v>8.1</v>
      </c>
      <c r="P43" s="4">
        <f t="shared" si="10"/>
        <v>13.97</v>
      </c>
    </row>
    <row r="44" ht="15.75" customHeight="1">
      <c r="A44" s="4">
        <v>2015.0</v>
      </c>
      <c r="B44" s="4">
        <v>194.0</v>
      </c>
      <c r="C44" s="4">
        <v>9.63</v>
      </c>
      <c r="D44" s="4">
        <v>16.23</v>
      </c>
      <c r="E44" s="4">
        <f t="shared" si="1"/>
        <v>1</v>
      </c>
      <c r="F44" s="4">
        <f t="shared" si="2"/>
        <v>1</v>
      </c>
      <c r="G44" s="4">
        <f t="shared" si="3"/>
        <v>29.8161</v>
      </c>
      <c r="H44" s="4">
        <f t="shared" si="4"/>
        <v>32.60325</v>
      </c>
      <c r="I44" s="4">
        <f t="shared" si="5"/>
        <v>2.78715</v>
      </c>
      <c r="J44" s="4">
        <v>0.3</v>
      </c>
      <c r="K44" s="4">
        <v>12.57</v>
      </c>
      <c r="L44" s="4">
        <f t="shared" si="6"/>
        <v>8</v>
      </c>
      <c r="M44" s="4">
        <f t="shared" si="7"/>
        <v>1</v>
      </c>
      <c r="N44" s="4">
        <f t="shared" si="8"/>
        <v>8.78713</v>
      </c>
      <c r="O44" s="4">
        <f t="shared" si="9"/>
        <v>0.3</v>
      </c>
      <c r="P44" s="4">
        <f t="shared" si="10"/>
        <v>12.57</v>
      </c>
    </row>
    <row r="45" ht="15.75" customHeight="1">
      <c r="A45" s="4">
        <v>2015.0</v>
      </c>
      <c r="B45" s="4">
        <v>195.0</v>
      </c>
      <c r="C45" s="4">
        <v>10.3</v>
      </c>
      <c r="D45" s="4">
        <v>21.07</v>
      </c>
      <c r="E45" s="4">
        <f t="shared" si="1"/>
        <v>1</v>
      </c>
      <c r="F45" s="4">
        <f t="shared" si="2"/>
        <v>1</v>
      </c>
      <c r="G45" s="4">
        <f t="shared" si="3"/>
        <v>34.6334</v>
      </c>
      <c r="H45" s="4">
        <f t="shared" si="4"/>
        <v>36.5733</v>
      </c>
      <c r="I45" s="4">
        <f t="shared" si="5"/>
        <v>1.9399</v>
      </c>
      <c r="J45" s="4">
        <v>1.4</v>
      </c>
      <c r="K45" s="4">
        <v>14.75</v>
      </c>
      <c r="L45" s="4">
        <f t="shared" si="6"/>
        <v>8</v>
      </c>
      <c r="M45" s="4">
        <f t="shared" si="7"/>
        <v>1</v>
      </c>
      <c r="N45" s="4">
        <f t="shared" si="8"/>
        <v>3.09008</v>
      </c>
      <c r="O45" s="4">
        <f t="shared" si="9"/>
        <v>1.4</v>
      </c>
      <c r="P45" s="4">
        <f t="shared" si="10"/>
        <v>14.75</v>
      </c>
    </row>
    <row r="46" ht="15.75" customHeight="1">
      <c r="A46" s="4">
        <v>2015.0</v>
      </c>
      <c r="B46" s="4">
        <v>196.0</v>
      </c>
      <c r="C46" s="4">
        <v>7.77</v>
      </c>
      <c r="D46" s="4">
        <v>22.4</v>
      </c>
      <c r="E46" s="4">
        <f t="shared" si="1"/>
        <v>1</v>
      </c>
      <c r="F46" s="4">
        <f t="shared" si="2"/>
        <v>0</v>
      </c>
      <c r="G46" s="4">
        <f t="shared" si="3"/>
        <v>34.2324</v>
      </c>
      <c r="H46" s="4">
        <f t="shared" si="4"/>
        <v>33.4648</v>
      </c>
      <c r="I46" s="4" t="str">
        <f t="shared" si="5"/>
        <v> </v>
      </c>
      <c r="J46" s="4">
        <v>0.2</v>
      </c>
      <c r="K46" s="4">
        <v>15.36</v>
      </c>
      <c r="L46" s="4">
        <f t="shared" si="6"/>
        <v>8</v>
      </c>
      <c r="M46" s="4">
        <f t="shared" si="7"/>
        <v>0</v>
      </c>
      <c r="N46" s="4">
        <f t="shared" si="8"/>
        <v>-1.81661</v>
      </c>
      <c r="O46" s="4">
        <f t="shared" si="9"/>
        <v>0.2</v>
      </c>
      <c r="P46" s="4">
        <f t="shared" si="10"/>
        <v>15.36</v>
      </c>
    </row>
    <row r="47" ht="15.75" customHeight="1">
      <c r="A47" s="4">
        <v>2015.0</v>
      </c>
      <c r="B47" s="4">
        <v>197.0</v>
      </c>
      <c r="C47" s="4">
        <v>7.77</v>
      </c>
      <c r="D47" s="4">
        <v>24.71</v>
      </c>
      <c r="E47" s="4">
        <f t="shared" si="1"/>
        <v>0</v>
      </c>
      <c r="F47" s="4">
        <f t="shared" si="2"/>
        <v>1</v>
      </c>
      <c r="G47" s="4">
        <f t="shared" si="3"/>
        <v>30.7095</v>
      </c>
      <c r="H47" s="4">
        <f t="shared" si="4"/>
        <v>32.14725</v>
      </c>
      <c r="I47" s="4">
        <f t="shared" si="5"/>
        <v>1.43775</v>
      </c>
      <c r="J47" s="4">
        <v>0.0</v>
      </c>
      <c r="K47" s="4">
        <v>16.23</v>
      </c>
      <c r="L47" s="4">
        <f t="shared" si="6"/>
        <v>3</v>
      </c>
      <c r="M47" s="4">
        <f t="shared" si="7"/>
        <v>1</v>
      </c>
      <c r="N47" s="4">
        <f t="shared" si="8"/>
        <v>5.08611</v>
      </c>
      <c r="O47" s="4">
        <f t="shared" si="9"/>
        <v>0</v>
      </c>
      <c r="P47" s="4">
        <f t="shared" si="10"/>
        <v>16.23</v>
      </c>
    </row>
    <row r="48" ht="15.75" customHeight="1">
      <c r="A48" s="4">
        <v>2015.0</v>
      </c>
      <c r="B48" s="4">
        <v>198.0</v>
      </c>
      <c r="C48" s="4">
        <v>8.24</v>
      </c>
      <c r="D48" s="4">
        <v>22.67</v>
      </c>
      <c r="E48" s="4">
        <f t="shared" si="1"/>
        <v>1</v>
      </c>
      <c r="F48" s="4">
        <f t="shared" si="2"/>
        <v>1</v>
      </c>
      <c r="G48" s="4">
        <f t="shared" si="3"/>
        <v>31.4967</v>
      </c>
      <c r="H48" s="4">
        <f t="shared" si="4"/>
        <v>32.652</v>
      </c>
      <c r="I48" s="4">
        <f t="shared" si="5"/>
        <v>1.1553</v>
      </c>
      <c r="J48" s="4">
        <v>0.3</v>
      </c>
      <c r="K48" s="4">
        <v>15.89</v>
      </c>
      <c r="L48" s="4">
        <f t="shared" si="6"/>
        <v>8</v>
      </c>
      <c r="M48" s="4">
        <f t="shared" si="7"/>
        <v>1</v>
      </c>
      <c r="N48" s="4">
        <f t="shared" si="8"/>
        <v>3.81803</v>
      </c>
      <c r="O48" s="4">
        <f t="shared" si="9"/>
        <v>0.3</v>
      </c>
      <c r="P48" s="4">
        <f t="shared" si="10"/>
        <v>15.89</v>
      </c>
    </row>
    <row r="49" ht="15.75" customHeight="1">
      <c r="A49" s="4">
        <v>2015.0</v>
      </c>
      <c r="B49" s="4">
        <v>199.0</v>
      </c>
      <c r="C49" s="4">
        <v>10.44</v>
      </c>
      <c r="D49" s="4">
        <v>22.68</v>
      </c>
      <c r="E49" s="4">
        <f t="shared" si="1"/>
        <v>1</v>
      </c>
      <c r="F49" s="4">
        <f t="shared" si="2"/>
        <v>1</v>
      </c>
      <c r="G49" s="4">
        <f t="shared" si="3"/>
        <v>32.2829</v>
      </c>
      <c r="H49" s="4">
        <f t="shared" si="4"/>
        <v>33.27685</v>
      </c>
      <c r="I49" s="4">
        <f t="shared" si="5"/>
        <v>0.99395</v>
      </c>
      <c r="J49" s="4">
        <v>0.9</v>
      </c>
      <c r="K49" s="4">
        <v>15.48</v>
      </c>
      <c r="L49" s="4">
        <f t="shared" si="6"/>
        <v>8</v>
      </c>
      <c r="M49" s="4">
        <f t="shared" si="7"/>
        <v>1</v>
      </c>
      <c r="N49" s="4">
        <f t="shared" si="8"/>
        <v>5.8477</v>
      </c>
      <c r="O49" s="4">
        <f t="shared" si="9"/>
        <v>0.9</v>
      </c>
      <c r="P49" s="4">
        <f t="shared" si="10"/>
        <v>15.48</v>
      </c>
    </row>
    <row r="50" ht="15.75" customHeight="1">
      <c r="A50" s="4">
        <v>2015.0</v>
      </c>
      <c r="B50" s="4">
        <v>200.0</v>
      </c>
      <c r="C50" s="4">
        <v>9.85</v>
      </c>
      <c r="D50" s="4">
        <v>22.31</v>
      </c>
      <c r="E50" s="4">
        <f t="shared" si="1"/>
        <v>0</v>
      </c>
      <c r="F50" s="4">
        <f t="shared" si="2"/>
        <v>0</v>
      </c>
      <c r="G50" s="4">
        <f t="shared" si="3"/>
        <v>28.924</v>
      </c>
      <c r="H50" s="4">
        <f t="shared" si="4"/>
        <v>26.9513</v>
      </c>
      <c r="I50" s="4" t="str">
        <f t="shared" si="5"/>
        <v> </v>
      </c>
      <c r="J50" s="4">
        <v>0.0</v>
      </c>
      <c r="K50" s="4">
        <v>16.26</v>
      </c>
      <c r="L50" s="4">
        <f t="shared" si="6"/>
        <v>3</v>
      </c>
      <c r="M50" s="4">
        <f t="shared" si="7"/>
        <v>1</v>
      </c>
      <c r="N50" s="4">
        <f t="shared" si="8"/>
        <v>10.25019</v>
      </c>
      <c r="O50" s="4">
        <f t="shared" si="9"/>
        <v>0</v>
      </c>
      <c r="P50" s="4">
        <f t="shared" si="10"/>
        <v>16.26</v>
      </c>
    </row>
    <row r="51" ht="15.75" customHeight="1">
      <c r="A51" s="4">
        <v>2015.0</v>
      </c>
      <c r="B51" s="4">
        <v>201.0</v>
      </c>
      <c r="C51" s="4">
        <v>19.82</v>
      </c>
      <c r="D51" s="4">
        <v>19.82</v>
      </c>
      <c r="E51" s="4">
        <f t="shared" si="1"/>
        <v>1</v>
      </c>
      <c r="F51" s="4">
        <f t="shared" si="2"/>
        <v>0</v>
      </c>
      <c r="G51" s="4">
        <f t="shared" si="3"/>
        <v>33.3031</v>
      </c>
      <c r="H51" s="4">
        <f t="shared" si="4"/>
        <v>33.117</v>
      </c>
      <c r="I51" s="4" t="str">
        <f t="shared" si="5"/>
        <v> </v>
      </c>
      <c r="J51" s="4">
        <v>0.1</v>
      </c>
      <c r="K51" s="4">
        <v>16.84</v>
      </c>
      <c r="L51" s="4">
        <f t="shared" si="6"/>
        <v>8</v>
      </c>
      <c r="M51" s="4">
        <f t="shared" si="7"/>
        <v>1</v>
      </c>
      <c r="N51" s="4">
        <f t="shared" si="8"/>
        <v>16.4925</v>
      </c>
      <c r="O51" s="4">
        <f t="shared" si="9"/>
        <v>0.1</v>
      </c>
      <c r="P51" s="4">
        <f t="shared" si="10"/>
        <v>16.84</v>
      </c>
    </row>
    <row r="52" ht="15.75" customHeight="1">
      <c r="A52" s="4">
        <v>2015.0</v>
      </c>
      <c r="B52" s="4">
        <v>202.0</v>
      </c>
      <c r="C52" s="4">
        <v>19.51</v>
      </c>
      <c r="D52" s="4">
        <v>19.51</v>
      </c>
      <c r="E52" s="4">
        <f t="shared" si="1"/>
        <v>1</v>
      </c>
      <c r="F52" s="4">
        <f t="shared" si="2"/>
        <v>0</v>
      </c>
      <c r="G52" s="4">
        <f t="shared" si="3"/>
        <v>33.777</v>
      </c>
      <c r="H52" s="4">
        <f t="shared" si="4"/>
        <v>31.55825</v>
      </c>
      <c r="I52" s="4" t="str">
        <f t="shared" si="5"/>
        <v> </v>
      </c>
      <c r="J52" s="4">
        <v>5.4</v>
      </c>
      <c r="K52" s="4">
        <v>14.37</v>
      </c>
      <c r="L52" s="4">
        <f t="shared" si="6"/>
        <v>8</v>
      </c>
      <c r="M52" s="4">
        <f t="shared" si="7"/>
        <v>1</v>
      </c>
      <c r="N52" s="4">
        <f t="shared" si="8"/>
        <v>9.91586</v>
      </c>
      <c r="O52" s="4">
        <f t="shared" si="9"/>
        <v>5.4</v>
      </c>
      <c r="P52" s="4">
        <f t="shared" si="10"/>
        <v>14.37</v>
      </c>
    </row>
    <row r="53" ht="15.75" customHeight="1">
      <c r="A53" s="4">
        <v>2015.0</v>
      </c>
      <c r="B53" s="4">
        <v>203.0</v>
      </c>
      <c r="C53" s="4">
        <v>23.44</v>
      </c>
      <c r="D53" s="4">
        <v>23.44</v>
      </c>
      <c r="E53" s="4">
        <f t="shared" si="1"/>
        <v>1</v>
      </c>
      <c r="F53" s="4">
        <f t="shared" si="2"/>
        <v>0</v>
      </c>
      <c r="G53" s="4">
        <f t="shared" si="3"/>
        <v>38.7945</v>
      </c>
      <c r="H53" s="4">
        <f t="shared" si="4"/>
        <v>34.3657</v>
      </c>
      <c r="I53" s="4" t="str">
        <f t="shared" si="5"/>
        <v> </v>
      </c>
      <c r="J53" s="4">
        <v>0.3</v>
      </c>
      <c r="K53" s="4">
        <v>16.74</v>
      </c>
      <c r="L53" s="4">
        <f t="shared" si="6"/>
        <v>8</v>
      </c>
      <c r="M53" s="4">
        <f t="shared" si="7"/>
        <v>1</v>
      </c>
      <c r="N53" s="4">
        <f t="shared" si="8"/>
        <v>1.45491</v>
      </c>
      <c r="O53" s="4">
        <f t="shared" si="9"/>
        <v>0.3</v>
      </c>
      <c r="P53" s="4">
        <f t="shared" si="10"/>
        <v>16.74</v>
      </c>
    </row>
    <row r="54" ht="15.75" customHeight="1">
      <c r="A54" s="4">
        <v>2015.0</v>
      </c>
      <c r="B54" s="4">
        <v>204.0</v>
      </c>
      <c r="C54" s="4">
        <v>22.14</v>
      </c>
      <c r="D54" s="4">
        <v>22.14</v>
      </c>
      <c r="E54" s="4">
        <f t="shared" si="1"/>
        <v>0</v>
      </c>
      <c r="F54" s="4">
        <f t="shared" si="2"/>
        <v>0</v>
      </c>
      <c r="G54" s="4">
        <f t="shared" si="3"/>
        <v>37.6029</v>
      </c>
      <c r="H54" s="4">
        <f t="shared" si="4"/>
        <v>32.4977</v>
      </c>
      <c r="I54" s="4" t="str">
        <f t="shared" si="5"/>
        <v> </v>
      </c>
      <c r="J54" s="4">
        <v>0.0</v>
      </c>
      <c r="K54" s="4">
        <v>17.29</v>
      </c>
      <c r="L54" s="4">
        <f t="shared" si="6"/>
        <v>3</v>
      </c>
      <c r="M54" s="4">
        <f t="shared" si="7"/>
        <v>0</v>
      </c>
      <c r="N54" s="4">
        <f t="shared" si="8"/>
        <v>-1.96332</v>
      </c>
      <c r="O54" s="4">
        <f t="shared" si="9"/>
        <v>0</v>
      </c>
      <c r="P54" s="4">
        <f t="shared" si="10"/>
        <v>17.29</v>
      </c>
    </row>
    <row r="55" ht="15.75" customHeight="1">
      <c r="A55" s="4">
        <v>2015.0</v>
      </c>
      <c r="B55" s="4">
        <v>205.0</v>
      </c>
      <c r="C55" s="4">
        <v>24.43</v>
      </c>
      <c r="D55" s="4">
        <v>24.43</v>
      </c>
      <c r="E55" s="4">
        <f t="shared" si="1"/>
        <v>0</v>
      </c>
      <c r="F55" s="4">
        <f t="shared" si="2"/>
        <v>0</v>
      </c>
      <c r="G55" s="4">
        <f t="shared" si="3"/>
        <v>40.3163</v>
      </c>
      <c r="H55" s="4">
        <f t="shared" si="4"/>
        <v>35.42195</v>
      </c>
      <c r="I55" s="4" t="str">
        <f t="shared" si="5"/>
        <v> </v>
      </c>
      <c r="J55" s="4">
        <v>0.0</v>
      </c>
      <c r="K55" s="4">
        <v>18.45</v>
      </c>
      <c r="L55" s="4">
        <f t="shared" si="6"/>
        <v>3</v>
      </c>
      <c r="M55" s="4">
        <f t="shared" si="7"/>
        <v>0</v>
      </c>
      <c r="N55" s="4">
        <f t="shared" si="8"/>
        <v>-1.37996</v>
      </c>
      <c r="O55" s="4">
        <f t="shared" si="9"/>
        <v>0</v>
      </c>
      <c r="P55" s="4">
        <f t="shared" si="10"/>
        <v>18.45</v>
      </c>
    </row>
    <row r="56" ht="15.75" customHeight="1">
      <c r="A56" s="4">
        <v>2015.0</v>
      </c>
      <c r="B56" s="4">
        <v>206.0</v>
      </c>
      <c r="C56" s="4">
        <v>25.78</v>
      </c>
      <c r="D56" s="4">
        <v>25.78</v>
      </c>
      <c r="E56" s="4">
        <f t="shared" si="1"/>
        <v>0</v>
      </c>
      <c r="F56" s="4">
        <f t="shared" si="2"/>
        <v>0</v>
      </c>
      <c r="G56" s="4">
        <f t="shared" si="3"/>
        <v>42.667</v>
      </c>
      <c r="H56" s="4">
        <f t="shared" si="4"/>
        <v>39.72285</v>
      </c>
      <c r="I56" s="4" t="str">
        <f t="shared" si="5"/>
        <v> </v>
      </c>
      <c r="J56" s="4">
        <v>0.0</v>
      </c>
      <c r="K56" s="4">
        <v>18.06</v>
      </c>
      <c r="L56" s="4">
        <f t="shared" si="6"/>
        <v>3</v>
      </c>
      <c r="M56" s="4">
        <f t="shared" si="7"/>
        <v>1</v>
      </c>
      <c r="N56" s="4">
        <f t="shared" si="8"/>
        <v>2.05389</v>
      </c>
      <c r="O56" s="4">
        <f t="shared" si="9"/>
        <v>0</v>
      </c>
      <c r="P56" s="4">
        <f t="shared" si="10"/>
        <v>18.06</v>
      </c>
    </row>
    <row r="57" ht="15.75" customHeight="1">
      <c r="A57" s="4">
        <v>2015.0</v>
      </c>
      <c r="B57" s="4">
        <v>207.0</v>
      </c>
      <c r="C57" s="4">
        <v>28.84</v>
      </c>
      <c r="D57" s="4">
        <v>28.84</v>
      </c>
      <c r="E57" s="4">
        <f t="shared" si="1"/>
        <v>0</v>
      </c>
      <c r="F57" s="4">
        <f t="shared" si="2"/>
        <v>0</v>
      </c>
      <c r="G57" s="4">
        <f t="shared" si="3"/>
        <v>45.3586</v>
      </c>
      <c r="H57" s="4">
        <f t="shared" si="4"/>
        <v>41.5718</v>
      </c>
      <c r="I57" s="4" t="str">
        <f t="shared" si="5"/>
        <v> </v>
      </c>
      <c r="J57" s="4">
        <v>0.0</v>
      </c>
      <c r="K57" s="4">
        <v>20.67</v>
      </c>
      <c r="L57" s="4">
        <f t="shared" si="6"/>
        <v>3</v>
      </c>
      <c r="M57" s="4">
        <f t="shared" si="7"/>
        <v>1</v>
      </c>
      <c r="N57" s="4">
        <f t="shared" si="8"/>
        <v>8.52275</v>
      </c>
      <c r="O57" s="4">
        <f t="shared" si="9"/>
        <v>0</v>
      </c>
      <c r="P57" s="4">
        <f t="shared" si="10"/>
        <v>20.67</v>
      </c>
    </row>
    <row r="58" ht="15.75" customHeight="1">
      <c r="A58" s="4">
        <v>2015.0</v>
      </c>
      <c r="B58" s="4">
        <v>208.0</v>
      </c>
      <c r="C58" s="4">
        <v>29.37</v>
      </c>
      <c r="D58" s="4">
        <v>29.37</v>
      </c>
      <c r="E58" s="4">
        <f t="shared" si="1"/>
        <v>1</v>
      </c>
      <c r="F58" s="4">
        <f t="shared" si="2"/>
        <v>0</v>
      </c>
      <c r="G58" s="4">
        <f t="shared" si="3"/>
        <v>44.1721</v>
      </c>
      <c r="H58" s="4">
        <f t="shared" si="4"/>
        <v>41.77515</v>
      </c>
      <c r="I58" s="4" t="str">
        <f t="shared" si="5"/>
        <v> </v>
      </c>
      <c r="J58" s="4">
        <v>30.1</v>
      </c>
      <c r="K58" s="4">
        <v>20.93</v>
      </c>
      <c r="L58" s="4">
        <f t="shared" si="6"/>
        <v>8</v>
      </c>
      <c r="M58" s="4">
        <f t="shared" si="7"/>
        <v>1</v>
      </c>
      <c r="N58" s="4">
        <f t="shared" si="8"/>
        <v>12.70604</v>
      </c>
      <c r="O58" s="4">
        <f t="shared" si="9"/>
        <v>30.1</v>
      </c>
      <c r="P58" s="4">
        <f t="shared" si="10"/>
        <v>20.93</v>
      </c>
    </row>
    <row r="59" ht="15.75" customHeight="1">
      <c r="A59" s="4">
        <v>2015.0</v>
      </c>
      <c r="B59" s="4">
        <v>209.0</v>
      </c>
      <c r="C59" s="4">
        <v>25.53</v>
      </c>
      <c r="D59" s="4">
        <v>25.53</v>
      </c>
      <c r="E59" s="4">
        <f t="shared" si="1"/>
        <v>1</v>
      </c>
      <c r="F59" s="4">
        <f t="shared" si="2"/>
        <v>0</v>
      </c>
      <c r="G59" s="4">
        <f t="shared" si="3"/>
        <v>36.6205</v>
      </c>
      <c r="H59" s="4">
        <f t="shared" si="4"/>
        <v>35.47785</v>
      </c>
      <c r="I59" s="4" t="str">
        <f t="shared" si="5"/>
        <v> </v>
      </c>
      <c r="J59" s="4">
        <v>9.2</v>
      </c>
      <c r="K59" s="4">
        <v>19.68</v>
      </c>
      <c r="L59" s="4">
        <f t="shared" si="6"/>
        <v>8</v>
      </c>
      <c r="M59" s="4">
        <f t="shared" si="7"/>
        <v>1</v>
      </c>
      <c r="N59" s="4">
        <f t="shared" si="8"/>
        <v>8.89759</v>
      </c>
      <c r="O59" s="4">
        <f t="shared" si="9"/>
        <v>9.2</v>
      </c>
      <c r="P59" s="4">
        <f t="shared" si="10"/>
        <v>19.68</v>
      </c>
    </row>
    <row r="60" ht="15.75" customHeight="1">
      <c r="A60" s="4">
        <v>2015.0</v>
      </c>
      <c r="B60" s="4">
        <v>210.0</v>
      </c>
      <c r="C60" s="4">
        <v>24.26</v>
      </c>
      <c r="D60" s="4">
        <v>24.26</v>
      </c>
      <c r="E60" s="4">
        <f t="shared" si="1"/>
        <v>1</v>
      </c>
      <c r="F60" s="4">
        <f t="shared" si="2"/>
        <v>0</v>
      </c>
      <c r="G60" s="4">
        <f t="shared" si="3"/>
        <v>34.2079</v>
      </c>
      <c r="H60" s="4">
        <f t="shared" si="4"/>
        <v>30.9742</v>
      </c>
      <c r="I60" s="4" t="str">
        <f t="shared" si="5"/>
        <v> </v>
      </c>
      <c r="J60" s="4">
        <v>0.3</v>
      </c>
      <c r="K60" s="4">
        <v>19.22</v>
      </c>
      <c r="L60" s="4">
        <f t="shared" si="6"/>
        <v>8</v>
      </c>
      <c r="M60" s="4">
        <f t="shared" si="7"/>
        <v>0</v>
      </c>
      <c r="N60" s="4">
        <f t="shared" si="8"/>
        <v>-0.31475</v>
      </c>
      <c r="O60" s="4">
        <f t="shared" si="9"/>
        <v>0.3</v>
      </c>
      <c r="P60" s="4">
        <f t="shared" si="10"/>
        <v>19.22</v>
      </c>
    </row>
    <row r="61" ht="15.75" customHeight="1">
      <c r="A61" s="4">
        <v>2015.0</v>
      </c>
      <c r="B61" s="4">
        <v>211.0</v>
      </c>
      <c r="C61" s="4">
        <v>23.23</v>
      </c>
      <c r="D61" s="4">
        <v>23.23</v>
      </c>
      <c r="E61" s="4">
        <f t="shared" si="1"/>
        <v>0</v>
      </c>
      <c r="F61" s="4">
        <f t="shared" si="2"/>
        <v>0</v>
      </c>
      <c r="G61" s="4">
        <f t="shared" si="3"/>
        <v>31.3613</v>
      </c>
      <c r="H61" s="4">
        <f t="shared" si="4"/>
        <v>26.7319</v>
      </c>
      <c r="I61" s="4" t="str">
        <f t="shared" si="5"/>
        <v> </v>
      </c>
      <c r="J61" s="4">
        <v>0.0</v>
      </c>
      <c r="K61" s="4">
        <v>18.13</v>
      </c>
      <c r="L61" s="4">
        <f t="shared" si="6"/>
        <v>3</v>
      </c>
      <c r="M61" s="4">
        <f t="shared" si="7"/>
        <v>1</v>
      </c>
      <c r="N61" s="4">
        <f t="shared" si="8"/>
        <v>0.65256</v>
      </c>
      <c r="O61" s="4">
        <f t="shared" si="9"/>
        <v>0</v>
      </c>
      <c r="P61" s="4">
        <f t="shared" si="10"/>
        <v>18.13</v>
      </c>
    </row>
    <row r="62" ht="15.75" customHeight="1">
      <c r="A62" s="4">
        <v>2015.0</v>
      </c>
      <c r="B62" s="4">
        <v>212.0</v>
      </c>
      <c r="C62" s="4">
        <v>22.07</v>
      </c>
      <c r="D62" s="4">
        <v>22.07</v>
      </c>
      <c r="E62" s="4">
        <f t="shared" si="1"/>
        <v>0</v>
      </c>
      <c r="F62" s="4">
        <f t="shared" si="2"/>
        <v>0</v>
      </c>
      <c r="G62" s="4">
        <f t="shared" si="3"/>
        <v>31.8535</v>
      </c>
      <c r="H62" s="4">
        <f t="shared" si="4"/>
        <v>27.4221</v>
      </c>
      <c r="I62" s="4" t="str">
        <f t="shared" si="5"/>
        <v> </v>
      </c>
      <c r="J62" s="4">
        <v>0.0</v>
      </c>
      <c r="K62" s="4">
        <v>17.64</v>
      </c>
      <c r="L62" s="4">
        <f t="shared" si="6"/>
        <v>3</v>
      </c>
      <c r="M62" s="4">
        <f t="shared" si="7"/>
        <v>1</v>
      </c>
      <c r="N62" s="4">
        <f t="shared" si="8"/>
        <v>6.57458</v>
      </c>
      <c r="O62" s="4">
        <f t="shared" si="9"/>
        <v>0</v>
      </c>
      <c r="P62" s="4">
        <f t="shared" si="10"/>
        <v>17.64</v>
      </c>
    </row>
    <row r="63" ht="15.75" customHeight="1">
      <c r="A63" s="4">
        <v>2015.0</v>
      </c>
      <c r="B63" s="4">
        <v>213.0</v>
      </c>
      <c r="C63" s="4">
        <v>20.74</v>
      </c>
      <c r="D63" s="4">
        <v>20.74</v>
      </c>
      <c r="E63" s="4">
        <f t="shared" si="1"/>
        <v>1</v>
      </c>
      <c r="F63" s="4">
        <f t="shared" si="2"/>
        <v>0</v>
      </c>
      <c r="G63" s="4">
        <f t="shared" si="3"/>
        <v>31.9883</v>
      </c>
      <c r="H63" s="4">
        <f t="shared" si="4"/>
        <v>27.8731</v>
      </c>
      <c r="I63" s="4" t="str">
        <f t="shared" si="5"/>
        <v> </v>
      </c>
      <c r="J63" s="4">
        <v>2.9</v>
      </c>
      <c r="K63" s="4">
        <v>15.57</v>
      </c>
      <c r="L63" s="4">
        <f t="shared" si="6"/>
        <v>8</v>
      </c>
      <c r="M63" s="4">
        <f t="shared" si="7"/>
        <v>1</v>
      </c>
      <c r="N63" s="4">
        <f t="shared" si="8"/>
        <v>1.70304</v>
      </c>
      <c r="O63" s="4">
        <f t="shared" si="9"/>
        <v>2.9</v>
      </c>
      <c r="P63" s="4">
        <f t="shared" si="10"/>
        <v>15.57</v>
      </c>
    </row>
    <row r="64" ht="15.75" customHeight="1">
      <c r="A64" s="4">
        <v>2015.0</v>
      </c>
      <c r="B64" s="4">
        <v>214.0</v>
      </c>
      <c r="C64" s="4">
        <v>21.7</v>
      </c>
      <c r="D64" s="4">
        <v>21.7</v>
      </c>
      <c r="E64" s="4">
        <f t="shared" si="1"/>
        <v>0</v>
      </c>
      <c r="F64" s="4">
        <f t="shared" si="2"/>
        <v>0</v>
      </c>
      <c r="G64" s="4">
        <f t="shared" si="3"/>
        <v>31.7014</v>
      </c>
      <c r="H64" s="4">
        <f t="shared" si="4"/>
        <v>25.81485</v>
      </c>
      <c r="I64" s="4" t="str">
        <f t="shared" si="5"/>
        <v> </v>
      </c>
      <c r="J64" s="4">
        <v>0.0</v>
      </c>
      <c r="K64" s="4">
        <v>16.05</v>
      </c>
      <c r="L64" s="4">
        <f t="shared" si="6"/>
        <v>3</v>
      </c>
      <c r="M64" s="4">
        <f t="shared" si="7"/>
        <v>0</v>
      </c>
      <c r="N64" s="4">
        <f t="shared" si="8"/>
        <v>-1.79082</v>
      </c>
      <c r="O64" s="4">
        <f t="shared" si="9"/>
        <v>0</v>
      </c>
      <c r="P64" s="4">
        <f t="shared" si="10"/>
        <v>16.05</v>
      </c>
    </row>
    <row r="65" ht="15.75" customHeight="1">
      <c r="A65" s="4">
        <v>2015.0</v>
      </c>
      <c r="B65" s="4">
        <v>215.0</v>
      </c>
      <c r="C65" s="4">
        <v>23.48</v>
      </c>
      <c r="D65" s="4">
        <v>23.48</v>
      </c>
      <c r="E65" s="4">
        <f t="shared" si="1"/>
        <v>0</v>
      </c>
      <c r="F65" s="4">
        <f t="shared" si="2"/>
        <v>0</v>
      </c>
      <c r="G65" s="4">
        <f t="shared" si="3"/>
        <v>36.0718</v>
      </c>
      <c r="H65" s="4">
        <f t="shared" si="4"/>
        <v>29.56235</v>
      </c>
      <c r="I65" s="4" t="str">
        <f t="shared" si="5"/>
        <v> </v>
      </c>
      <c r="J65" s="4">
        <v>0.0</v>
      </c>
      <c r="K65" s="4">
        <v>17.09</v>
      </c>
      <c r="L65" s="4">
        <f t="shared" si="6"/>
        <v>3</v>
      </c>
      <c r="M65" s="4">
        <f t="shared" si="7"/>
        <v>0</v>
      </c>
      <c r="N65" s="4">
        <f t="shared" si="8"/>
        <v>-3.30627</v>
      </c>
      <c r="O65" s="4">
        <f t="shared" si="9"/>
        <v>0</v>
      </c>
      <c r="P65" s="4">
        <f t="shared" si="10"/>
        <v>17.09</v>
      </c>
    </row>
    <row r="66" ht="15.75" customHeight="1">
      <c r="A66" s="4">
        <v>2015.0</v>
      </c>
      <c r="B66" s="4">
        <v>216.0</v>
      </c>
      <c r="C66" s="4">
        <v>25.26</v>
      </c>
      <c r="D66" s="4">
        <v>25.26</v>
      </c>
      <c r="E66" s="4">
        <f t="shared" si="1"/>
        <v>0</v>
      </c>
      <c r="F66" s="4">
        <f t="shared" si="2"/>
        <v>0</v>
      </c>
      <c r="G66" s="4">
        <f t="shared" si="3"/>
        <v>38.8365</v>
      </c>
      <c r="H66" s="4">
        <f t="shared" si="4"/>
        <v>31.5736</v>
      </c>
      <c r="I66" s="4" t="str">
        <f t="shared" si="5"/>
        <v> </v>
      </c>
      <c r="J66" s="4">
        <v>0.0</v>
      </c>
      <c r="K66" s="4">
        <v>18.13</v>
      </c>
      <c r="L66" s="4">
        <f t="shared" si="6"/>
        <v>3</v>
      </c>
      <c r="M66" s="4">
        <f t="shared" si="7"/>
        <v>0</v>
      </c>
      <c r="N66" s="4">
        <f t="shared" si="8"/>
        <v>-2.75223</v>
      </c>
      <c r="O66" s="4">
        <f t="shared" si="9"/>
        <v>0</v>
      </c>
      <c r="P66" s="4">
        <f t="shared" si="10"/>
        <v>18.13</v>
      </c>
    </row>
    <row r="67" ht="15.75" customHeight="1">
      <c r="A67" s="4">
        <v>2015.0</v>
      </c>
      <c r="B67" s="4">
        <v>217.0</v>
      </c>
      <c r="C67" s="4">
        <v>24.29</v>
      </c>
      <c r="D67" s="4">
        <v>24.29</v>
      </c>
      <c r="E67" s="4">
        <f t="shared" si="1"/>
        <v>0</v>
      </c>
      <c r="F67" s="4">
        <f t="shared" si="2"/>
        <v>0</v>
      </c>
      <c r="G67" s="4">
        <f t="shared" si="3"/>
        <v>41.5357</v>
      </c>
      <c r="H67" s="4">
        <f t="shared" si="4"/>
        <v>34.7488</v>
      </c>
      <c r="I67" s="4" t="str">
        <f t="shared" si="5"/>
        <v> </v>
      </c>
      <c r="J67" s="4">
        <v>0.0</v>
      </c>
      <c r="K67" s="4">
        <v>17.07</v>
      </c>
      <c r="L67" s="4">
        <f t="shared" si="6"/>
        <v>3</v>
      </c>
      <c r="M67" s="4">
        <f t="shared" si="7"/>
        <v>0</v>
      </c>
      <c r="N67" s="4">
        <f t="shared" si="8"/>
        <v>-1.76312</v>
      </c>
      <c r="O67" s="4">
        <f t="shared" si="9"/>
        <v>0</v>
      </c>
      <c r="P67" s="4">
        <f t="shared" si="10"/>
        <v>17.07</v>
      </c>
    </row>
    <row r="68" ht="15.75" customHeight="1">
      <c r="A68" s="4">
        <v>2015.0</v>
      </c>
      <c r="B68" s="4">
        <v>218.0</v>
      </c>
      <c r="C68" s="4">
        <v>25.43</v>
      </c>
      <c r="D68" s="4">
        <v>25.43</v>
      </c>
      <c r="E68" s="4">
        <f t="shared" si="1"/>
        <v>0</v>
      </c>
      <c r="F68" s="4">
        <f t="shared" si="2"/>
        <v>0</v>
      </c>
      <c r="G68" s="4">
        <f t="shared" si="3"/>
        <v>43.569</v>
      </c>
      <c r="H68" s="4">
        <f t="shared" si="4"/>
        <v>35.5745</v>
      </c>
      <c r="I68" s="4" t="str">
        <f t="shared" si="5"/>
        <v> </v>
      </c>
      <c r="J68" s="4">
        <v>0.0</v>
      </c>
      <c r="K68" s="4">
        <v>17.34</v>
      </c>
      <c r="L68" s="4">
        <f t="shared" si="6"/>
        <v>3</v>
      </c>
      <c r="M68" s="4">
        <f t="shared" si="7"/>
        <v>0</v>
      </c>
      <c r="N68" s="4">
        <f t="shared" si="8"/>
        <v>-2.74352</v>
      </c>
      <c r="O68" s="4">
        <f t="shared" si="9"/>
        <v>0</v>
      </c>
      <c r="P68" s="4">
        <f t="shared" si="10"/>
        <v>17.34</v>
      </c>
    </row>
    <row r="69" ht="15.75" customHeight="1">
      <c r="A69" s="4">
        <v>2015.0</v>
      </c>
      <c r="B69" s="4">
        <v>219.0</v>
      </c>
      <c r="C69" s="4">
        <v>27.78</v>
      </c>
      <c r="D69" s="4">
        <v>27.78</v>
      </c>
      <c r="E69" s="4">
        <f t="shared" si="1"/>
        <v>0</v>
      </c>
      <c r="F69" s="4">
        <f t="shared" si="2"/>
        <v>0</v>
      </c>
      <c r="G69" s="4">
        <f t="shared" si="3"/>
        <v>45.2091</v>
      </c>
      <c r="H69" s="4">
        <f t="shared" si="4"/>
        <v>37.41045</v>
      </c>
      <c r="I69" s="4" t="str">
        <f t="shared" si="5"/>
        <v> </v>
      </c>
      <c r="J69" s="4">
        <v>0.0</v>
      </c>
      <c r="K69" s="4">
        <v>19.82</v>
      </c>
      <c r="L69" s="4">
        <f t="shared" si="6"/>
        <v>3</v>
      </c>
      <c r="M69" s="4">
        <f t="shared" si="7"/>
        <v>0</v>
      </c>
      <c r="N69" s="4">
        <f t="shared" si="8"/>
        <v>-1.50932</v>
      </c>
      <c r="O69" s="4">
        <f t="shared" si="9"/>
        <v>0</v>
      </c>
      <c r="P69" s="4">
        <f t="shared" si="10"/>
        <v>19.82</v>
      </c>
    </row>
    <row r="70" ht="15.75" customHeight="1">
      <c r="A70" s="4">
        <v>2015.0</v>
      </c>
      <c r="B70" s="4">
        <v>220.0</v>
      </c>
      <c r="C70" s="4">
        <v>28.0</v>
      </c>
      <c r="D70" s="4">
        <v>28.0</v>
      </c>
      <c r="E70" s="4">
        <f t="shared" si="1"/>
        <v>0</v>
      </c>
      <c r="F70" s="4">
        <f t="shared" si="2"/>
        <v>0</v>
      </c>
      <c r="G70" s="4">
        <f t="shared" si="3"/>
        <v>45.4628</v>
      </c>
      <c r="H70" s="4">
        <f t="shared" si="4"/>
        <v>37.7732</v>
      </c>
      <c r="I70" s="4" t="str">
        <f t="shared" si="5"/>
        <v> </v>
      </c>
      <c r="J70" s="4">
        <v>0.0</v>
      </c>
      <c r="K70" s="4">
        <v>22.48</v>
      </c>
      <c r="L70" s="4">
        <f t="shared" si="6"/>
        <v>3</v>
      </c>
      <c r="M70" s="4">
        <f t="shared" si="7"/>
        <v>0</v>
      </c>
      <c r="N70" s="4">
        <f t="shared" si="8"/>
        <v>-3.65399</v>
      </c>
      <c r="O70" s="4">
        <f t="shared" si="9"/>
        <v>0</v>
      </c>
      <c r="P70" s="4">
        <f t="shared" si="10"/>
        <v>22.48</v>
      </c>
    </row>
    <row r="71" ht="15.75" customHeight="1">
      <c r="A71" s="4">
        <v>2015.0</v>
      </c>
      <c r="B71" s="4">
        <v>221.0</v>
      </c>
      <c r="C71" s="4">
        <v>31.56</v>
      </c>
      <c r="D71" s="4">
        <v>31.56</v>
      </c>
      <c r="E71" s="4">
        <f t="shared" si="1"/>
        <v>0</v>
      </c>
      <c r="F71" s="4">
        <f t="shared" si="2"/>
        <v>0</v>
      </c>
      <c r="G71" s="4">
        <f t="shared" si="3"/>
        <v>49.7604</v>
      </c>
      <c r="H71" s="4">
        <f t="shared" si="4"/>
        <v>43.23455</v>
      </c>
      <c r="I71" s="4" t="str">
        <f t="shared" si="5"/>
        <v> </v>
      </c>
      <c r="J71" s="4">
        <v>0.0</v>
      </c>
      <c r="K71" s="4">
        <v>22.52</v>
      </c>
      <c r="L71" s="4">
        <f t="shared" si="6"/>
        <v>3</v>
      </c>
      <c r="M71" s="4">
        <f t="shared" si="7"/>
        <v>0</v>
      </c>
      <c r="N71" s="4">
        <f t="shared" si="8"/>
        <v>-4.69334</v>
      </c>
      <c r="O71" s="4">
        <f t="shared" si="9"/>
        <v>0</v>
      </c>
      <c r="P71" s="4">
        <f t="shared" si="10"/>
        <v>22.52</v>
      </c>
    </row>
    <row r="72" ht="15.75" customHeight="1">
      <c r="A72" s="4">
        <v>2015.0</v>
      </c>
      <c r="B72" s="4">
        <v>222.0</v>
      </c>
      <c r="C72" s="4">
        <v>29.97</v>
      </c>
      <c r="D72" s="4">
        <v>29.97</v>
      </c>
      <c r="E72" s="4">
        <f t="shared" si="1"/>
        <v>0</v>
      </c>
      <c r="F72" s="4">
        <f t="shared" si="2"/>
        <v>0</v>
      </c>
      <c r="G72" s="4">
        <f t="shared" si="3"/>
        <v>43.9881</v>
      </c>
      <c r="H72" s="4">
        <f t="shared" si="4"/>
        <v>37.74205</v>
      </c>
      <c r="I72" s="4" t="str">
        <f t="shared" si="5"/>
        <v> </v>
      </c>
      <c r="J72" s="4">
        <v>0.0</v>
      </c>
      <c r="K72" s="4">
        <v>22.56</v>
      </c>
      <c r="L72" s="4">
        <f t="shared" si="6"/>
        <v>3</v>
      </c>
      <c r="M72" s="4">
        <f t="shared" si="7"/>
        <v>0</v>
      </c>
      <c r="N72" s="4">
        <f t="shared" si="8"/>
        <v>-3.90227</v>
      </c>
      <c r="O72" s="4">
        <f t="shared" si="9"/>
        <v>0</v>
      </c>
      <c r="P72" s="4">
        <f t="shared" si="10"/>
        <v>22.56</v>
      </c>
    </row>
    <row r="73" ht="15.75" customHeight="1">
      <c r="A73" s="4">
        <v>2015.0</v>
      </c>
      <c r="B73" s="4">
        <v>223.0</v>
      </c>
      <c r="C73" s="4">
        <v>28.28</v>
      </c>
      <c r="D73" s="4">
        <v>28.28</v>
      </c>
      <c r="E73" s="4">
        <f t="shared" si="1"/>
        <v>0</v>
      </c>
      <c r="F73" s="4">
        <f t="shared" si="2"/>
        <v>0</v>
      </c>
      <c r="G73" s="4">
        <f t="shared" si="3"/>
        <v>41.7578</v>
      </c>
      <c r="H73" s="4">
        <f t="shared" si="4"/>
        <v>37.4495</v>
      </c>
      <c r="I73" s="4" t="str">
        <f t="shared" si="5"/>
        <v> </v>
      </c>
      <c r="J73" s="4">
        <v>0.0</v>
      </c>
      <c r="K73" s="4">
        <v>20.61</v>
      </c>
      <c r="L73" s="4">
        <f t="shared" si="6"/>
        <v>3</v>
      </c>
      <c r="M73" s="4">
        <f t="shared" si="7"/>
        <v>1</v>
      </c>
      <c r="N73" s="4">
        <f t="shared" si="8"/>
        <v>1.86937</v>
      </c>
      <c r="O73" s="4">
        <f t="shared" si="9"/>
        <v>0</v>
      </c>
      <c r="P73" s="4">
        <f t="shared" si="10"/>
        <v>20.61</v>
      </c>
    </row>
    <row r="74" ht="15.75" customHeight="1">
      <c r="A74" s="4">
        <v>2015.0</v>
      </c>
      <c r="B74" s="4">
        <v>224.0</v>
      </c>
      <c r="C74" s="4">
        <v>27.97</v>
      </c>
      <c r="D74" s="4">
        <v>27.97</v>
      </c>
      <c r="E74" s="4">
        <f t="shared" si="1"/>
        <v>0</v>
      </c>
      <c r="F74" s="4">
        <f t="shared" si="2"/>
        <v>0</v>
      </c>
      <c r="G74" s="4">
        <f t="shared" si="3"/>
        <v>37.1088</v>
      </c>
      <c r="H74" s="4">
        <f t="shared" si="4"/>
        <v>34.37815</v>
      </c>
      <c r="I74" s="4" t="str">
        <f t="shared" si="5"/>
        <v> </v>
      </c>
      <c r="J74" s="4">
        <v>0.0</v>
      </c>
      <c r="K74" s="4">
        <v>19.74</v>
      </c>
      <c r="L74" s="4">
        <f t="shared" si="6"/>
        <v>3</v>
      </c>
      <c r="M74" s="4">
        <f t="shared" si="7"/>
        <v>1</v>
      </c>
      <c r="N74" s="4">
        <f t="shared" si="8"/>
        <v>6.7869</v>
      </c>
      <c r="O74" s="4">
        <f t="shared" si="9"/>
        <v>0</v>
      </c>
      <c r="P74" s="4">
        <f t="shared" si="10"/>
        <v>19.74</v>
      </c>
    </row>
    <row r="75" ht="15.75" customHeight="1">
      <c r="A75" s="4">
        <v>2015.0</v>
      </c>
      <c r="B75" s="4">
        <v>225.0</v>
      </c>
      <c r="C75" s="4">
        <v>29.43</v>
      </c>
      <c r="D75" s="4">
        <v>29.43</v>
      </c>
      <c r="E75" s="4">
        <f t="shared" si="1"/>
        <v>1</v>
      </c>
      <c r="F75" s="4">
        <f t="shared" si="2"/>
        <v>0</v>
      </c>
      <c r="G75" s="4">
        <f t="shared" si="3"/>
        <v>35.9661</v>
      </c>
      <c r="H75" s="4">
        <f t="shared" si="4"/>
        <v>35.7496</v>
      </c>
      <c r="I75" s="4" t="str">
        <f t="shared" si="5"/>
        <v> </v>
      </c>
      <c r="J75" s="4">
        <v>7.5</v>
      </c>
      <c r="K75" s="4">
        <v>20.71</v>
      </c>
      <c r="L75" s="4">
        <f t="shared" si="6"/>
        <v>8</v>
      </c>
      <c r="M75" s="4">
        <f t="shared" si="7"/>
        <v>1</v>
      </c>
      <c r="N75" s="4">
        <f t="shared" si="8"/>
        <v>8.47267</v>
      </c>
      <c r="O75" s="4">
        <f t="shared" si="9"/>
        <v>7.5</v>
      </c>
      <c r="P75" s="4">
        <f t="shared" si="10"/>
        <v>20.71</v>
      </c>
    </row>
    <row r="76" ht="15.75" customHeight="1">
      <c r="A76" s="4">
        <v>2015.0</v>
      </c>
      <c r="B76" s="4">
        <v>226.0</v>
      </c>
      <c r="C76" s="4">
        <v>21.8</v>
      </c>
      <c r="D76" s="4">
        <v>21.8</v>
      </c>
      <c r="E76" s="4">
        <f t="shared" si="1"/>
        <v>1</v>
      </c>
      <c r="F76" s="4">
        <f t="shared" si="2"/>
        <v>0</v>
      </c>
      <c r="G76" s="4">
        <f t="shared" si="3"/>
        <v>27.404</v>
      </c>
      <c r="H76" s="4">
        <f t="shared" si="4"/>
        <v>26.62965</v>
      </c>
      <c r="I76" s="4" t="str">
        <f t="shared" si="5"/>
        <v> </v>
      </c>
      <c r="J76" s="4">
        <v>0.5</v>
      </c>
      <c r="K76" s="4">
        <v>16.37</v>
      </c>
      <c r="L76" s="4">
        <f t="shared" si="6"/>
        <v>8</v>
      </c>
      <c r="M76" s="4">
        <f t="shared" si="7"/>
        <v>1</v>
      </c>
      <c r="N76" s="4">
        <f t="shared" si="8"/>
        <v>2.64364</v>
      </c>
      <c r="O76" s="4">
        <f t="shared" si="9"/>
        <v>0.5</v>
      </c>
      <c r="P76" s="4">
        <f t="shared" si="10"/>
        <v>16.37</v>
      </c>
    </row>
    <row r="77" ht="15.75" customHeight="1">
      <c r="A77" s="4">
        <v>2015.0</v>
      </c>
      <c r="B77" s="4">
        <v>227.0</v>
      </c>
      <c r="C77" s="4">
        <v>22.27</v>
      </c>
      <c r="D77" s="4">
        <v>22.27</v>
      </c>
      <c r="E77" s="4">
        <f t="shared" si="1"/>
        <v>0</v>
      </c>
      <c r="F77" s="4">
        <f t="shared" si="2"/>
        <v>0</v>
      </c>
      <c r="G77" s="4">
        <f t="shared" si="3"/>
        <v>24.2008</v>
      </c>
      <c r="H77" s="4">
        <f t="shared" si="4"/>
        <v>21.70445</v>
      </c>
      <c r="I77" s="4" t="str">
        <f t="shared" si="5"/>
        <v> </v>
      </c>
      <c r="J77" s="4">
        <v>0.0</v>
      </c>
      <c r="K77" s="4">
        <v>15.07</v>
      </c>
      <c r="L77" s="4">
        <f t="shared" si="6"/>
        <v>3</v>
      </c>
      <c r="M77" s="4">
        <f t="shared" si="7"/>
        <v>1</v>
      </c>
      <c r="N77" s="4">
        <f t="shared" si="8"/>
        <v>9.25443</v>
      </c>
      <c r="O77" s="4">
        <f t="shared" si="9"/>
        <v>0</v>
      </c>
      <c r="P77" s="4">
        <f t="shared" si="10"/>
        <v>15.07</v>
      </c>
    </row>
    <row r="78" ht="15.75" customHeight="1">
      <c r="A78" s="4">
        <v>2015.0</v>
      </c>
      <c r="B78" s="4">
        <v>228.0</v>
      </c>
      <c r="C78" s="4">
        <v>17.22</v>
      </c>
      <c r="D78" s="4">
        <v>17.22</v>
      </c>
      <c r="E78" s="4">
        <f t="shared" si="1"/>
        <v>1</v>
      </c>
      <c r="F78" s="4">
        <f t="shared" si="2"/>
        <v>0</v>
      </c>
      <c r="G78" s="4">
        <f t="shared" si="3"/>
        <v>23.4873</v>
      </c>
      <c r="H78" s="4">
        <f t="shared" si="4"/>
        <v>22.88595</v>
      </c>
      <c r="I78" s="4" t="str">
        <f t="shared" si="5"/>
        <v> </v>
      </c>
      <c r="J78" s="4">
        <v>0.5</v>
      </c>
      <c r="K78" s="4">
        <v>13.01</v>
      </c>
      <c r="L78" s="4">
        <f t="shared" si="6"/>
        <v>8</v>
      </c>
      <c r="M78" s="4">
        <f t="shared" si="7"/>
        <v>1</v>
      </c>
      <c r="N78" s="4">
        <f t="shared" si="8"/>
        <v>11.00853</v>
      </c>
      <c r="O78" s="4">
        <f t="shared" si="9"/>
        <v>0.5</v>
      </c>
      <c r="P78" s="4">
        <f t="shared" si="10"/>
        <v>13.01</v>
      </c>
    </row>
    <row r="79" ht="15.75" customHeight="1">
      <c r="A79" s="4">
        <v>2015.0</v>
      </c>
      <c r="B79" s="4">
        <v>229.0</v>
      </c>
      <c r="C79" s="4">
        <v>15.59</v>
      </c>
      <c r="D79" s="4">
        <v>15.59</v>
      </c>
      <c r="E79" s="4">
        <f t="shared" si="1"/>
        <v>1</v>
      </c>
      <c r="F79" s="4">
        <f t="shared" si="2"/>
        <v>0</v>
      </c>
      <c r="G79" s="4">
        <f t="shared" si="3"/>
        <v>24.3162</v>
      </c>
      <c r="H79" s="4">
        <f t="shared" si="4"/>
        <v>21.41055</v>
      </c>
      <c r="I79" s="4" t="str">
        <f t="shared" si="5"/>
        <v> </v>
      </c>
      <c r="J79" s="4">
        <v>0.2</v>
      </c>
      <c r="K79" s="4">
        <v>12.37</v>
      </c>
      <c r="L79" s="4">
        <f t="shared" si="6"/>
        <v>8</v>
      </c>
      <c r="M79" s="4">
        <f t="shared" si="7"/>
        <v>1</v>
      </c>
      <c r="N79" s="4">
        <f t="shared" si="8"/>
        <v>1.58303</v>
      </c>
      <c r="O79" s="4">
        <f t="shared" si="9"/>
        <v>0.2</v>
      </c>
      <c r="P79" s="4">
        <f t="shared" si="10"/>
        <v>12.37</v>
      </c>
    </row>
    <row r="80" ht="15.75" customHeight="1">
      <c r="A80" s="4">
        <v>2015.0</v>
      </c>
      <c r="B80" s="4">
        <v>230.0</v>
      </c>
      <c r="C80" s="4">
        <v>17.75</v>
      </c>
      <c r="D80" s="4">
        <v>17.75</v>
      </c>
      <c r="E80" s="4">
        <f t="shared" si="1"/>
        <v>0</v>
      </c>
      <c r="F80" s="4">
        <f t="shared" si="2"/>
        <v>0</v>
      </c>
      <c r="G80" s="4">
        <f t="shared" si="3"/>
        <v>26.7818</v>
      </c>
      <c r="H80" s="4">
        <f t="shared" si="4"/>
        <v>21.26115</v>
      </c>
      <c r="I80" s="4" t="str">
        <f t="shared" si="5"/>
        <v> </v>
      </c>
      <c r="J80" s="4">
        <v>0.0</v>
      </c>
      <c r="K80" s="4">
        <v>11.73</v>
      </c>
      <c r="L80" s="4">
        <f t="shared" si="6"/>
        <v>3</v>
      </c>
      <c r="M80" s="4">
        <f t="shared" si="7"/>
        <v>0</v>
      </c>
      <c r="N80" s="4">
        <f t="shared" si="8"/>
        <v>-0.23007</v>
      </c>
      <c r="O80" s="4">
        <f t="shared" si="9"/>
        <v>0</v>
      </c>
      <c r="P80" s="4">
        <f t="shared" si="10"/>
        <v>11.73</v>
      </c>
    </row>
    <row r="81" ht="15.75" customHeight="1">
      <c r="A81" s="4">
        <v>2015.0</v>
      </c>
      <c r="B81" s="4">
        <v>231.0</v>
      </c>
      <c r="C81" s="4">
        <v>18.29</v>
      </c>
      <c r="D81" s="4">
        <v>18.29</v>
      </c>
      <c r="E81" s="4">
        <f t="shared" si="1"/>
        <v>0</v>
      </c>
      <c r="F81" s="4">
        <f t="shared" si="2"/>
        <v>0</v>
      </c>
      <c r="G81" s="4">
        <f t="shared" si="3"/>
        <v>29.6216</v>
      </c>
      <c r="H81" s="4">
        <f t="shared" si="4"/>
        <v>23.83005</v>
      </c>
      <c r="I81" s="4" t="str">
        <f t="shared" si="5"/>
        <v> </v>
      </c>
      <c r="J81" s="4">
        <v>0.0</v>
      </c>
      <c r="K81" s="4">
        <v>12.92</v>
      </c>
      <c r="L81" s="4">
        <f t="shared" si="6"/>
        <v>3</v>
      </c>
      <c r="M81" s="4">
        <f t="shared" si="7"/>
        <v>0</v>
      </c>
      <c r="N81" s="4">
        <f t="shared" si="8"/>
        <v>-0.62075</v>
      </c>
      <c r="O81" s="4">
        <f t="shared" si="9"/>
        <v>0</v>
      </c>
      <c r="P81" s="4">
        <f t="shared" si="10"/>
        <v>12.92</v>
      </c>
    </row>
    <row r="82" ht="15.75" customHeight="1">
      <c r="A82" s="4">
        <v>2015.0</v>
      </c>
      <c r="B82" s="4">
        <v>232.0</v>
      </c>
      <c r="C82" s="4">
        <v>22.99</v>
      </c>
      <c r="D82" s="4">
        <v>22.99</v>
      </c>
      <c r="E82" s="4">
        <f t="shared" si="1"/>
        <v>0</v>
      </c>
      <c r="F82" s="4">
        <f t="shared" si="2"/>
        <v>0</v>
      </c>
      <c r="G82" s="4">
        <f t="shared" si="3"/>
        <v>32.6911</v>
      </c>
      <c r="H82" s="4">
        <f t="shared" si="4"/>
        <v>25.99295</v>
      </c>
      <c r="I82" s="4" t="str">
        <f t="shared" si="5"/>
        <v> </v>
      </c>
      <c r="J82" s="4">
        <v>0.0</v>
      </c>
      <c r="K82" s="4">
        <v>14.46</v>
      </c>
      <c r="L82" s="4">
        <f t="shared" si="6"/>
        <v>3</v>
      </c>
      <c r="M82" s="4">
        <f t="shared" si="7"/>
        <v>0</v>
      </c>
      <c r="N82" s="4">
        <f t="shared" si="8"/>
        <v>-2.09121</v>
      </c>
      <c r="O82" s="4">
        <f t="shared" si="9"/>
        <v>0</v>
      </c>
      <c r="P82" s="4">
        <f t="shared" si="10"/>
        <v>14.46</v>
      </c>
    </row>
    <row r="83" ht="15.75" customHeight="1">
      <c r="A83" s="4">
        <v>2015.0</v>
      </c>
      <c r="B83" s="4">
        <v>233.0</v>
      </c>
      <c r="C83" s="4">
        <v>25.79</v>
      </c>
      <c r="D83" s="4">
        <v>25.79</v>
      </c>
      <c r="E83" s="4">
        <f t="shared" si="1"/>
        <v>0</v>
      </c>
      <c r="F83" s="4">
        <f t="shared" si="2"/>
        <v>0</v>
      </c>
      <c r="G83" s="4">
        <f t="shared" si="3"/>
        <v>36.0078</v>
      </c>
      <c r="H83" s="4">
        <f t="shared" si="4"/>
        <v>29.7769</v>
      </c>
      <c r="I83" s="4" t="str">
        <f t="shared" si="5"/>
        <v> </v>
      </c>
      <c r="J83" s="4">
        <v>0.0</v>
      </c>
      <c r="K83" s="4">
        <v>15.77</v>
      </c>
      <c r="L83" s="4">
        <f t="shared" si="6"/>
        <v>3</v>
      </c>
      <c r="M83" s="4">
        <f t="shared" si="7"/>
        <v>0</v>
      </c>
      <c r="N83" s="4">
        <f t="shared" si="8"/>
        <v>-3.32303</v>
      </c>
      <c r="O83" s="4">
        <f t="shared" si="9"/>
        <v>0</v>
      </c>
      <c r="P83" s="4">
        <f t="shared" si="10"/>
        <v>15.77</v>
      </c>
    </row>
    <row r="84" ht="15.75" customHeight="1">
      <c r="A84" s="4">
        <v>2015.0</v>
      </c>
      <c r="B84" s="4">
        <v>234.0</v>
      </c>
      <c r="C84" s="4">
        <v>26.85</v>
      </c>
      <c r="D84" s="4">
        <v>26.85</v>
      </c>
      <c r="E84" s="4">
        <f t="shared" si="1"/>
        <v>0</v>
      </c>
      <c r="F84" s="4">
        <f t="shared" si="2"/>
        <v>0</v>
      </c>
      <c r="G84" s="4">
        <f t="shared" si="3"/>
        <v>38.5028</v>
      </c>
      <c r="H84" s="4">
        <f t="shared" si="4"/>
        <v>31.407</v>
      </c>
      <c r="I84" s="4" t="str">
        <f t="shared" si="5"/>
        <v> </v>
      </c>
      <c r="J84" s="4">
        <v>0.0</v>
      </c>
      <c r="K84" s="4">
        <v>17.11</v>
      </c>
      <c r="L84" s="4">
        <f t="shared" si="6"/>
        <v>3</v>
      </c>
      <c r="M84" s="4">
        <f t="shared" si="7"/>
        <v>0</v>
      </c>
      <c r="N84" s="4">
        <f t="shared" si="8"/>
        <v>-5.34676</v>
      </c>
      <c r="O84" s="4">
        <f t="shared" si="9"/>
        <v>0</v>
      </c>
      <c r="P84" s="4">
        <f t="shared" si="10"/>
        <v>17.11</v>
      </c>
    </row>
    <row r="85" ht="15.75" customHeight="1">
      <c r="A85" s="4">
        <v>2015.0</v>
      </c>
      <c r="B85" s="4">
        <v>235.0</v>
      </c>
      <c r="C85" s="4">
        <v>26.35</v>
      </c>
      <c r="D85" s="4">
        <v>26.35</v>
      </c>
      <c r="E85" s="4">
        <f t="shared" si="1"/>
        <v>0</v>
      </c>
      <c r="F85" s="4">
        <f t="shared" si="2"/>
        <v>0</v>
      </c>
      <c r="G85" s="4">
        <f t="shared" si="3"/>
        <v>34.3801</v>
      </c>
      <c r="H85" s="4">
        <f t="shared" si="4"/>
        <v>26.80315</v>
      </c>
      <c r="I85" s="4" t="str">
        <f t="shared" si="5"/>
        <v> </v>
      </c>
      <c r="J85" s="4">
        <v>0.0</v>
      </c>
      <c r="K85" s="4">
        <v>17.15</v>
      </c>
      <c r="L85" s="4">
        <f t="shared" si="6"/>
        <v>3</v>
      </c>
      <c r="M85" s="4">
        <f t="shared" si="7"/>
        <v>0</v>
      </c>
      <c r="N85" s="4">
        <f t="shared" si="8"/>
        <v>-2.86548</v>
      </c>
      <c r="O85" s="4">
        <f t="shared" si="9"/>
        <v>0</v>
      </c>
      <c r="P85" s="4">
        <f t="shared" si="10"/>
        <v>17.15</v>
      </c>
    </row>
    <row r="86" ht="15.75" customHeight="1">
      <c r="A86" s="4">
        <v>2015.0</v>
      </c>
      <c r="B86" s="4">
        <v>236.0</v>
      </c>
      <c r="C86" s="4">
        <v>22.46</v>
      </c>
      <c r="D86" s="4">
        <v>22.46</v>
      </c>
      <c r="E86" s="4">
        <f t="shared" si="1"/>
        <v>0</v>
      </c>
      <c r="F86" s="4">
        <f t="shared" si="2"/>
        <v>0</v>
      </c>
      <c r="G86" s="4">
        <f t="shared" si="3"/>
        <v>32.3367</v>
      </c>
      <c r="H86" s="4">
        <f t="shared" si="4"/>
        <v>26.95775</v>
      </c>
      <c r="I86" s="4" t="str">
        <f t="shared" si="5"/>
        <v> </v>
      </c>
      <c r="J86" s="4">
        <v>0.0</v>
      </c>
      <c r="K86" s="4">
        <v>13.51</v>
      </c>
      <c r="L86" s="4">
        <f t="shared" si="6"/>
        <v>3</v>
      </c>
      <c r="M86" s="4">
        <f t="shared" si="7"/>
        <v>0</v>
      </c>
      <c r="N86" s="4">
        <f t="shared" si="8"/>
        <v>-1.44083</v>
      </c>
      <c r="O86" s="4">
        <f t="shared" si="9"/>
        <v>0</v>
      </c>
      <c r="P86" s="4">
        <f t="shared" si="10"/>
        <v>13.51</v>
      </c>
    </row>
    <row r="87" ht="15.75" customHeight="1">
      <c r="A87" s="4">
        <v>2015.0</v>
      </c>
      <c r="B87" s="4">
        <v>237.0</v>
      </c>
      <c r="C87" s="4">
        <v>24.36</v>
      </c>
      <c r="D87" s="4">
        <v>24.36</v>
      </c>
      <c r="E87" s="4">
        <f t="shared" si="1"/>
        <v>0</v>
      </c>
      <c r="F87" s="4">
        <f t="shared" si="2"/>
        <v>0</v>
      </c>
      <c r="G87" s="4">
        <f t="shared" si="3"/>
        <v>32.4215</v>
      </c>
      <c r="H87" s="4">
        <f t="shared" si="4"/>
        <v>26.98105</v>
      </c>
      <c r="I87" s="4" t="str">
        <f t="shared" si="5"/>
        <v> </v>
      </c>
      <c r="J87" s="4">
        <v>0.0</v>
      </c>
      <c r="K87" s="4">
        <v>14.32</v>
      </c>
      <c r="L87" s="4">
        <f t="shared" si="6"/>
        <v>3</v>
      </c>
      <c r="M87" s="4">
        <f t="shared" si="7"/>
        <v>0</v>
      </c>
      <c r="N87" s="4">
        <f t="shared" si="8"/>
        <v>-5.19251</v>
      </c>
      <c r="O87" s="4">
        <f t="shared" si="9"/>
        <v>0</v>
      </c>
      <c r="P87" s="4">
        <f t="shared" si="10"/>
        <v>14.32</v>
      </c>
    </row>
    <row r="88" ht="15.75" customHeight="1">
      <c r="A88" s="4">
        <v>2015.0</v>
      </c>
      <c r="B88" s="4">
        <v>238.0</v>
      </c>
      <c r="C88" s="4">
        <v>26.89</v>
      </c>
      <c r="D88" s="4">
        <v>26.89</v>
      </c>
      <c r="E88" s="4">
        <f t="shared" si="1"/>
        <v>0</v>
      </c>
      <c r="J88" s="4">
        <v>0.0</v>
      </c>
      <c r="K88" s="4">
        <v>17.74</v>
      </c>
      <c r="L88" s="4">
        <f t="shared" si="6"/>
        <v>3</v>
      </c>
      <c r="O88" s="4">
        <f t="shared" si="9"/>
        <v>0</v>
      </c>
      <c r="P88" s="4">
        <f t="shared" si="10"/>
        <v>17.74</v>
      </c>
    </row>
    <row r="89" ht="15.75" customHeight="1">
      <c r="A89" s="4">
        <v>2015.0</v>
      </c>
      <c r="B89" s="4">
        <v>239.0</v>
      </c>
      <c r="C89" s="4">
        <v>22.11</v>
      </c>
      <c r="D89" s="4">
        <v>22.11</v>
      </c>
      <c r="E89" s="4">
        <f t="shared" si="1"/>
        <v>0</v>
      </c>
      <c r="J89" s="4">
        <v>0.0</v>
      </c>
      <c r="K89" s="4">
        <v>16.25</v>
      </c>
      <c r="L89" s="4">
        <f t="shared" si="6"/>
        <v>3</v>
      </c>
      <c r="O89" s="4">
        <f t="shared" si="9"/>
        <v>0</v>
      </c>
      <c r="P89" s="4">
        <f t="shared" si="10"/>
        <v>16.25</v>
      </c>
    </row>
    <row r="90" ht="15.75" customHeight="1">
      <c r="A90" s="4">
        <v>2015.0</v>
      </c>
      <c r="B90" s="4">
        <v>240.0</v>
      </c>
      <c r="C90" s="4">
        <v>25.23</v>
      </c>
      <c r="D90" s="4">
        <v>25.23</v>
      </c>
      <c r="E90" s="4">
        <f t="shared" si="1"/>
        <v>0</v>
      </c>
      <c r="J90" s="4">
        <v>0.0</v>
      </c>
      <c r="K90" s="4">
        <v>16.92</v>
      </c>
      <c r="L90" s="4">
        <f t="shared" si="6"/>
        <v>3</v>
      </c>
      <c r="O90" s="4">
        <f t="shared" si="9"/>
        <v>0</v>
      </c>
      <c r="P90" s="4">
        <f t="shared" si="10"/>
        <v>16.92</v>
      </c>
    </row>
    <row r="91" ht="15.75" customHeight="1">
      <c r="A91" s="4">
        <v>2015.0</v>
      </c>
      <c r="B91" s="4">
        <v>241.0</v>
      </c>
      <c r="C91" s="4">
        <v>21.05</v>
      </c>
      <c r="D91" s="4">
        <v>21.05</v>
      </c>
      <c r="E91" s="4">
        <f t="shared" si="1"/>
        <v>1</v>
      </c>
      <c r="J91" s="4">
        <v>4.6</v>
      </c>
      <c r="K91" s="4">
        <v>17.54</v>
      </c>
      <c r="L91" s="4">
        <f t="shared" si="6"/>
        <v>8</v>
      </c>
      <c r="O91" s="4">
        <f t="shared" si="9"/>
        <v>4.6</v>
      </c>
      <c r="P91" s="4">
        <f t="shared" si="10"/>
        <v>17.54</v>
      </c>
    </row>
    <row r="92" ht="15.75" customHeight="1">
      <c r="A92" s="4">
        <v>2015.0</v>
      </c>
      <c r="B92" s="4">
        <v>242.0</v>
      </c>
      <c r="C92" s="4">
        <v>19.42</v>
      </c>
      <c r="D92" s="4">
        <v>19.42</v>
      </c>
      <c r="E92" s="4">
        <f t="shared" si="1"/>
        <v>0</v>
      </c>
      <c r="J92" s="4">
        <v>0.0</v>
      </c>
      <c r="K92" s="4">
        <v>14.32</v>
      </c>
      <c r="L92" s="4">
        <f t="shared" si="6"/>
        <v>3</v>
      </c>
      <c r="O92" s="4">
        <f t="shared" si="9"/>
        <v>0</v>
      </c>
      <c r="P92" s="4">
        <f t="shared" si="10"/>
        <v>14.32</v>
      </c>
    </row>
    <row r="93" ht="15.75" customHeight="1">
      <c r="A93" s="4">
        <v>2015.0</v>
      </c>
      <c r="B93" s="4">
        <v>243.0</v>
      </c>
      <c r="C93" s="4">
        <v>19.89</v>
      </c>
      <c r="D93" s="4">
        <v>19.89</v>
      </c>
      <c r="E93" s="4">
        <f t="shared" si="1"/>
        <v>1</v>
      </c>
      <c r="J93" s="4">
        <v>1.4</v>
      </c>
      <c r="K93" s="4">
        <v>13.62</v>
      </c>
      <c r="L93" s="4">
        <f t="shared" si="6"/>
        <v>8</v>
      </c>
      <c r="O93" s="4">
        <f t="shared" si="9"/>
        <v>1.4</v>
      </c>
      <c r="P93" s="4">
        <f t="shared" si="10"/>
        <v>13.62</v>
      </c>
    </row>
    <row r="94" ht="15.75" customHeight="1"/>
    <row r="95" ht="15.75" customHeight="1"/>
    <row r="96" ht="15.75" customHeight="1">
      <c r="O96" s="4">
        <f>SUM(O2:O93)</f>
        <v>151.6</v>
      </c>
      <c r="P96" s="4">
        <f>SUMIF(P2:P93,"&gt;0")/10</f>
        <v>158.693</v>
      </c>
    </row>
    <row r="97" ht="15.75" customHeight="1"/>
    <row r="98" ht="15.75" customHeight="1">
      <c r="I98" s="4">
        <f>SUM(I2:I87)</f>
        <v>15.146875</v>
      </c>
      <c r="O98" s="4" t="s">
        <v>15</v>
      </c>
      <c r="P98" s="4">
        <f>O96/P96</f>
        <v>0.9553036366</v>
      </c>
    </row>
    <row r="99" ht="15.75" customHeight="1">
      <c r="I99" s="4">
        <f>SUM(I2:I31)</f>
        <v>3.762525</v>
      </c>
      <c r="O99" s="4" t="s">
        <v>16</v>
      </c>
      <c r="P99" s="4">
        <f>SUM(O2:O31)/(SUM(P2:P31)/10)</f>
        <v>1.340851402</v>
      </c>
    </row>
    <row r="100" ht="15.75" customHeight="1">
      <c r="I100" s="4">
        <f>SUM(I32:I62)</f>
        <v>11.38435</v>
      </c>
      <c r="O100" s="4" t="s">
        <v>17</v>
      </c>
      <c r="P100" s="4">
        <f>SUM(O33:O62)/(SUM(P33:P62)/10)</f>
        <v>1.214194421</v>
      </c>
    </row>
    <row r="101" ht="15.75" customHeight="1">
      <c r="I101" s="4">
        <f>SUM(I63:I93)</f>
        <v>0</v>
      </c>
      <c r="O101" s="4" t="s">
        <v>18</v>
      </c>
      <c r="P101" s="4">
        <f>SUM(O63:O93)/(SUM(P63:P93)/10)</f>
        <v>0.338546175</v>
      </c>
    </row>
    <row r="102" ht="15.75" customHeight="1">
      <c r="I102" s="4">
        <f>SUMIF(I2:I87,"&gt;0")</f>
        <v>15.146875</v>
      </c>
    </row>
    <row r="103" ht="15.75" customHeight="1">
      <c r="I103" s="4">
        <f>SUMIF(I2:I31,"&gt;0")</f>
        <v>3.762525</v>
      </c>
    </row>
    <row r="104" ht="15.75" customHeight="1">
      <c r="I104" s="4">
        <f>SUMIF(I32:I62,"&gt;0")</f>
        <v>11.38435</v>
      </c>
      <c r="P104" s="4">
        <f>SUM(O16:O35)/(SUM(P16:P35)/10)</f>
        <v>1.973610645</v>
      </c>
    </row>
    <row r="105" ht="15.75" customHeight="1">
      <c r="I105" s="4">
        <f>SUMIF(I63:I87,"&gt;0")</f>
        <v>0</v>
      </c>
      <c r="P105" s="4">
        <f>SUM(O36:O55)/(SUM(P36:P55)/10)</f>
        <v>0.7051225076</v>
      </c>
    </row>
    <row r="106" ht="15.75" customHeight="1">
      <c r="P106" s="4">
        <f>SUM(O56:O77)/(SUM(P56:P77)/10)</f>
        <v>1.215520146</v>
      </c>
    </row>
    <row r="107" ht="15.75" customHeight="1">
      <c r="P107" s="4">
        <f>SUM(O16:O77)/(SUM(P16:P77)/10)</f>
        <v>1.30457095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2016.0</v>
      </c>
      <c r="B2" s="4">
        <v>153.0</v>
      </c>
      <c r="C2" s="4">
        <v>7.38</v>
      </c>
      <c r="D2" s="4">
        <v>22.13</v>
      </c>
      <c r="E2" s="4">
        <f t="shared" ref="E2:E92" si="1">IF(J2&gt;0,1,0)</f>
        <v>0</v>
      </c>
      <c r="F2" s="4">
        <f t="shared" ref="F2:F87" si="2">IF(H2&gt;G2,1,0)</f>
        <v>0</v>
      </c>
      <c r="G2" s="4">
        <f t="shared" ref="G2:G87" si="3"> 0.75 * D2 + 0.41 * D3 + 0.41 * D4 + 0.27 * D5 + 0.74 *D6 + 0.3 *C2 - 0.07 * C3 - 0.16 * C4 + 0.06 * C5 + 0.01 * C6 + 2.88 * E2 + 1.98 * E3 + 1.98 * E4 + 1.79 * E5 + 0.53 * E6-32.47</f>
        <v>28.25547</v>
      </c>
      <c r="H2" s="4">
        <f t="shared" ref="H2:H87" si="4">0.63 * D2 + 0.37 * D3 + 0.49 * D4 + 0.22 * D5 + 0.65 * D6 + 0.24 *C2 - 0.06 * C3- 0.15 * C4 - 0.135 * C5 + 0.15 * C6 + 4.88 * E2 + 3.55 * E3 + 3.34 *E4 + 2.5 * E5 + 2.29 *E6-31.34</f>
        <v>27.43331</v>
      </c>
      <c r="I2" s="4" t="str">
        <f t="shared" ref="I2:I87" si="5">IF((H2-G2)&gt;0,H2-G2," ")</f>
        <v> </v>
      </c>
      <c r="J2" s="4">
        <v>0.0</v>
      </c>
      <c r="K2" s="4">
        <v>15.28</v>
      </c>
      <c r="L2" s="4">
        <f t="shared" ref="L2:L93" si="6">IF(E2&gt;0,8,3)</f>
        <v>3</v>
      </c>
      <c r="M2" s="4">
        <f t="shared" ref="M2:M87" si="7">IF(N2&gt;=0,1,0)</f>
        <v>0</v>
      </c>
      <c r="N2" s="4">
        <f t="shared" ref="N2:N87" si="8">-0.216*D2-0.191*D3-0.119*D4+0.004*C2-0.171*C3+0.628*C4-0.479*L2+0.513*L3+0.046*L4+5.947*E2+6.699*E3+4.328*E4-1.788</f>
        <v>-2.892059</v>
      </c>
      <c r="O2" s="4">
        <f t="shared" ref="O2:O93" si="9">IF(K2&gt;10,J2,0)</f>
        <v>0</v>
      </c>
      <c r="P2" s="4">
        <f t="shared" ref="P2:P93" si="10">IF(K2&gt;10,K2,0)</f>
        <v>15.28</v>
      </c>
    </row>
    <row r="3">
      <c r="A3" s="4">
        <v>2016.0</v>
      </c>
      <c r="B3" s="4">
        <v>154.0</v>
      </c>
      <c r="C3" s="4">
        <v>6.909</v>
      </c>
      <c r="D3" s="4">
        <v>23.87</v>
      </c>
      <c r="E3" s="4">
        <f t="shared" si="1"/>
        <v>0</v>
      </c>
      <c r="F3" s="4">
        <f t="shared" si="2"/>
        <v>1</v>
      </c>
      <c r="G3" s="4">
        <f t="shared" si="3"/>
        <v>24.70128</v>
      </c>
      <c r="H3" s="4">
        <f t="shared" si="4"/>
        <v>26.70686</v>
      </c>
      <c r="I3" s="4">
        <f t="shared" si="5"/>
        <v>2.00558</v>
      </c>
      <c r="J3" s="4">
        <v>0.0</v>
      </c>
      <c r="K3" s="4">
        <v>16.3</v>
      </c>
      <c r="L3" s="4">
        <f t="shared" si="6"/>
        <v>3</v>
      </c>
      <c r="M3" s="4">
        <f t="shared" si="7"/>
        <v>1</v>
      </c>
      <c r="N3" s="4">
        <f t="shared" si="8"/>
        <v>4.085236</v>
      </c>
      <c r="O3" s="4">
        <f t="shared" si="9"/>
        <v>0</v>
      </c>
      <c r="P3" s="4">
        <f t="shared" si="10"/>
        <v>16.3</v>
      </c>
    </row>
    <row r="4">
      <c r="A4" s="4">
        <v>2016.0</v>
      </c>
      <c r="B4" s="4">
        <v>155.0</v>
      </c>
      <c r="C4" s="4">
        <v>11.77</v>
      </c>
      <c r="D4" s="4">
        <v>23.55</v>
      </c>
      <c r="E4" s="4">
        <f t="shared" si="1"/>
        <v>1</v>
      </c>
      <c r="F4" s="4">
        <f t="shared" si="2"/>
        <v>1</v>
      </c>
      <c r="G4" s="4">
        <f t="shared" si="3"/>
        <v>24.57357</v>
      </c>
      <c r="H4" s="4">
        <f t="shared" si="4"/>
        <v>26.43152</v>
      </c>
      <c r="I4" s="4">
        <f t="shared" si="5"/>
        <v>1.85795</v>
      </c>
      <c r="J4" s="4">
        <v>7.2</v>
      </c>
      <c r="K4" s="4">
        <v>16.75</v>
      </c>
      <c r="L4" s="4">
        <f t="shared" si="6"/>
        <v>8</v>
      </c>
      <c r="M4" s="4">
        <f t="shared" si="7"/>
        <v>1</v>
      </c>
      <c r="N4" s="4">
        <f t="shared" si="8"/>
        <v>6.7777</v>
      </c>
      <c r="O4" s="4">
        <f t="shared" si="9"/>
        <v>7.2</v>
      </c>
      <c r="P4" s="4">
        <f t="shared" si="10"/>
        <v>16.75</v>
      </c>
    </row>
    <row r="5">
      <c r="A5" s="4">
        <v>2016.0</v>
      </c>
      <c r="B5" s="4">
        <v>156.0</v>
      </c>
      <c r="C5" s="4">
        <v>10.11</v>
      </c>
      <c r="D5" s="4">
        <v>24.36</v>
      </c>
      <c r="E5" s="4">
        <f t="shared" si="1"/>
        <v>1</v>
      </c>
      <c r="F5" s="4">
        <f t="shared" si="2"/>
        <v>1</v>
      </c>
      <c r="G5" s="4">
        <f t="shared" si="3"/>
        <v>22.97663</v>
      </c>
      <c r="H5" s="4">
        <f t="shared" si="4"/>
        <v>23.318985</v>
      </c>
      <c r="I5" s="4">
        <f t="shared" si="5"/>
        <v>0.342355</v>
      </c>
      <c r="J5" s="4">
        <v>3.1</v>
      </c>
      <c r="K5" s="4">
        <v>15.84</v>
      </c>
      <c r="L5" s="4">
        <f t="shared" si="6"/>
        <v>8</v>
      </c>
      <c r="M5" s="4">
        <f t="shared" si="7"/>
        <v>1</v>
      </c>
      <c r="N5" s="4">
        <f t="shared" si="8"/>
        <v>8.393234</v>
      </c>
      <c r="O5" s="4">
        <f t="shared" si="9"/>
        <v>3.1</v>
      </c>
      <c r="P5" s="4">
        <f t="shared" si="10"/>
        <v>15.84</v>
      </c>
    </row>
    <row r="6">
      <c r="A6" s="4">
        <v>2016.0</v>
      </c>
      <c r="B6" s="4">
        <v>157.0</v>
      </c>
      <c r="C6" s="4">
        <v>7.18</v>
      </c>
      <c r="D6" s="4">
        <v>17.95</v>
      </c>
      <c r="E6" s="4">
        <f t="shared" si="1"/>
        <v>1</v>
      </c>
      <c r="F6" s="4">
        <f t="shared" si="2"/>
        <v>1</v>
      </c>
      <c r="G6" s="4">
        <f t="shared" si="3"/>
        <v>14.22572</v>
      </c>
      <c r="H6" s="4">
        <f t="shared" si="4"/>
        <v>16.541425</v>
      </c>
      <c r="I6" s="4">
        <f t="shared" si="5"/>
        <v>2.315705</v>
      </c>
      <c r="J6" s="4">
        <v>6.1</v>
      </c>
      <c r="K6" s="4">
        <v>12.24</v>
      </c>
      <c r="L6" s="4">
        <f t="shared" si="6"/>
        <v>8</v>
      </c>
      <c r="M6" s="4">
        <f t="shared" si="7"/>
        <v>1</v>
      </c>
      <c r="N6" s="4">
        <f t="shared" si="8"/>
        <v>6.186954</v>
      </c>
      <c r="O6" s="4">
        <f t="shared" si="9"/>
        <v>6.1</v>
      </c>
      <c r="P6" s="4">
        <f t="shared" si="10"/>
        <v>12.24</v>
      </c>
    </row>
    <row r="7">
      <c r="A7" s="4">
        <v>2016.0</v>
      </c>
      <c r="B7" s="4">
        <v>158.0</v>
      </c>
      <c r="C7" s="4">
        <v>6.038</v>
      </c>
      <c r="D7" s="4">
        <v>11.32</v>
      </c>
      <c r="E7" s="4">
        <f t="shared" si="1"/>
        <v>1</v>
      </c>
      <c r="F7" s="4">
        <f t="shared" si="2"/>
        <v>0</v>
      </c>
      <c r="G7" s="4">
        <f t="shared" si="3"/>
        <v>13.18896</v>
      </c>
      <c r="H7" s="4">
        <f t="shared" si="4"/>
        <v>12.84433</v>
      </c>
      <c r="I7" s="4" t="str">
        <f t="shared" si="5"/>
        <v> </v>
      </c>
      <c r="J7" s="4">
        <v>3.7</v>
      </c>
      <c r="K7" s="4">
        <v>7.73</v>
      </c>
      <c r="L7" s="4">
        <f t="shared" si="6"/>
        <v>8</v>
      </c>
      <c r="M7" s="4">
        <f t="shared" si="7"/>
        <v>0</v>
      </c>
      <c r="N7" s="4">
        <f t="shared" si="8"/>
        <v>-2.453901</v>
      </c>
      <c r="O7" s="4">
        <f t="shared" si="9"/>
        <v>0</v>
      </c>
      <c r="P7" s="4">
        <f t="shared" si="10"/>
        <v>0</v>
      </c>
    </row>
    <row r="8">
      <c r="A8" s="4">
        <v>2016.0</v>
      </c>
      <c r="B8" s="4">
        <v>159.0</v>
      </c>
      <c r="C8" s="4">
        <v>5.239</v>
      </c>
      <c r="D8" s="4">
        <v>11.16</v>
      </c>
      <c r="E8" s="4">
        <f t="shared" si="1"/>
        <v>0</v>
      </c>
      <c r="F8" s="4">
        <f t="shared" si="2"/>
        <v>1</v>
      </c>
      <c r="G8" s="4">
        <f t="shared" si="3"/>
        <v>10.01487</v>
      </c>
      <c r="H8" s="4">
        <f t="shared" si="4"/>
        <v>10.875755</v>
      </c>
      <c r="I8" s="4">
        <f t="shared" si="5"/>
        <v>0.860885</v>
      </c>
      <c r="J8" s="4">
        <v>0.0</v>
      </c>
      <c r="K8" s="4">
        <v>7.98</v>
      </c>
      <c r="L8" s="4">
        <f t="shared" si="6"/>
        <v>3</v>
      </c>
      <c r="M8" s="4">
        <f t="shared" si="7"/>
        <v>1</v>
      </c>
      <c r="N8" s="4">
        <f t="shared" si="8"/>
        <v>0.063089</v>
      </c>
      <c r="O8" s="4">
        <f t="shared" si="9"/>
        <v>0</v>
      </c>
      <c r="P8" s="4">
        <f t="shared" si="10"/>
        <v>0</v>
      </c>
    </row>
    <row r="9">
      <c r="A9" s="4">
        <v>2016.0</v>
      </c>
      <c r="B9" s="4">
        <v>160.0</v>
      </c>
      <c r="C9" s="4">
        <v>5.007</v>
      </c>
      <c r="D9" s="4">
        <v>18.1</v>
      </c>
      <c r="E9" s="4">
        <f t="shared" si="1"/>
        <v>0</v>
      </c>
      <c r="F9" s="4">
        <f t="shared" si="2"/>
        <v>1</v>
      </c>
      <c r="G9" s="4">
        <f t="shared" si="3"/>
        <v>15.47214</v>
      </c>
      <c r="H9" s="4">
        <f t="shared" si="4"/>
        <v>16.99873</v>
      </c>
      <c r="I9" s="4">
        <f t="shared" si="5"/>
        <v>1.52659</v>
      </c>
      <c r="J9" s="4">
        <v>0.0</v>
      </c>
      <c r="K9" s="4">
        <v>10.97</v>
      </c>
      <c r="L9" s="4">
        <f t="shared" si="6"/>
        <v>3</v>
      </c>
      <c r="M9" s="4">
        <f t="shared" si="7"/>
        <v>1</v>
      </c>
      <c r="N9" s="4">
        <f t="shared" si="8"/>
        <v>0.491886</v>
      </c>
      <c r="O9" s="4">
        <f t="shared" si="9"/>
        <v>0</v>
      </c>
      <c r="P9" s="4">
        <f t="shared" si="10"/>
        <v>10.97</v>
      </c>
    </row>
    <row r="10">
      <c r="A10" s="4">
        <v>2016.0</v>
      </c>
      <c r="B10" s="4">
        <v>161.0</v>
      </c>
      <c r="C10" s="4">
        <v>9.17</v>
      </c>
      <c r="D10" s="4">
        <v>16.83</v>
      </c>
      <c r="E10" s="4">
        <f t="shared" si="1"/>
        <v>1</v>
      </c>
      <c r="F10" s="4">
        <f t="shared" si="2"/>
        <v>1</v>
      </c>
      <c r="G10" s="4">
        <f t="shared" si="3"/>
        <v>21.96253</v>
      </c>
      <c r="H10" s="4">
        <f t="shared" si="4"/>
        <v>23.72549</v>
      </c>
      <c r="I10" s="4">
        <f t="shared" si="5"/>
        <v>1.76296</v>
      </c>
      <c r="J10" s="4">
        <v>4.5</v>
      </c>
      <c r="K10" s="4">
        <v>12.36</v>
      </c>
      <c r="L10" s="4">
        <f t="shared" si="6"/>
        <v>8</v>
      </c>
      <c r="M10" s="4">
        <f t="shared" si="7"/>
        <v>1</v>
      </c>
      <c r="N10" s="4">
        <f t="shared" si="8"/>
        <v>1.193769</v>
      </c>
      <c r="O10" s="4">
        <f t="shared" si="9"/>
        <v>4.5</v>
      </c>
      <c r="P10" s="4">
        <f t="shared" si="10"/>
        <v>12.36</v>
      </c>
    </row>
    <row r="11">
      <c r="A11" s="4">
        <v>2016.0</v>
      </c>
      <c r="B11" s="4">
        <v>162.0</v>
      </c>
      <c r="C11" s="4">
        <v>6.071</v>
      </c>
      <c r="D11" s="4">
        <v>19.87</v>
      </c>
      <c r="E11" s="4">
        <f t="shared" si="1"/>
        <v>0</v>
      </c>
      <c r="F11" s="4">
        <f t="shared" si="2"/>
        <v>0</v>
      </c>
      <c r="G11" s="4">
        <f t="shared" si="3"/>
        <v>23.15132</v>
      </c>
      <c r="H11" s="4">
        <f t="shared" si="4"/>
        <v>21.87989</v>
      </c>
      <c r="I11" s="4" t="str">
        <f t="shared" si="5"/>
        <v> </v>
      </c>
      <c r="J11" s="4">
        <v>0.0</v>
      </c>
      <c r="K11" s="4">
        <v>13.63</v>
      </c>
      <c r="L11" s="4">
        <f t="shared" si="6"/>
        <v>3</v>
      </c>
      <c r="M11" s="4">
        <f t="shared" si="7"/>
        <v>1</v>
      </c>
      <c r="N11" s="4">
        <f t="shared" si="8"/>
        <v>7.989304</v>
      </c>
      <c r="O11" s="4">
        <f t="shared" si="9"/>
        <v>0</v>
      </c>
      <c r="P11" s="4">
        <f t="shared" si="10"/>
        <v>13.63</v>
      </c>
    </row>
    <row r="12">
      <c r="A12" s="4">
        <v>2016.0</v>
      </c>
      <c r="B12" s="4">
        <v>163.0</v>
      </c>
      <c r="C12" s="4">
        <v>7.88</v>
      </c>
      <c r="D12" s="4">
        <v>15.84</v>
      </c>
      <c r="E12" s="4">
        <f t="shared" si="1"/>
        <v>1</v>
      </c>
      <c r="F12" s="4">
        <f t="shared" si="2"/>
        <v>1</v>
      </c>
      <c r="G12" s="4">
        <f t="shared" si="3"/>
        <v>25.85822</v>
      </c>
      <c r="H12" s="4">
        <f t="shared" si="4"/>
        <v>28.10398</v>
      </c>
      <c r="I12" s="4">
        <f t="shared" si="5"/>
        <v>2.24576</v>
      </c>
      <c r="J12" s="4">
        <v>9.8</v>
      </c>
      <c r="K12" s="4">
        <v>12.14</v>
      </c>
      <c r="L12" s="4">
        <f t="shared" si="6"/>
        <v>8</v>
      </c>
      <c r="M12" s="4">
        <f t="shared" si="7"/>
        <v>1</v>
      </c>
      <c r="N12" s="4">
        <f t="shared" si="8"/>
        <v>10.68949</v>
      </c>
      <c r="O12" s="4">
        <f t="shared" si="9"/>
        <v>9.8</v>
      </c>
      <c r="P12" s="4">
        <f t="shared" si="10"/>
        <v>12.14</v>
      </c>
    </row>
    <row r="13">
      <c r="A13" s="4">
        <v>2016.0</v>
      </c>
      <c r="B13" s="4">
        <v>164.0</v>
      </c>
      <c r="C13" s="4">
        <v>9.57</v>
      </c>
      <c r="D13" s="4">
        <v>13.9</v>
      </c>
      <c r="E13" s="4">
        <f t="shared" si="1"/>
        <v>1</v>
      </c>
      <c r="F13" s="4">
        <f t="shared" si="2"/>
        <v>1</v>
      </c>
      <c r="G13" s="4">
        <f t="shared" si="3"/>
        <v>28.66688</v>
      </c>
      <c r="H13" s="4">
        <f t="shared" si="4"/>
        <v>30.4962</v>
      </c>
      <c r="I13" s="4">
        <f t="shared" si="5"/>
        <v>1.82932</v>
      </c>
      <c r="J13" s="4">
        <v>6.3</v>
      </c>
      <c r="K13" s="4">
        <v>10.91</v>
      </c>
      <c r="L13" s="4">
        <f t="shared" si="6"/>
        <v>8</v>
      </c>
      <c r="M13" s="4">
        <f t="shared" si="7"/>
        <v>1</v>
      </c>
      <c r="N13" s="4">
        <f t="shared" si="8"/>
        <v>3.353806</v>
      </c>
      <c r="O13" s="4">
        <f t="shared" si="9"/>
        <v>6.3</v>
      </c>
      <c r="P13" s="4">
        <f t="shared" si="10"/>
        <v>10.91</v>
      </c>
    </row>
    <row r="14">
      <c r="A14" s="4">
        <v>2016.0</v>
      </c>
      <c r="B14" s="4">
        <v>165.0</v>
      </c>
      <c r="C14" s="4">
        <v>7.77</v>
      </c>
      <c r="D14" s="4">
        <v>19.62</v>
      </c>
      <c r="E14" s="4">
        <f t="shared" si="1"/>
        <v>1</v>
      </c>
      <c r="F14" s="4">
        <f t="shared" si="2"/>
        <v>0</v>
      </c>
      <c r="G14" s="4">
        <f t="shared" si="3"/>
        <v>36.19566</v>
      </c>
      <c r="H14" s="4">
        <f t="shared" si="4"/>
        <v>33.65638</v>
      </c>
      <c r="I14" s="4" t="str">
        <f t="shared" si="5"/>
        <v> </v>
      </c>
      <c r="J14" s="4">
        <v>0.1</v>
      </c>
      <c r="K14" s="4">
        <v>13.03</v>
      </c>
      <c r="L14" s="4">
        <f t="shared" si="6"/>
        <v>8</v>
      </c>
      <c r="M14" s="4">
        <f t="shared" si="7"/>
        <v>0</v>
      </c>
      <c r="N14" s="4">
        <f t="shared" si="8"/>
        <v>-2.763142</v>
      </c>
      <c r="O14" s="4">
        <f t="shared" si="9"/>
        <v>0.1</v>
      </c>
      <c r="P14" s="4">
        <f t="shared" si="10"/>
        <v>13.03</v>
      </c>
    </row>
    <row r="15">
      <c r="A15" s="4">
        <v>2016.0</v>
      </c>
      <c r="B15" s="4">
        <v>166.0</v>
      </c>
      <c r="C15" s="4">
        <v>4.612</v>
      </c>
      <c r="D15" s="4">
        <v>23.28</v>
      </c>
      <c r="E15" s="4">
        <f t="shared" si="1"/>
        <v>0</v>
      </c>
      <c r="F15" s="4">
        <f t="shared" si="2"/>
        <v>0</v>
      </c>
      <c r="G15" s="4">
        <f t="shared" si="3"/>
        <v>36.5877</v>
      </c>
      <c r="H15" s="4">
        <f t="shared" si="4"/>
        <v>34.11108</v>
      </c>
      <c r="I15" s="4" t="str">
        <f t="shared" si="5"/>
        <v> </v>
      </c>
      <c r="J15" s="4">
        <v>0.0</v>
      </c>
      <c r="K15" s="4">
        <v>15.24</v>
      </c>
      <c r="L15" s="4">
        <f t="shared" si="6"/>
        <v>3</v>
      </c>
      <c r="M15" s="4">
        <f t="shared" si="7"/>
        <v>0</v>
      </c>
      <c r="N15" s="4">
        <f t="shared" si="8"/>
        <v>-1.563682</v>
      </c>
      <c r="O15" s="4">
        <f t="shared" si="9"/>
        <v>0</v>
      </c>
      <c r="P15" s="4">
        <f t="shared" si="10"/>
        <v>15.24</v>
      </c>
    </row>
    <row r="16">
      <c r="A16" s="4">
        <v>2016.0</v>
      </c>
      <c r="B16" s="4">
        <v>167.0</v>
      </c>
      <c r="C16" s="4">
        <v>12.24</v>
      </c>
      <c r="D16" s="4">
        <v>25.31</v>
      </c>
      <c r="E16" s="4">
        <f t="shared" si="1"/>
        <v>0</v>
      </c>
      <c r="F16" s="4">
        <f t="shared" si="2"/>
        <v>0</v>
      </c>
      <c r="G16" s="4">
        <f t="shared" si="3"/>
        <v>41.8107</v>
      </c>
      <c r="H16" s="4">
        <f t="shared" si="4"/>
        <v>39.9716</v>
      </c>
      <c r="I16" s="4" t="str">
        <f t="shared" si="5"/>
        <v> </v>
      </c>
      <c r="J16" s="4">
        <v>0.0</v>
      </c>
      <c r="K16" s="4">
        <v>19.02</v>
      </c>
      <c r="L16" s="4">
        <f t="shared" si="6"/>
        <v>3</v>
      </c>
      <c r="M16" s="4">
        <f t="shared" si="7"/>
        <v>1</v>
      </c>
      <c r="N16" s="4">
        <f t="shared" si="8"/>
        <v>1.3215</v>
      </c>
      <c r="O16" s="4">
        <f t="shared" si="9"/>
        <v>0</v>
      </c>
      <c r="P16" s="4">
        <f t="shared" si="10"/>
        <v>19.02</v>
      </c>
    </row>
    <row r="17">
      <c r="A17" s="4">
        <v>2016.0</v>
      </c>
      <c r="B17" s="4">
        <v>168.0</v>
      </c>
      <c r="C17" s="4">
        <v>16.44</v>
      </c>
      <c r="D17" s="4">
        <v>24.88</v>
      </c>
      <c r="E17" s="4">
        <f t="shared" si="1"/>
        <v>1</v>
      </c>
      <c r="F17" s="4">
        <f t="shared" si="2"/>
        <v>0</v>
      </c>
      <c r="G17" s="4">
        <f t="shared" si="3"/>
        <v>47.8314</v>
      </c>
      <c r="H17" s="4">
        <f t="shared" si="4"/>
        <v>45.3453</v>
      </c>
      <c r="I17" s="4" t="str">
        <f t="shared" si="5"/>
        <v> </v>
      </c>
      <c r="J17" s="4">
        <v>1.6</v>
      </c>
      <c r="K17" s="4">
        <v>19.84</v>
      </c>
      <c r="L17" s="4">
        <f t="shared" si="6"/>
        <v>8</v>
      </c>
      <c r="M17" s="4">
        <f t="shared" si="7"/>
        <v>0</v>
      </c>
      <c r="N17" s="4">
        <f t="shared" si="8"/>
        <v>-0.27456</v>
      </c>
      <c r="O17" s="4">
        <f t="shared" si="9"/>
        <v>1.6</v>
      </c>
      <c r="P17" s="4">
        <f t="shared" si="10"/>
        <v>19.84</v>
      </c>
    </row>
    <row r="18">
      <c r="A18" s="4">
        <v>2016.0</v>
      </c>
      <c r="B18" s="4">
        <v>169.0</v>
      </c>
      <c r="C18" s="4">
        <v>15.98</v>
      </c>
      <c r="D18" s="4">
        <v>28.98</v>
      </c>
      <c r="E18" s="4">
        <f t="shared" si="1"/>
        <v>0</v>
      </c>
      <c r="F18" s="4">
        <f t="shared" si="2"/>
        <v>0</v>
      </c>
      <c r="G18" s="4">
        <f t="shared" si="3"/>
        <v>48.6405</v>
      </c>
      <c r="H18" s="4">
        <f t="shared" si="4"/>
        <v>46.50995</v>
      </c>
      <c r="I18" s="4" t="str">
        <f t="shared" si="5"/>
        <v> </v>
      </c>
      <c r="J18" s="4">
        <v>0.0</v>
      </c>
      <c r="K18" s="4">
        <v>21.82</v>
      </c>
      <c r="L18" s="4">
        <f t="shared" si="6"/>
        <v>3</v>
      </c>
      <c r="M18" s="4">
        <f t="shared" si="7"/>
        <v>1</v>
      </c>
      <c r="N18" s="4">
        <f t="shared" si="8"/>
        <v>4.25871</v>
      </c>
      <c r="O18" s="4">
        <f t="shared" si="9"/>
        <v>0</v>
      </c>
      <c r="P18" s="4">
        <f t="shared" si="10"/>
        <v>21.82</v>
      </c>
    </row>
    <row r="19">
      <c r="A19" s="4">
        <v>2016.0</v>
      </c>
      <c r="B19" s="4">
        <v>170.0</v>
      </c>
      <c r="C19" s="4">
        <v>16.28</v>
      </c>
      <c r="D19" s="4">
        <v>29.28</v>
      </c>
      <c r="E19" s="4">
        <f t="shared" si="1"/>
        <v>1</v>
      </c>
      <c r="F19" s="4">
        <f t="shared" si="2"/>
        <v>1</v>
      </c>
      <c r="G19" s="4">
        <f t="shared" si="3"/>
        <v>48.6514</v>
      </c>
      <c r="H19" s="4">
        <f t="shared" si="4"/>
        <v>49.05785</v>
      </c>
      <c r="I19" s="4">
        <f t="shared" si="5"/>
        <v>0.40645</v>
      </c>
      <c r="J19" s="4">
        <v>6.0</v>
      </c>
      <c r="K19" s="4">
        <v>22.04</v>
      </c>
      <c r="L19" s="4">
        <f t="shared" si="6"/>
        <v>8</v>
      </c>
      <c r="M19" s="4">
        <f t="shared" si="7"/>
        <v>1</v>
      </c>
      <c r="N19" s="4">
        <f t="shared" si="8"/>
        <v>1.72452</v>
      </c>
      <c r="O19" s="4">
        <f t="shared" si="9"/>
        <v>6</v>
      </c>
      <c r="P19" s="4">
        <f t="shared" si="10"/>
        <v>22.04</v>
      </c>
    </row>
    <row r="20">
      <c r="A20" s="4">
        <v>2016.0</v>
      </c>
      <c r="B20" s="4">
        <v>171.0</v>
      </c>
      <c r="C20" s="4">
        <v>15.54</v>
      </c>
      <c r="D20" s="4">
        <v>26.91</v>
      </c>
      <c r="E20" s="4">
        <f t="shared" si="1"/>
        <v>1</v>
      </c>
      <c r="F20" s="4">
        <f t="shared" si="2"/>
        <v>0</v>
      </c>
      <c r="G20" s="4">
        <f t="shared" si="3"/>
        <v>46.3318</v>
      </c>
      <c r="H20" s="4">
        <f t="shared" si="4"/>
        <v>44.0708</v>
      </c>
      <c r="I20" s="4" t="str">
        <f t="shared" si="5"/>
        <v> </v>
      </c>
      <c r="J20" s="4">
        <v>0.2</v>
      </c>
      <c r="K20" s="4">
        <v>20.9</v>
      </c>
      <c r="L20" s="4">
        <f t="shared" si="6"/>
        <v>8</v>
      </c>
      <c r="M20" s="4">
        <f t="shared" si="7"/>
        <v>0</v>
      </c>
      <c r="N20" s="4">
        <f t="shared" si="8"/>
        <v>-2.43468</v>
      </c>
      <c r="O20" s="4">
        <f t="shared" si="9"/>
        <v>0.2</v>
      </c>
      <c r="P20" s="4">
        <f t="shared" si="10"/>
        <v>20.9</v>
      </c>
    </row>
    <row r="21" ht="15.75" customHeight="1">
      <c r="A21" s="4">
        <v>2016.0</v>
      </c>
      <c r="B21" s="4">
        <v>172.0</v>
      </c>
      <c r="C21" s="4">
        <v>12.71</v>
      </c>
      <c r="D21" s="4">
        <v>29.15</v>
      </c>
      <c r="E21" s="4">
        <f t="shared" si="1"/>
        <v>0</v>
      </c>
      <c r="F21" s="4">
        <f t="shared" si="2"/>
        <v>0</v>
      </c>
      <c r="G21" s="4">
        <f t="shared" si="3"/>
        <v>43.3957</v>
      </c>
      <c r="H21" s="4">
        <f t="shared" si="4"/>
        <v>39.5216</v>
      </c>
      <c r="I21" s="4" t="str">
        <f t="shared" si="5"/>
        <v> </v>
      </c>
      <c r="J21" s="4">
        <v>0.0</v>
      </c>
      <c r="K21" s="4">
        <v>21.47</v>
      </c>
      <c r="L21" s="4">
        <f t="shared" si="6"/>
        <v>3</v>
      </c>
      <c r="M21" s="4">
        <f t="shared" si="7"/>
        <v>1</v>
      </c>
      <c r="N21" s="4">
        <f t="shared" si="8"/>
        <v>5.9456</v>
      </c>
      <c r="O21" s="4">
        <f t="shared" si="9"/>
        <v>0</v>
      </c>
      <c r="P21" s="4">
        <f t="shared" si="10"/>
        <v>21.47</v>
      </c>
    </row>
    <row r="22" ht="15.75" customHeight="1">
      <c r="A22" s="4">
        <v>2016.0</v>
      </c>
      <c r="B22" s="4">
        <v>173.0</v>
      </c>
      <c r="C22" s="4">
        <v>12.77</v>
      </c>
      <c r="D22" s="4">
        <v>29.62</v>
      </c>
      <c r="E22" s="4">
        <f t="shared" si="1"/>
        <v>1</v>
      </c>
      <c r="F22" s="4">
        <f t="shared" si="2"/>
        <v>0</v>
      </c>
      <c r="G22" s="4">
        <f t="shared" si="3"/>
        <v>44.7565</v>
      </c>
      <c r="H22" s="4">
        <f t="shared" si="4"/>
        <v>42.69785</v>
      </c>
      <c r="I22" s="4" t="str">
        <f t="shared" si="5"/>
        <v> </v>
      </c>
      <c r="J22" s="4">
        <v>0.4</v>
      </c>
      <c r="K22" s="4">
        <v>22.43</v>
      </c>
      <c r="L22" s="4">
        <f t="shared" si="6"/>
        <v>8</v>
      </c>
      <c r="M22" s="4">
        <f t="shared" si="7"/>
        <v>1</v>
      </c>
      <c r="N22" s="4">
        <f t="shared" si="8"/>
        <v>3.43446</v>
      </c>
      <c r="O22" s="4">
        <f t="shared" si="9"/>
        <v>0.4</v>
      </c>
      <c r="P22" s="4">
        <f t="shared" si="10"/>
        <v>22.43</v>
      </c>
    </row>
    <row r="23" ht="15.75" customHeight="1">
      <c r="A23" s="4">
        <v>2016.0</v>
      </c>
      <c r="B23" s="4">
        <v>174.0</v>
      </c>
      <c r="C23" s="4">
        <v>17.04</v>
      </c>
      <c r="D23" s="4">
        <v>24.73</v>
      </c>
      <c r="E23" s="4">
        <f t="shared" si="1"/>
        <v>1</v>
      </c>
      <c r="F23" s="4">
        <f t="shared" si="2"/>
        <v>0</v>
      </c>
      <c r="G23" s="4">
        <f t="shared" si="3"/>
        <v>44.5868</v>
      </c>
      <c r="H23" s="4">
        <f t="shared" si="4"/>
        <v>39.842</v>
      </c>
      <c r="I23" s="4" t="str">
        <f t="shared" si="5"/>
        <v> </v>
      </c>
      <c r="J23" s="4">
        <v>1.9</v>
      </c>
      <c r="K23" s="4">
        <v>20.96</v>
      </c>
      <c r="L23" s="4">
        <f t="shared" si="6"/>
        <v>8</v>
      </c>
      <c r="M23" s="4">
        <f t="shared" si="7"/>
        <v>0</v>
      </c>
      <c r="N23" s="4">
        <f t="shared" si="8"/>
        <v>-5.97594</v>
      </c>
      <c r="O23" s="4">
        <f t="shared" si="9"/>
        <v>1.9</v>
      </c>
      <c r="P23" s="4">
        <f t="shared" si="10"/>
        <v>20.96</v>
      </c>
    </row>
    <row r="24" ht="15.75" customHeight="1">
      <c r="A24" s="4">
        <v>2016.0</v>
      </c>
      <c r="B24" s="4">
        <v>175.0</v>
      </c>
      <c r="C24" s="4">
        <v>14.48</v>
      </c>
      <c r="D24" s="4">
        <v>24.73</v>
      </c>
      <c r="E24" s="4">
        <f t="shared" si="1"/>
        <v>0</v>
      </c>
      <c r="F24" s="4">
        <f t="shared" si="2"/>
        <v>0</v>
      </c>
      <c r="G24" s="4">
        <f t="shared" si="3"/>
        <v>41.2096</v>
      </c>
      <c r="H24" s="4">
        <f t="shared" si="4"/>
        <v>34.93075</v>
      </c>
      <c r="I24" s="4" t="str">
        <f t="shared" si="5"/>
        <v> </v>
      </c>
      <c r="J24" s="4">
        <v>0.0</v>
      </c>
      <c r="K24" s="4">
        <v>19.56</v>
      </c>
      <c r="L24" s="4">
        <f t="shared" si="6"/>
        <v>3</v>
      </c>
      <c r="M24" s="4">
        <f t="shared" si="7"/>
        <v>0</v>
      </c>
      <c r="N24" s="4">
        <f t="shared" si="8"/>
        <v>-5.88122</v>
      </c>
      <c r="O24" s="4">
        <f t="shared" si="9"/>
        <v>0</v>
      </c>
      <c r="P24" s="4">
        <f t="shared" si="10"/>
        <v>19.56</v>
      </c>
    </row>
    <row r="25" ht="15.75" customHeight="1">
      <c r="A25" s="4">
        <v>2016.0</v>
      </c>
      <c r="B25" s="4">
        <v>176.0</v>
      </c>
      <c r="C25" s="4">
        <v>12.25</v>
      </c>
      <c r="D25" s="4">
        <v>26.89</v>
      </c>
      <c r="E25" s="4">
        <f t="shared" si="1"/>
        <v>0</v>
      </c>
      <c r="F25" s="4">
        <f t="shared" si="2"/>
        <v>0</v>
      </c>
      <c r="G25" s="4">
        <f t="shared" si="3"/>
        <v>39.8727</v>
      </c>
      <c r="H25" s="4">
        <f t="shared" si="4"/>
        <v>34.93665</v>
      </c>
      <c r="I25" s="4" t="str">
        <f t="shared" si="5"/>
        <v> </v>
      </c>
      <c r="J25" s="4">
        <v>0.0</v>
      </c>
      <c r="K25" s="4">
        <v>20.41</v>
      </c>
      <c r="L25" s="4">
        <f t="shared" si="6"/>
        <v>3</v>
      </c>
      <c r="M25" s="4">
        <f t="shared" si="7"/>
        <v>0</v>
      </c>
      <c r="N25" s="4">
        <f t="shared" si="8"/>
        <v>-8.22474</v>
      </c>
      <c r="O25" s="4">
        <f t="shared" si="9"/>
        <v>0</v>
      </c>
      <c r="P25" s="4">
        <f t="shared" si="10"/>
        <v>20.41</v>
      </c>
    </row>
    <row r="26" ht="15.75" customHeight="1">
      <c r="A26" s="4">
        <v>2016.0</v>
      </c>
      <c r="B26" s="4">
        <v>177.0</v>
      </c>
      <c r="C26" s="4">
        <v>18.5</v>
      </c>
      <c r="D26" s="4">
        <v>28.88</v>
      </c>
      <c r="E26" s="4">
        <f t="shared" si="1"/>
        <v>0</v>
      </c>
      <c r="F26" s="4">
        <f t="shared" si="2"/>
        <v>0</v>
      </c>
      <c r="G26" s="4">
        <f t="shared" si="3"/>
        <v>45.0472</v>
      </c>
      <c r="H26" s="4">
        <f t="shared" si="4"/>
        <v>38.91075</v>
      </c>
      <c r="I26" s="4" t="str">
        <f t="shared" si="5"/>
        <v> </v>
      </c>
      <c r="J26" s="4">
        <v>0.0</v>
      </c>
      <c r="K26" s="4">
        <v>23.56</v>
      </c>
      <c r="L26" s="4">
        <f t="shared" si="6"/>
        <v>3</v>
      </c>
      <c r="M26" s="4">
        <f t="shared" si="7"/>
        <v>0</v>
      </c>
      <c r="N26" s="4">
        <f t="shared" si="8"/>
        <v>-8.27204</v>
      </c>
      <c r="O26" s="4">
        <f t="shared" si="9"/>
        <v>0</v>
      </c>
      <c r="P26" s="4">
        <f t="shared" si="10"/>
        <v>23.56</v>
      </c>
    </row>
    <row r="27" ht="15.75" customHeight="1">
      <c r="A27" s="4">
        <v>2016.0</v>
      </c>
      <c r="B27" s="4">
        <v>178.0</v>
      </c>
      <c r="C27" s="4">
        <v>18.31</v>
      </c>
      <c r="D27" s="4">
        <v>31.4</v>
      </c>
      <c r="E27" s="4">
        <f t="shared" si="1"/>
        <v>0</v>
      </c>
      <c r="F27" s="4">
        <f t="shared" si="2"/>
        <v>0</v>
      </c>
      <c r="G27" s="4">
        <f t="shared" si="3"/>
        <v>46.2354</v>
      </c>
      <c r="H27" s="4">
        <f t="shared" si="4"/>
        <v>41.2724</v>
      </c>
      <c r="I27" s="4" t="str">
        <f t="shared" si="5"/>
        <v> </v>
      </c>
      <c r="J27" s="4">
        <v>0.0</v>
      </c>
      <c r="K27" s="4">
        <v>25.73</v>
      </c>
      <c r="L27" s="4">
        <f t="shared" si="6"/>
        <v>3</v>
      </c>
      <c r="M27" s="4">
        <f t="shared" si="7"/>
        <v>0</v>
      </c>
      <c r="N27" s="4">
        <f t="shared" si="8"/>
        <v>-7.22908</v>
      </c>
      <c r="O27" s="4">
        <f t="shared" si="9"/>
        <v>0</v>
      </c>
      <c r="P27" s="4">
        <f t="shared" si="10"/>
        <v>25.73</v>
      </c>
    </row>
    <row r="28" ht="15.75" customHeight="1">
      <c r="A28" s="4">
        <v>2016.0</v>
      </c>
      <c r="B28" s="4">
        <v>179.0</v>
      </c>
      <c r="C28" s="4">
        <v>19.27</v>
      </c>
      <c r="D28" s="4">
        <v>29.69</v>
      </c>
      <c r="E28" s="4">
        <f t="shared" si="1"/>
        <v>0</v>
      </c>
      <c r="F28" s="4">
        <f t="shared" si="2"/>
        <v>0</v>
      </c>
      <c r="G28" s="4">
        <f t="shared" si="3"/>
        <v>47.5148</v>
      </c>
      <c r="H28" s="4">
        <f t="shared" si="4"/>
        <v>41.5919</v>
      </c>
      <c r="I28" s="4" t="str">
        <f t="shared" si="5"/>
        <v> </v>
      </c>
      <c r="J28" s="4">
        <v>0.0</v>
      </c>
      <c r="K28" s="4">
        <v>24.68</v>
      </c>
      <c r="L28" s="4">
        <f t="shared" si="6"/>
        <v>3</v>
      </c>
      <c r="M28" s="4">
        <f t="shared" si="7"/>
        <v>0</v>
      </c>
      <c r="N28" s="4">
        <f t="shared" si="8"/>
        <v>-2.58485</v>
      </c>
      <c r="O28" s="4">
        <f t="shared" si="9"/>
        <v>0</v>
      </c>
      <c r="P28" s="4">
        <f t="shared" si="10"/>
        <v>24.68</v>
      </c>
    </row>
    <row r="29" ht="15.75" customHeight="1">
      <c r="A29" s="4">
        <v>2016.0</v>
      </c>
      <c r="B29" s="4">
        <v>180.0</v>
      </c>
      <c r="C29" s="4">
        <v>13.31</v>
      </c>
      <c r="D29" s="4">
        <v>24.56</v>
      </c>
      <c r="E29" s="4">
        <f t="shared" si="1"/>
        <v>1</v>
      </c>
      <c r="F29" s="4">
        <f t="shared" si="2"/>
        <v>0</v>
      </c>
      <c r="G29" s="4">
        <f t="shared" si="3"/>
        <v>43.7622</v>
      </c>
      <c r="H29" s="4">
        <f t="shared" si="4"/>
        <v>39.88955</v>
      </c>
      <c r="I29" s="4" t="str">
        <f t="shared" si="5"/>
        <v> </v>
      </c>
      <c r="J29" s="4">
        <v>0.2</v>
      </c>
      <c r="K29" s="4">
        <v>19.34</v>
      </c>
      <c r="L29" s="4">
        <f t="shared" si="6"/>
        <v>8</v>
      </c>
      <c r="M29" s="4">
        <f t="shared" si="7"/>
        <v>0</v>
      </c>
      <c r="N29" s="4">
        <f t="shared" si="8"/>
        <v>-3.87465</v>
      </c>
      <c r="O29" s="4">
        <f t="shared" si="9"/>
        <v>0.2</v>
      </c>
      <c r="P29" s="4">
        <f t="shared" si="10"/>
        <v>19.34</v>
      </c>
    </row>
    <row r="30" ht="15.75" customHeight="1">
      <c r="A30" s="4">
        <v>2016.0</v>
      </c>
      <c r="B30" s="4">
        <v>181.0</v>
      </c>
      <c r="C30" s="4">
        <v>9.98</v>
      </c>
      <c r="D30" s="4">
        <v>27.44</v>
      </c>
      <c r="E30" s="4">
        <f t="shared" si="1"/>
        <v>0</v>
      </c>
      <c r="F30" s="4">
        <f t="shared" si="2"/>
        <v>0</v>
      </c>
      <c r="G30" s="4">
        <f t="shared" si="3"/>
        <v>44.5411</v>
      </c>
      <c r="H30" s="4">
        <f t="shared" si="4"/>
        <v>40.01845</v>
      </c>
      <c r="I30" s="4" t="str">
        <f t="shared" si="5"/>
        <v> </v>
      </c>
      <c r="J30" s="4">
        <v>0.0</v>
      </c>
      <c r="K30" s="4">
        <v>19.19</v>
      </c>
      <c r="L30" s="4">
        <f t="shared" si="6"/>
        <v>3</v>
      </c>
      <c r="M30" s="4">
        <f t="shared" si="7"/>
        <v>0</v>
      </c>
      <c r="N30" s="4">
        <f t="shared" si="8"/>
        <v>-11.00271</v>
      </c>
      <c r="O30" s="4">
        <f t="shared" si="9"/>
        <v>0</v>
      </c>
      <c r="P30" s="4">
        <f t="shared" si="10"/>
        <v>19.19</v>
      </c>
    </row>
    <row r="31" ht="15.75" customHeight="1">
      <c r="A31" s="4">
        <v>2016.0</v>
      </c>
      <c r="B31" s="4">
        <v>182.0</v>
      </c>
      <c r="C31" s="4">
        <v>15.38</v>
      </c>
      <c r="D31" s="4">
        <v>28.05</v>
      </c>
      <c r="E31" s="4">
        <f t="shared" si="1"/>
        <v>0</v>
      </c>
      <c r="F31" s="4">
        <f t="shared" si="2"/>
        <v>0</v>
      </c>
      <c r="G31" s="4">
        <f t="shared" si="3"/>
        <v>48.3224</v>
      </c>
      <c r="H31" s="4">
        <f t="shared" si="4"/>
        <v>43.95755</v>
      </c>
      <c r="I31" s="4" t="str">
        <f t="shared" si="5"/>
        <v> </v>
      </c>
      <c r="J31" s="4">
        <v>0.0</v>
      </c>
      <c r="K31" s="4">
        <v>21.42</v>
      </c>
      <c r="L31" s="4">
        <f t="shared" si="6"/>
        <v>3</v>
      </c>
      <c r="M31" s="4">
        <f t="shared" si="7"/>
        <v>0</v>
      </c>
      <c r="N31" s="4">
        <f t="shared" si="8"/>
        <v>-9.86184</v>
      </c>
      <c r="O31" s="4">
        <f t="shared" si="9"/>
        <v>0</v>
      </c>
      <c r="P31" s="4">
        <f t="shared" si="10"/>
        <v>21.42</v>
      </c>
    </row>
    <row r="32" ht="15.75" customHeight="1">
      <c r="A32" s="4">
        <v>2016.0</v>
      </c>
      <c r="B32" s="4">
        <v>183.0</v>
      </c>
      <c r="C32" s="4">
        <v>12.81</v>
      </c>
      <c r="D32" s="4">
        <v>30.46</v>
      </c>
      <c r="E32" s="4">
        <f t="shared" si="1"/>
        <v>0</v>
      </c>
      <c r="F32" s="4">
        <f t="shared" si="2"/>
        <v>0</v>
      </c>
      <c r="G32" s="4">
        <f t="shared" si="3"/>
        <v>43.2722</v>
      </c>
      <c r="H32" s="4">
        <f t="shared" si="4"/>
        <v>40.95705</v>
      </c>
      <c r="I32" s="4" t="str">
        <f t="shared" si="5"/>
        <v> </v>
      </c>
      <c r="J32" s="4">
        <v>0.0</v>
      </c>
      <c r="K32" s="4">
        <v>22.01</v>
      </c>
      <c r="L32" s="4">
        <f t="shared" si="6"/>
        <v>3</v>
      </c>
      <c r="M32" s="4">
        <f t="shared" si="7"/>
        <v>0</v>
      </c>
      <c r="N32" s="4">
        <f t="shared" si="8"/>
        <v>-6.28144</v>
      </c>
      <c r="O32" s="4">
        <f t="shared" si="9"/>
        <v>0</v>
      </c>
      <c r="P32" s="4">
        <f t="shared" si="10"/>
        <v>22.01</v>
      </c>
    </row>
    <row r="33" ht="15.75" customHeight="1">
      <c r="A33" s="4">
        <v>2016.0</v>
      </c>
      <c r="B33" s="4">
        <v>184.0</v>
      </c>
      <c r="C33" s="4">
        <v>14.75</v>
      </c>
      <c r="D33" s="4">
        <v>30.01</v>
      </c>
      <c r="E33" s="4">
        <f t="shared" si="1"/>
        <v>0</v>
      </c>
      <c r="F33" s="4">
        <f t="shared" si="2"/>
        <v>0</v>
      </c>
      <c r="G33" s="4">
        <f t="shared" si="3"/>
        <v>44.2654</v>
      </c>
      <c r="H33" s="4">
        <f t="shared" si="4"/>
        <v>44.23025</v>
      </c>
      <c r="I33" s="4" t="str">
        <f t="shared" si="5"/>
        <v> </v>
      </c>
      <c r="J33" s="4">
        <v>0.0</v>
      </c>
      <c r="K33" s="4">
        <v>21.57</v>
      </c>
      <c r="L33" s="4">
        <f t="shared" si="6"/>
        <v>3</v>
      </c>
      <c r="M33" s="4">
        <f t="shared" si="7"/>
        <v>1</v>
      </c>
      <c r="N33" s="4">
        <f t="shared" si="8"/>
        <v>2.56314</v>
      </c>
      <c r="O33" s="4">
        <f t="shared" si="9"/>
        <v>0</v>
      </c>
      <c r="P33" s="4">
        <f t="shared" si="10"/>
        <v>21.57</v>
      </c>
    </row>
    <row r="34" ht="15.75" customHeight="1">
      <c r="A34" s="4">
        <v>2016.0</v>
      </c>
      <c r="B34" s="4">
        <v>185.0</v>
      </c>
      <c r="C34" s="4">
        <v>14.61</v>
      </c>
      <c r="D34" s="4">
        <v>30.96</v>
      </c>
      <c r="E34" s="4">
        <f t="shared" si="1"/>
        <v>1</v>
      </c>
      <c r="F34" s="4">
        <f t="shared" si="2"/>
        <v>1</v>
      </c>
      <c r="G34" s="4">
        <f t="shared" si="3"/>
        <v>44.5742</v>
      </c>
      <c r="H34" s="4">
        <f t="shared" si="4"/>
        <v>45.7263</v>
      </c>
      <c r="I34" s="4">
        <f t="shared" si="5"/>
        <v>1.1521</v>
      </c>
      <c r="J34" s="4">
        <v>0.3</v>
      </c>
      <c r="K34" s="4">
        <v>22.24</v>
      </c>
      <c r="L34" s="4">
        <f t="shared" si="6"/>
        <v>8</v>
      </c>
      <c r="M34" s="4">
        <f t="shared" si="7"/>
        <v>1</v>
      </c>
      <c r="N34" s="4">
        <f t="shared" si="8"/>
        <v>5.50357</v>
      </c>
      <c r="O34" s="4">
        <f t="shared" si="9"/>
        <v>0.3</v>
      </c>
      <c r="P34" s="4">
        <f t="shared" si="10"/>
        <v>22.24</v>
      </c>
    </row>
    <row r="35" ht="15.75" customHeight="1">
      <c r="A35" s="4">
        <v>2016.0</v>
      </c>
      <c r="B35" s="4">
        <v>186.0</v>
      </c>
      <c r="C35" s="4">
        <v>13.77</v>
      </c>
      <c r="D35" s="4">
        <v>29.61</v>
      </c>
      <c r="E35" s="4">
        <f t="shared" si="1"/>
        <v>1</v>
      </c>
      <c r="F35" s="4">
        <f t="shared" si="2"/>
        <v>1</v>
      </c>
      <c r="G35" s="4">
        <f t="shared" si="3"/>
        <v>36.8562</v>
      </c>
      <c r="H35" s="4">
        <f t="shared" si="4"/>
        <v>38.61115</v>
      </c>
      <c r="I35" s="4">
        <f t="shared" si="5"/>
        <v>1.75495</v>
      </c>
      <c r="J35" s="4">
        <v>0.1</v>
      </c>
      <c r="K35" s="4">
        <v>21.73</v>
      </c>
      <c r="L35" s="4">
        <f t="shared" si="6"/>
        <v>8</v>
      </c>
      <c r="M35" s="4">
        <f t="shared" si="7"/>
        <v>1</v>
      </c>
      <c r="N35" s="4">
        <f t="shared" si="8"/>
        <v>8.00636</v>
      </c>
      <c r="O35" s="4">
        <f t="shared" si="9"/>
        <v>0.1</v>
      </c>
      <c r="P35" s="4">
        <f t="shared" si="10"/>
        <v>21.73</v>
      </c>
    </row>
    <row r="36" ht="15.75" customHeight="1">
      <c r="A36" s="4">
        <v>2016.0</v>
      </c>
      <c r="B36" s="4">
        <v>187.0</v>
      </c>
      <c r="C36" s="4">
        <v>10.51</v>
      </c>
      <c r="D36" s="4">
        <v>19.19</v>
      </c>
      <c r="E36" s="4">
        <f t="shared" si="1"/>
        <v>1</v>
      </c>
      <c r="F36" s="4">
        <f t="shared" si="2"/>
        <v>1</v>
      </c>
      <c r="G36" s="4">
        <f t="shared" si="3"/>
        <v>31.4102</v>
      </c>
      <c r="H36" s="4">
        <f t="shared" si="4"/>
        <v>33.0933</v>
      </c>
      <c r="I36" s="4">
        <f t="shared" si="5"/>
        <v>1.6831</v>
      </c>
      <c r="J36" s="4">
        <v>0.1</v>
      </c>
      <c r="K36" s="4">
        <v>14.84</v>
      </c>
      <c r="L36" s="4">
        <f t="shared" si="6"/>
        <v>8</v>
      </c>
      <c r="M36" s="4">
        <f t="shared" si="7"/>
        <v>1</v>
      </c>
      <c r="N36" s="4">
        <f t="shared" si="8"/>
        <v>10.91269</v>
      </c>
      <c r="O36" s="4">
        <f t="shared" si="9"/>
        <v>0.1</v>
      </c>
      <c r="P36" s="4">
        <f t="shared" si="10"/>
        <v>14.84</v>
      </c>
    </row>
    <row r="37" ht="15.75" customHeight="1">
      <c r="A37" s="4">
        <v>2016.0</v>
      </c>
      <c r="B37" s="4">
        <v>188.0</v>
      </c>
      <c r="C37" s="4">
        <v>10.44</v>
      </c>
      <c r="D37" s="4">
        <v>21.62</v>
      </c>
      <c r="E37" s="4">
        <f t="shared" si="1"/>
        <v>1</v>
      </c>
      <c r="F37" s="4">
        <f t="shared" si="2"/>
        <v>0</v>
      </c>
      <c r="G37" s="4">
        <f t="shared" si="3"/>
        <v>31.1553</v>
      </c>
      <c r="H37" s="4">
        <f t="shared" si="4"/>
        <v>30.6828</v>
      </c>
      <c r="I37" s="4" t="str">
        <f t="shared" si="5"/>
        <v> </v>
      </c>
      <c r="J37" s="4">
        <v>0.1</v>
      </c>
      <c r="K37" s="4">
        <v>16.11</v>
      </c>
      <c r="L37" s="4">
        <f t="shared" si="6"/>
        <v>8</v>
      </c>
      <c r="M37" s="4">
        <f t="shared" si="7"/>
        <v>1</v>
      </c>
      <c r="N37" s="4">
        <f t="shared" si="8"/>
        <v>9.47966</v>
      </c>
      <c r="O37" s="4">
        <f t="shared" si="9"/>
        <v>0.1</v>
      </c>
      <c r="P37" s="4">
        <f t="shared" si="10"/>
        <v>16.11</v>
      </c>
    </row>
    <row r="38" ht="15.75" customHeight="1">
      <c r="A38" s="4">
        <v>2016.0</v>
      </c>
      <c r="B38" s="4">
        <v>189.0</v>
      </c>
      <c r="C38" s="4">
        <v>12.31</v>
      </c>
      <c r="D38" s="4">
        <v>22.07</v>
      </c>
      <c r="E38" s="4">
        <f t="shared" si="1"/>
        <v>1</v>
      </c>
      <c r="F38" s="4">
        <f t="shared" si="2"/>
        <v>0</v>
      </c>
      <c r="G38" s="4">
        <f t="shared" si="3"/>
        <v>30.9943</v>
      </c>
      <c r="H38" s="4">
        <f t="shared" si="4"/>
        <v>30.2146</v>
      </c>
      <c r="I38" s="4" t="str">
        <f t="shared" si="5"/>
        <v> </v>
      </c>
      <c r="J38" s="4">
        <v>4.6</v>
      </c>
      <c r="K38" s="4">
        <v>16.52</v>
      </c>
      <c r="L38" s="4">
        <f t="shared" si="6"/>
        <v>8</v>
      </c>
      <c r="M38" s="4">
        <f t="shared" si="7"/>
        <v>1</v>
      </c>
      <c r="N38" s="4">
        <f t="shared" si="8"/>
        <v>6.42513</v>
      </c>
      <c r="O38" s="4">
        <f t="shared" si="9"/>
        <v>4.6</v>
      </c>
      <c r="P38" s="4">
        <f t="shared" si="10"/>
        <v>16.52</v>
      </c>
    </row>
    <row r="39" ht="15.75" customHeight="1">
      <c r="A39" s="4">
        <v>2016.0</v>
      </c>
      <c r="B39" s="4">
        <v>190.0</v>
      </c>
      <c r="C39" s="4">
        <v>10.58</v>
      </c>
      <c r="D39" s="4">
        <v>17.16</v>
      </c>
      <c r="E39" s="4">
        <f t="shared" si="1"/>
        <v>1</v>
      </c>
      <c r="F39" s="4">
        <f t="shared" si="2"/>
        <v>0</v>
      </c>
      <c r="G39" s="4">
        <f t="shared" si="3"/>
        <v>29.859</v>
      </c>
      <c r="H39" s="4">
        <f t="shared" si="4"/>
        <v>29.0399</v>
      </c>
      <c r="I39" s="4" t="str">
        <f t="shared" si="5"/>
        <v> </v>
      </c>
      <c r="J39" s="4">
        <v>0.2</v>
      </c>
      <c r="K39" s="4">
        <v>13.6</v>
      </c>
      <c r="L39" s="4">
        <f t="shared" si="6"/>
        <v>8</v>
      </c>
      <c r="M39" s="4">
        <f t="shared" si="7"/>
        <v>0</v>
      </c>
      <c r="N39" s="4">
        <f t="shared" si="8"/>
        <v>-3.85796</v>
      </c>
      <c r="O39" s="4">
        <f t="shared" si="9"/>
        <v>0.2</v>
      </c>
      <c r="P39" s="4">
        <f t="shared" si="10"/>
        <v>13.6</v>
      </c>
    </row>
    <row r="40" ht="15.75" customHeight="1">
      <c r="A40" s="4">
        <v>2016.0</v>
      </c>
      <c r="B40" s="4">
        <v>191.0</v>
      </c>
      <c r="C40" s="4">
        <v>12.28</v>
      </c>
      <c r="D40" s="4">
        <v>23.11</v>
      </c>
      <c r="E40" s="4">
        <f t="shared" si="1"/>
        <v>0</v>
      </c>
      <c r="F40" s="4">
        <f t="shared" si="2"/>
        <v>0</v>
      </c>
      <c r="G40" s="4">
        <f t="shared" si="3"/>
        <v>35.6534</v>
      </c>
      <c r="H40" s="4">
        <f t="shared" si="4"/>
        <v>32.61485</v>
      </c>
      <c r="I40" s="4" t="str">
        <f t="shared" si="5"/>
        <v> </v>
      </c>
      <c r="J40" s="4">
        <v>0.0</v>
      </c>
      <c r="K40" s="4">
        <v>16.9</v>
      </c>
      <c r="L40" s="4">
        <f t="shared" si="6"/>
        <v>3</v>
      </c>
      <c r="M40" s="4">
        <f t="shared" si="7"/>
        <v>0</v>
      </c>
      <c r="N40" s="4">
        <f t="shared" si="8"/>
        <v>-6.72006</v>
      </c>
      <c r="O40" s="4">
        <f t="shared" si="9"/>
        <v>0</v>
      </c>
      <c r="P40" s="4">
        <f t="shared" si="10"/>
        <v>16.9</v>
      </c>
    </row>
    <row r="41" ht="15.75" customHeight="1">
      <c r="A41" s="4">
        <v>2016.0</v>
      </c>
      <c r="B41" s="4">
        <v>192.0</v>
      </c>
      <c r="C41" s="4">
        <v>11.18</v>
      </c>
      <c r="D41" s="4">
        <v>22.73</v>
      </c>
      <c r="E41" s="4">
        <f t="shared" si="1"/>
        <v>0</v>
      </c>
      <c r="F41" s="4">
        <f t="shared" si="2"/>
        <v>0</v>
      </c>
      <c r="G41" s="4">
        <f t="shared" si="3"/>
        <v>37.2131</v>
      </c>
      <c r="H41" s="4">
        <f t="shared" si="4"/>
        <v>35.2297</v>
      </c>
      <c r="I41" s="4" t="str">
        <f t="shared" si="5"/>
        <v> </v>
      </c>
      <c r="J41" s="4">
        <v>0.0</v>
      </c>
      <c r="K41" s="4">
        <v>17.3</v>
      </c>
      <c r="L41" s="4">
        <f t="shared" si="6"/>
        <v>3</v>
      </c>
      <c r="M41" s="4">
        <f t="shared" si="7"/>
        <v>0</v>
      </c>
      <c r="N41" s="4">
        <f t="shared" si="8"/>
        <v>-2.29998</v>
      </c>
      <c r="O41" s="4">
        <f t="shared" si="9"/>
        <v>0</v>
      </c>
      <c r="P41" s="4">
        <f t="shared" si="10"/>
        <v>17.3</v>
      </c>
    </row>
    <row r="42" ht="15.75" customHeight="1">
      <c r="A42" s="4">
        <v>2016.0</v>
      </c>
      <c r="B42" s="4">
        <v>193.0</v>
      </c>
      <c r="C42" s="4">
        <v>14.1</v>
      </c>
      <c r="D42" s="4">
        <v>23.79</v>
      </c>
      <c r="E42" s="4">
        <f t="shared" si="1"/>
        <v>0</v>
      </c>
      <c r="F42" s="4">
        <f t="shared" si="2"/>
        <v>0</v>
      </c>
      <c r="G42" s="4">
        <f t="shared" si="3"/>
        <v>45.3109</v>
      </c>
      <c r="H42" s="4">
        <f t="shared" si="4"/>
        <v>42.6068</v>
      </c>
      <c r="I42" s="4" t="str">
        <f t="shared" si="5"/>
        <v> </v>
      </c>
      <c r="J42" s="4">
        <v>0.0</v>
      </c>
      <c r="K42" s="4">
        <v>18.26</v>
      </c>
      <c r="L42" s="4">
        <f t="shared" si="6"/>
        <v>3</v>
      </c>
      <c r="M42" s="4">
        <f t="shared" si="7"/>
        <v>1</v>
      </c>
      <c r="N42" s="4">
        <f t="shared" si="8"/>
        <v>7.13962</v>
      </c>
      <c r="O42" s="4">
        <f t="shared" si="9"/>
        <v>0</v>
      </c>
      <c r="P42" s="4">
        <f t="shared" si="10"/>
        <v>18.26</v>
      </c>
    </row>
    <row r="43" ht="15.75" customHeight="1">
      <c r="A43" s="4">
        <v>2016.0</v>
      </c>
      <c r="B43" s="4">
        <v>194.0</v>
      </c>
      <c r="C43" s="4">
        <v>15.31</v>
      </c>
      <c r="D43" s="4">
        <v>26.09</v>
      </c>
      <c r="E43" s="4">
        <f t="shared" si="1"/>
        <v>1</v>
      </c>
      <c r="F43" s="4">
        <f t="shared" si="2"/>
        <v>0</v>
      </c>
      <c r="G43" s="4">
        <f t="shared" si="3"/>
        <v>46.4293</v>
      </c>
      <c r="H43" s="4">
        <f t="shared" si="4"/>
        <v>45.2138</v>
      </c>
      <c r="I43" s="4" t="str">
        <f t="shared" si="5"/>
        <v> </v>
      </c>
      <c r="J43" s="4">
        <v>0.1</v>
      </c>
      <c r="K43" s="4">
        <v>20.57</v>
      </c>
      <c r="L43" s="4">
        <f t="shared" si="6"/>
        <v>8</v>
      </c>
      <c r="M43" s="4">
        <f t="shared" si="7"/>
        <v>1</v>
      </c>
      <c r="N43" s="4">
        <f t="shared" si="8"/>
        <v>8.44658</v>
      </c>
      <c r="O43" s="4">
        <f t="shared" si="9"/>
        <v>0.1</v>
      </c>
      <c r="P43" s="4">
        <f t="shared" si="10"/>
        <v>20.57</v>
      </c>
    </row>
    <row r="44" ht="15.75" customHeight="1">
      <c r="A44" s="4">
        <v>2016.0</v>
      </c>
      <c r="B44" s="4">
        <v>195.0</v>
      </c>
      <c r="C44" s="4">
        <v>17.3</v>
      </c>
      <c r="D44" s="4">
        <v>27.86</v>
      </c>
      <c r="E44" s="4">
        <f t="shared" si="1"/>
        <v>1</v>
      </c>
      <c r="F44" s="4">
        <f t="shared" si="2"/>
        <v>0</v>
      </c>
      <c r="G44" s="4">
        <f t="shared" si="3"/>
        <v>48.7721</v>
      </c>
      <c r="H44" s="4">
        <f t="shared" si="4"/>
        <v>45.7036</v>
      </c>
      <c r="I44" s="4" t="str">
        <f t="shared" si="5"/>
        <v> </v>
      </c>
      <c r="J44" s="4">
        <v>9.5</v>
      </c>
      <c r="K44" s="4">
        <v>22.42</v>
      </c>
      <c r="L44" s="4">
        <f t="shared" si="6"/>
        <v>8</v>
      </c>
      <c r="M44" s="4">
        <f t="shared" si="7"/>
        <v>1</v>
      </c>
      <c r="N44" s="4">
        <f t="shared" si="8"/>
        <v>2.28732</v>
      </c>
      <c r="O44" s="4">
        <f t="shared" si="9"/>
        <v>9.5</v>
      </c>
      <c r="P44" s="4">
        <f t="shared" si="10"/>
        <v>22.42</v>
      </c>
    </row>
    <row r="45" ht="15.75" customHeight="1">
      <c r="A45" s="4">
        <v>2016.0</v>
      </c>
      <c r="B45" s="4">
        <v>196.0</v>
      </c>
      <c r="C45" s="4">
        <v>15.24</v>
      </c>
      <c r="D45" s="4">
        <v>26.02</v>
      </c>
      <c r="E45" s="4">
        <f t="shared" si="1"/>
        <v>1</v>
      </c>
      <c r="F45" s="4">
        <f t="shared" si="2"/>
        <v>0</v>
      </c>
      <c r="G45" s="4">
        <f t="shared" si="3"/>
        <v>45.1694</v>
      </c>
      <c r="H45" s="4">
        <f t="shared" si="4"/>
        <v>43.1509</v>
      </c>
      <c r="I45" s="4" t="str">
        <f t="shared" si="5"/>
        <v> </v>
      </c>
      <c r="J45" s="4">
        <v>3.0</v>
      </c>
      <c r="K45" s="4">
        <v>19.45</v>
      </c>
      <c r="L45" s="4">
        <f t="shared" si="6"/>
        <v>8</v>
      </c>
      <c r="M45" s="4">
        <f t="shared" si="7"/>
        <v>0</v>
      </c>
      <c r="N45" s="4">
        <f t="shared" si="8"/>
        <v>-5.76185</v>
      </c>
      <c r="O45" s="4">
        <f t="shared" si="9"/>
        <v>3</v>
      </c>
      <c r="P45" s="4">
        <f t="shared" si="10"/>
        <v>19.45</v>
      </c>
    </row>
    <row r="46" ht="15.75" customHeight="1">
      <c r="A46" s="4">
        <v>2016.0</v>
      </c>
      <c r="B46" s="4">
        <v>197.0</v>
      </c>
      <c r="C46" s="4">
        <v>13.28</v>
      </c>
      <c r="D46" s="4">
        <v>31.9</v>
      </c>
      <c r="E46" s="4">
        <f t="shared" si="1"/>
        <v>0</v>
      </c>
      <c r="F46" s="4">
        <f t="shared" si="2"/>
        <v>0</v>
      </c>
      <c r="G46" s="4">
        <f t="shared" si="3"/>
        <v>47.0073</v>
      </c>
      <c r="H46" s="4">
        <f t="shared" si="4"/>
        <v>42.8212</v>
      </c>
      <c r="I46" s="4" t="str">
        <f t="shared" si="5"/>
        <v> </v>
      </c>
      <c r="J46" s="4">
        <v>0.0</v>
      </c>
      <c r="K46" s="4">
        <v>22.78</v>
      </c>
      <c r="L46" s="4">
        <f t="shared" si="6"/>
        <v>3</v>
      </c>
      <c r="M46" s="4">
        <f t="shared" si="7"/>
        <v>0</v>
      </c>
      <c r="N46" s="4">
        <f t="shared" si="8"/>
        <v>-11.99792</v>
      </c>
      <c r="O46" s="4">
        <f t="shared" si="9"/>
        <v>0</v>
      </c>
      <c r="P46" s="4">
        <f t="shared" si="10"/>
        <v>22.78</v>
      </c>
    </row>
    <row r="47" ht="15.75" customHeight="1">
      <c r="A47" s="4">
        <v>2016.0</v>
      </c>
      <c r="B47" s="4">
        <v>198.0</v>
      </c>
      <c r="C47" s="4">
        <v>14.9</v>
      </c>
      <c r="D47" s="4">
        <v>26.89</v>
      </c>
      <c r="E47" s="4">
        <f t="shared" si="1"/>
        <v>0</v>
      </c>
      <c r="F47" s="4">
        <f t="shared" si="2"/>
        <v>0</v>
      </c>
      <c r="G47" s="4">
        <f t="shared" si="3"/>
        <v>43.8079</v>
      </c>
      <c r="H47" s="4">
        <f t="shared" si="4"/>
        <v>41.358</v>
      </c>
      <c r="I47" s="4" t="str">
        <f t="shared" si="5"/>
        <v> </v>
      </c>
      <c r="J47" s="4">
        <v>0.0</v>
      </c>
      <c r="K47" s="4">
        <v>22.04</v>
      </c>
      <c r="L47" s="4">
        <f t="shared" si="6"/>
        <v>3</v>
      </c>
      <c r="M47" s="4">
        <f t="shared" si="7"/>
        <v>0</v>
      </c>
      <c r="N47" s="4">
        <f t="shared" si="8"/>
        <v>-3.47344</v>
      </c>
      <c r="O47" s="4">
        <f t="shared" si="9"/>
        <v>0</v>
      </c>
      <c r="P47" s="4">
        <f t="shared" si="10"/>
        <v>22.04</v>
      </c>
    </row>
    <row r="48" ht="15.75" customHeight="1">
      <c r="A48" s="4">
        <v>2016.0</v>
      </c>
      <c r="B48" s="4">
        <v>199.0</v>
      </c>
      <c r="C48" s="4">
        <v>11.98</v>
      </c>
      <c r="D48" s="4">
        <v>29.01</v>
      </c>
      <c r="E48" s="4">
        <f t="shared" si="1"/>
        <v>0</v>
      </c>
      <c r="F48" s="4">
        <f t="shared" si="2"/>
        <v>0</v>
      </c>
      <c r="G48" s="4">
        <f t="shared" si="3"/>
        <v>42.6206</v>
      </c>
      <c r="H48" s="4">
        <f t="shared" si="4"/>
        <v>41.7129</v>
      </c>
      <c r="I48" s="4" t="str">
        <f t="shared" si="5"/>
        <v> </v>
      </c>
      <c r="J48" s="4">
        <v>0.0</v>
      </c>
      <c r="K48" s="4">
        <v>20.88</v>
      </c>
      <c r="L48" s="4">
        <f t="shared" si="6"/>
        <v>3</v>
      </c>
      <c r="M48" s="4">
        <f t="shared" si="7"/>
        <v>1</v>
      </c>
      <c r="N48" s="4">
        <f t="shared" si="8"/>
        <v>5.34435</v>
      </c>
      <c r="O48" s="4">
        <f t="shared" si="9"/>
        <v>0</v>
      </c>
      <c r="P48" s="4">
        <f t="shared" si="10"/>
        <v>20.88</v>
      </c>
    </row>
    <row r="49" ht="15.75" customHeight="1">
      <c r="A49" s="4">
        <v>2016.0</v>
      </c>
      <c r="B49" s="4">
        <v>200.0</v>
      </c>
      <c r="C49" s="4">
        <v>16.2</v>
      </c>
      <c r="D49" s="4">
        <v>27.89</v>
      </c>
      <c r="E49" s="4">
        <f t="shared" si="1"/>
        <v>1</v>
      </c>
      <c r="F49" s="4">
        <f t="shared" si="2"/>
        <v>1</v>
      </c>
      <c r="G49" s="4">
        <f t="shared" si="3"/>
        <v>44.0518</v>
      </c>
      <c r="H49" s="4">
        <f t="shared" si="4"/>
        <v>45.44465</v>
      </c>
      <c r="I49" s="4">
        <f t="shared" si="5"/>
        <v>1.39285</v>
      </c>
      <c r="J49" s="4">
        <v>25.8</v>
      </c>
      <c r="K49" s="4">
        <v>20.18</v>
      </c>
      <c r="L49" s="4">
        <f t="shared" si="6"/>
        <v>8</v>
      </c>
      <c r="M49" s="4">
        <f t="shared" si="7"/>
        <v>1</v>
      </c>
      <c r="N49" s="4">
        <f t="shared" si="8"/>
        <v>9.16997</v>
      </c>
      <c r="O49" s="4">
        <f t="shared" si="9"/>
        <v>25.8</v>
      </c>
      <c r="P49" s="4">
        <f t="shared" si="10"/>
        <v>20.18</v>
      </c>
    </row>
    <row r="50" ht="15.75" customHeight="1">
      <c r="A50" s="4">
        <v>2016.0</v>
      </c>
      <c r="B50" s="4">
        <v>201.0</v>
      </c>
      <c r="C50" s="4">
        <v>17.04</v>
      </c>
      <c r="D50" s="4">
        <v>27.86</v>
      </c>
      <c r="E50" s="4">
        <f t="shared" si="1"/>
        <v>1</v>
      </c>
      <c r="F50" s="4">
        <f t="shared" si="2"/>
        <v>1</v>
      </c>
      <c r="G50" s="4">
        <f t="shared" si="3"/>
        <v>45.5883</v>
      </c>
      <c r="H50" s="4">
        <f t="shared" si="4"/>
        <v>47.2392</v>
      </c>
      <c r="I50" s="4">
        <f t="shared" si="5"/>
        <v>1.6509</v>
      </c>
      <c r="J50" s="4">
        <v>23.2</v>
      </c>
      <c r="K50" s="4">
        <v>20.98</v>
      </c>
      <c r="L50" s="4">
        <f t="shared" si="6"/>
        <v>8</v>
      </c>
      <c r="M50" s="4">
        <f t="shared" si="7"/>
        <v>1</v>
      </c>
      <c r="N50" s="4">
        <f t="shared" si="8"/>
        <v>7.87675</v>
      </c>
      <c r="O50" s="4">
        <f t="shared" si="9"/>
        <v>23.2</v>
      </c>
      <c r="P50" s="4">
        <f t="shared" si="10"/>
        <v>20.98</v>
      </c>
    </row>
    <row r="51" ht="15.75" customHeight="1">
      <c r="A51" s="4">
        <v>2016.0</v>
      </c>
      <c r="B51" s="4">
        <v>202.0</v>
      </c>
      <c r="C51" s="4">
        <v>16.8</v>
      </c>
      <c r="D51" s="4">
        <v>25.31</v>
      </c>
      <c r="E51" s="4">
        <f t="shared" si="1"/>
        <v>1</v>
      </c>
      <c r="F51" s="4">
        <f t="shared" si="2"/>
        <v>1</v>
      </c>
      <c r="G51" s="4">
        <f t="shared" si="3"/>
        <v>46.6207</v>
      </c>
      <c r="H51" s="4">
        <f t="shared" si="4"/>
        <v>47.31065</v>
      </c>
      <c r="I51" s="4">
        <f t="shared" si="5"/>
        <v>0.68995</v>
      </c>
      <c r="J51" s="4">
        <v>8.3</v>
      </c>
      <c r="K51" s="4">
        <v>19.72</v>
      </c>
      <c r="L51" s="4">
        <f t="shared" si="6"/>
        <v>8</v>
      </c>
      <c r="M51" s="4">
        <f t="shared" si="7"/>
        <v>1</v>
      </c>
      <c r="N51" s="4">
        <f t="shared" si="8"/>
        <v>8.7276</v>
      </c>
      <c r="O51" s="4">
        <f t="shared" si="9"/>
        <v>8.3</v>
      </c>
      <c r="P51" s="4">
        <f t="shared" si="10"/>
        <v>19.72</v>
      </c>
    </row>
    <row r="52" ht="15.75" customHeight="1">
      <c r="A52" s="4">
        <v>2016.0</v>
      </c>
      <c r="B52" s="4">
        <v>203.0</v>
      </c>
      <c r="C52" s="4">
        <v>13.31</v>
      </c>
      <c r="D52" s="4">
        <v>22.28</v>
      </c>
      <c r="E52" s="4">
        <f t="shared" si="1"/>
        <v>1</v>
      </c>
      <c r="F52" s="4">
        <f t="shared" si="2"/>
        <v>0</v>
      </c>
      <c r="G52" s="4">
        <f t="shared" si="3"/>
        <v>46.0357</v>
      </c>
      <c r="H52" s="4">
        <f t="shared" si="4"/>
        <v>45.589</v>
      </c>
      <c r="I52" s="4" t="str">
        <f t="shared" si="5"/>
        <v> </v>
      </c>
      <c r="J52" s="4">
        <v>0.1</v>
      </c>
      <c r="K52" s="4">
        <v>18.16</v>
      </c>
      <c r="L52" s="4">
        <f t="shared" si="6"/>
        <v>8</v>
      </c>
      <c r="M52" s="4">
        <f t="shared" si="7"/>
        <v>1</v>
      </c>
      <c r="N52" s="4">
        <f t="shared" si="8"/>
        <v>11.74945</v>
      </c>
      <c r="O52" s="4">
        <f t="shared" si="9"/>
        <v>0.1</v>
      </c>
      <c r="P52" s="4">
        <f t="shared" si="10"/>
        <v>18.16</v>
      </c>
    </row>
    <row r="53" ht="15.75" customHeight="1">
      <c r="A53" s="4">
        <v>2016.0</v>
      </c>
      <c r="B53" s="4">
        <v>204.0</v>
      </c>
      <c r="C53" s="4">
        <v>11.98</v>
      </c>
      <c r="D53" s="4">
        <v>22.61</v>
      </c>
      <c r="E53" s="4">
        <f t="shared" si="1"/>
        <v>1</v>
      </c>
      <c r="F53" s="4">
        <f t="shared" si="2"/>
        <v>0</v>
      </c>
      <c r="G53" s="4">
        <f t="shared" si="3"/>
        <v>45.7807</v>
      </c>
      <c r="H53" s="4">
        <f t="shared" si="4"/>
        <v>44.96405</v>
      </c>
      <c r="I53" s="4" t="str">
        <f t="shared" si="5"/>
        <v> </v>
      </c>
      <c r="J53" s="4">
        <v>14.6</v>
      </c>
      <c r="K53" s="4">
        <v>16.86</v>
      </c>
      <c r="L53" s="4">
        <f t="shared" si="6"/>
        <v>8</v>
      </c>
      <c r="M53" s="4">
        <f t="shared" si="7"/>
        <v>1</v>
      </c>
      <c r="N53" s="4">
        <f t="shared" si="8"/>
        <v>9.52846</v>
      </c>
      <c r="O53" s="4">
        <f t="shared" si="9"/>
        <v>14.6</v>
      </c>
      <c r="P53" s="4">
        <f t="shared" si="10"/>
        <v>16.86</v>
      </c>
    </row>
    <row r="54" ht="15.75" customHeight="1">
      <c r="A54" s="4">
        <v>2016.0</v>
      </c>
      <c r="B54" s="4">
        <v>205.0</v>
      </c>
      <c r="C54" s="4">
        <v>16.27</v>
      </c>
      <c r="D54" s="4">
        <v>26.62</v>
      </c>
      <c r="E54" s="4">
        <f t="shared" si="1"/>
        <v>1</v>
      </c>
      <c r="F54" s="4">
        <f t="shared" si="2"/>
        <v>0</v>
      </c>
      <c r="G54" s="4">
        <f t="shared" si="3"/>
        <v>50.6842</v>
      </c>
      <c r="H54" s="4">
        <f t="shared" si="4"/>
        <v>49.67945</v>
      </c>
      <c r="I54" s="4" t="str">
        <f t="shared" si="5"/>
        <v> </v>
      </c>
      <c r="J54" s="4">
        <v>0.1</v>
      </c>
      <c r="K54" s="4">
        <v>20.22</v>
      </c>
      <c r="L54" s="4">
        <f t="shared" si="6"/>
        <v>8</v>
      </c>
      <c r="M54" s="4">
        <f t="shared" si="7"/>
        <v>1</v>
      </c>
      <c r="N54" s="4">
        <f t="shared" si="8"/>
        <v>3.121</v>
      </c>
      <c r="O54" s="4">
        <f t="shared" si="9"/>
        <v>0.1</v>
      </c>
      <c r="P54" s="4">
        <f t="shared" si="10"/>
        <v>20.22</v>
      </c>
    </row>
    <row r="55" ht="15.75" customHeight="1">
      <c r="A55" s="4">
        <v>2016.0</v>
      </c>
      <c r="B55" s="4">
        <v>206.0</v>
      </c>
      <c r="C55" s="4">
        <v>15.84</v>
      </c>
      <c r="D55" s="4">
        <v>29.77</v>
      </c>
      <c r="E55" s="4">
        <f t="shared" si="1"/>
        <v>1</v>
      </c>
      <c r="F55" s="4">
        <f t="shared" si="2"/>
        <v>0</v>
      </c>
      <c r="G55" s="4">
        <f t="shared" si="3"/>
        <v>51.2824</v>
      </c>
      <c r="H55" s="4">
        <f t="shared" si="4"/>
        <v>48.92765</v>
      </c>
      <c r="I55" s="4" t="str">
        <f t="shared" si="5"/>
        <v> </v>
      </c>
      <c r="J55" s="4">
        <v>3.6</v>
      </c>
      <c r="K55" s="4">
        <v>21.4</v>
      </c>
      <c r="L55" s="4">
        <f t="shared" si="6"/>
        <v>8</v>
      </c>
      <c r="M55" s="4">
        <f t="shared" si="7"/>
        <v>0</v>
      </c>
      <c r="N55" s="4">
        <f t="shared" si="8"/>
        <v>-6.86817</v>
      </c>
      <c r="O55" s="4">
        <f t="shared" si="9"/>
        <v>3.6</v>
      </c>
      <c r="P55" s="4">
        <f t="shared" si="10"/>
        <v>21.4</v>
      </c>
    </row>
    <row r="56" ht="15.75" customHeight="1">
      <c r="A56" s="4">
        <v>2016.0</v>
      </c>
      <c r="B56" s="4">
        <v>207.0</v>
      </c>
      <c r="C56" s="4">
        <v>15.41</v>
      </c>
      <c r="D56" s="4">
        <v>31.47</v>
      </c>
      <c r="E56" s="4">
        <f t="shared" si="1"/>
        <v>0</v>
      </c>
      <c r="F56" s="4">
        <f t="shared" si="2"/>
        <v>0</v>
      </c>
      <c r="G56" s="4">
        <f t="shared" si="3"/>
        <v>52.1847</v>
      </c>
      <c r="H56" s="4">
        <f t="shared" si="4"/>
        <v>47.031</v>
      </c>
      <c r="I56" s="4" t="str">
        <f t="shared" si="5"/>
        <v> </v>
      </c>
      <c r="J56" s="4">
        <v>0.0</v>
      </c>
      <c r="K56" s="4">
        <v>22.3</v>
      </c>
      <c r="L56" s="4">
        <f t="shared" si="6"/>
        <v>3</v>
      </c>
      <c r="M56" s="4">
        <f t="shared" si="7"/>
        <v>0</v>
      </c>
      <c r="N56" s="4">
        <f t="shared" si="8"/>
        <v>-5.4649</v>
      </c>
      <c r="O56" s="4">
        <f t="shared" si="9"/>
        <v>0</v>
      </c>
      <c r="P56" s="4">
        <f t="shared" si="10"/>
        <v>22.3</v>
      </c>
    </row>
    <row r="57" ht="15.75" customHeight="1">
      <c r="A57" s="4">
        <v>2016.0</v>
      </c>
      <c r="B57" s="4">
        <v>208.0</v>
      </c>
      <c r="C57" s="4">
        <v>15.37</v>
      </c>
      <c r="D57" s="4">
        <v>29.51</v>
      </c>
      <c r="E57" s="4">
        <f t="shared" si="1"/>
        <v>0</v>
      </c>
      <c r="F57" s="4">
        <f t="shared" si="2"/>
        <v>0</v>
      </c>
      <c r="G57" s="4">
        <f t="shared" si="3"/>
        <v>50.7421</v>
      </c>
      <c r="H57" s="4">
        <f t="shared" si="4"/>
        <v>46.64295</v>
      </c>
      <c r="I57" s="4" t="str">
        <f t="shared" si="5"/>
        <v> </v>
      </c>
      <c r="J57" s="4">
        <v>0.0</v>
      </c>
      <c r="K57" s="4">
        <v>22.61</v>
      </c>
      <c r="L57" s="4">
        <f t="shared" si="6"/>
        <v>3</v>
      </c>
      <c r="M57" s="4">
        <f t="shared" si="7"/>
        <v>1</v>
      </c>
      <c r="N57" s="4">
        <f t="shared" si="8"/>
        <v>4.55886</v>
      </c>
      <c r="O57" s="4">
        <f t="shared" si="9"/>
        <v>0</v>
      </c>
      <c r="P57" s="4">
        <f t="shared" si="10"/>
        <v>22.61</v>
      </c>
    </row>
    <row r="58" ht="15.75" customHeight="1">
      <c r="A58" s="4">
        <v>2016.0</v>
      </c>
      <c r="B58" s="4">
        <v>209.0</v>
      </c>
      <c r="C58" s="4">
        <v>16.11</v>
      </c>
      <c r="D58" s="4">
        <v>30.18</v>
      </c>
      <c r="E58" s="4">
        <f t="shared" si="1"/>
        <v>1</v>
      </c>
      <c r="F58" s="4">
        <f t="shared" si="2"/>
        <v>0</v>
      </c>
      <c r="G58" s="4">
        <f t="shared" si="3"/>
        <v>51.2202</v>
      </c>
      <c r="H58" s="4">
        <f t="shared" si="4"/>
        <v>47.6763</v>
      </c>
      <c r="I58" s="4" t="str">
        <f t="shared" si="5"/>
        <v> </v>
      </c>
      <c r="J58" s="4">
        <v>3.8</v>
      </c>
      <c r="K58" s="4">
        <v>22.61</v>
      </c>
      <c r="L58" s="4">
        <f t="shared" si="6"/>
        <v>8</v>
      </c>
      <c r="M58" s="4">
        <f t="shared" si="7"/>
        <v>1</v>
      </c>
      <c r="N58" s="4">
        <f t="shared" si="8"/>
        <v>3.01773</v>
      </c>
      <c r="O58" s="4">
        <f t="shared" si="9"/>
        <v>3.8</v>
      </c>
      <c r="P58" s="4">
        <f t="shared" si="10"/>
        <v>22.61</v>
      </c>
    </row>
    <row r="59" ht="15.75" customHeight="1">
      <c r="A59" s="4">
        <v>2016.0</v>
      </c>
      <c r="B59" s="4">
        <v>210.0</v>
      </c>
      <c r="C59" s="4">
        <v>16.64</v>
      </c>
      <c r="D59" s="4">
        <v>28.01</v>
      </c>
      <c r="E59" s="4">
        <f t="shared" si="1"/>
        <v>1</v>
      </c>
      <c r="F59" s="4">
        <f t="shared" si="2"/>
        <v>0</v>
      </c>
      <c r="G59" s="4">
        <f t="shared" si="3"/>
        <v>49.0004</v>
      </c>
      <c r="H59" s="4">
        <f t="shared" si="4"/>
        <v>44.33915</v>
      </c>
      <c r="I59" s="4" t="str">
        <f t="shared" si="5"/>
        <v> </v>
      </c>
      <c r="J59" s="4">
        <v>0.2</v>
      </c>
      <c r="K59" s="4">
        <v>21.71</v>
      </c>
      <c r="L59" s="4">
        <f t="shared" si="6"/>
        <v>8</v>
      </c>
      <c r="M59" s="4">
        <f t="shared" si="7"/>
        <v>0</v>
      </c>
      <c r="N59" s="4">
        <f t="shared" si="8"/>
        <v>-5.48883</v>
      </c>
      <c r="O59" s="4">
        <f t="shared" si="9"/>
        <v>0.2</v>
      </c>
      <c r="P59" s="4">
        <f t="shared" si="10"/>
        <v>21.71</v>
      </c>
    </row>
    <row r="60" ht="15.75" customHeight="1">
      <c r="A60" s="4">
        <v>2016.0</v>
      </c>
      <c r="B60" s="4">
        <v>211.0</v>
      </c>
      <c r="C60" s="4">
        <v>16.11</v>
      </c>
      <c r="D60" s="4">
        <v>31.24</v>
      </c>
      <c r="E60" s="4">
        <f t="shared" si="1"/>
        <v>0</v>
      </c>
      <c r="F60" s="4">
        <f t="shared" si="2"/>
        <v>0</v>
      </c>
      <c r="G60" s="4">
        <f t="shared" si="3"/>
        <v>49.3294</v>
      </c>
      <c r="H60" s="4">
        <f t="shared" si="4"/>
        <v>44.07625</v>
      </c>
      <c r="I60" s="4" t="str">
        <f t="shared" si="5"/>
        <v> </v>
      </c>
      <c r="J60" s="4">
        <v>0.0</v>
      </c>
      <c r="K60" s="4">
        <v>23.7</v>
      </c>
      <c r="L60" s="4">
        <f t="shared" si="6"/>
        <v>3</v>
      </c>
      <c r="M60" s="4">
        <f t="shared" si="7"/>
        <v>0</v>
      </c>
      <c r="N60" s="4">
        <f t="shared" si="8"/>
        <v>-10.86733</v>
      </c>
      <c r="O60" s="4">
        <f t="shared" si="9"/>
        <v>0</v>
      </c>
      <c r="P60" s="4">
        <f t="shared" si="10"/>
        <v>23.7</v>
      </c>
    </row>
    <row r="61" ht="15.75" customHeight="1">
      <c r="A61" s="4">
        <v>2016.0</v>
      </c>
      <c r="B61" s="4">
        <v>212.0</v>
      </c>
      <c r="C61" s="4">
        <v>17.34</v>
      </c>
      <c r="D61" s="4">
        <v>30.9</v>
      </c>
      <c r="E61" s="4">
        <f t="shared" si="1"/>
        <v>0</v>
      </c>
      <c r="F61" s="4">
        <f t="shared" si="2"/>
        <v>0</v>
      </c>
      <c r="G61" s="4">
        <f t="shared" si="3"/>
        <v>42.0412</v>
      </c>
      <c r="H61" s="4">
        <f t="shared" si="4"/>
        <v>38.0921</v>
      </c>
      <c r="I61" s="4" t="str">
        <f t="shared" si="5"/>
        <v> </v>
      </c>
      <c r="J61" s="4">
        <v>0.0</v>
      </c>
      <c r="K61" s="4">
        <v>23.13</v>
      </c>
      <c r="L61" s="4">
        <f t="shared" si="6"/>
        <v>3</v>
      </c>
      <c r="M61" s="4">
        <f t="shared" si="7"/>
        <v>0</v>
      </c>
      <c r="N61" s="4">
        <f t="shared" si="8"/>
        <v>-10.22431</v>
      </c>
      <c r="O61" s="4">
        <f t="shared" si="9"/>
        <v>0</v>
      </c>
      <c r="P61" s="4">
        <f t="shared" si="10"/>
        <v>23.13</v>
      </c>
    </row>
    <row r="62" ht="15.75" customHeight="1">
      <c r="A62" s="4">
        <v>2016.0</v>
      </c>
      <c r="B62" s="4">
        <v>213.0</v>
      </c>
      <c r="C62" s="4">
        <v>15.37</v>
      </c>
      <c r="D62" s="4">
        <v>28.75</v>
      </c>
      <c r="E62" s="4">
        <f t="shared" si="1"/>
        <v>0</v>
      </c>
      <c r="F62" s="4">
        <f t="shared" si="2"/>
        <v>0</v>
      </c>
      <c r="G62" s="4">
        <f t="shared" si="3"/>
        <v>43.7824</v>
      </c>
      <c r="H62" s="4">
        <f t="shared" si="4"/>
        <v>39.7704</v>
      </c>
      <c r="I62" s="4" t="str">
        <f t="shared" si="5"/>
        <v> </v>
      </c>
      <c r="J62" s="4">
        <v>0.0</v>
      </c>
      <c r="K62" s="4">
        <v>22.17</v>
      </c>
      <c r="L62" s="4">
        <f t="shared" si="6"/>
        <v>3</v>
      </c>
      <c r="M62" s="4">
        <f t="shared" si="7"/>
        <v>0</v>
      </c>
      <c r="N62" s="4">
        <f t="shared" si="8"/>
        <v>-4.11991</v>
      </c>
      <c r="O62" s="4">
        <f t="shared" si="9"/>
        <v>0</v>
      </c>
      <c r="P62" s="4">
        <f t="shared" si="10"/>
        <v>22.17</v>
      </c>
    </row>
    <row r="63" ht="15.75" customHeight="1">
      <c r="A63" s="4">
        <v>2016.0</v>
      </c>
      <c r="B63" s="4">
        <v>214.0</v>
      </c>
      <c r="C63" s="4">
        <v>15.31</v>
      </c>
      <c r="D63" s="4">
        <v>29.97</v>
      </c>
      <c r="E63" s="4">
        <f t="shared" si="1"/>
        <v>0</v>
      </c>
      <c r="F63" s="4">
        <f t="shared" si="2"/>
        <v>0</v>
      </c>
      <c r="G63" s="4">
        <f t="shared" si="3"/>
        <v>43.3087</v>
      </c>
      <c r="H63" s="4">
        <f t="shared" si="4"/>
        <v>38.55055</v>
      </c>
      <c r="I63" s="4" t="str">
        <f t="shared" si="5"/>
        <v> </v>
      </c>
      <c r="J63" s="4">
        <v>0.0</v>
      </c>
      <c r="K63" s="4">
        <v>22.91</v>
      </c>
      <c r="L63" s="4">
        <f t="shared" si="6"/>
        <v>3</v>
      </c>
      <c r="M63" s="4">
        <f t="shared" si="7"/>
        <v>1</v>
      </c>
      <c r="N63" s="4">
        <f t="shared" si="8"/>
        <v>5.0089</v>
      </c>
      <c r="O63" s="4">
        <f t="shared" si="9"/>
        <v>0</v>
      </c>
      <c r="P63" s="4">
        <f t="shared" si="10"/>
        <v>22.91</v>
      </c>
    </row>
    <row r="64" ht="15.75" customHeight="1">
      <c r="A64" s="4">
        <v>2016.0</v>
      </c>
      <c r="B64" s="4">
        <v>215.0</v>
      </c>
      <c r="C64" s="4">
        <v>17.62</v>
      </c>
      <c r="D64" s="4">
        <v>31.13</v>
      </c>
      <c r="E64" s="4">
        <f t="shared" si="1"/>
        <v>1</v>
      </c>
      <c r="F64" s="4">
        <f t="shared" si="2"/>
        <v>0</v>
      </c>
      <c r="G64" s="4">
        <f t="shared" si="3"/>
        <v>46.5291</v>
      </c>
      <c r="H64" s="4">
        <f t="shared" si="4"/>
        <v>43.5956</v>
      </c>
      <c r="I64" s="4" t="str">
        <f t="shared" si="5"/>
        <v> </v>
      </c>
      <c r="J64" s="4">
        <v>4.5</v>
      </c>
      <c r="K64" s="4">
        <v>23.39</v>
      </c>
      <c r="L64" s="4">
        <f t="shared" si="6"/>
        <v>8</v>
      </c>
      <c r="M64" s="4">
        <f t="shared" si="7"/>
        <v>1</v>
      </c>
      <c r="N64" s="4">
        <f t="shared" si="8"/>
        <v>4.08789</v>
      </c>
      <c r="O64" s="4">
        <f t="shared" si="9"/>
        <v>4.5</v>
      </c>
      <c r="P64" s="4">
        <f t="shared" si="10"/>
        <v>23.39</v>
      </c>
    </row>
    <row r="65" ht="15.75" customHeight="1">
      <c r="A65" s="4">
        <v>2016.0</v>
      </c>
      <c r="B65" s="4">
        <v>216.0</v>
      </c>
      <c r="C65" s="4">
        <v>16.4</v>
      </c>
      <c r="D65" s="4">
        <v>18.43</v>
      </c>
      <c r="E65" s="4">
        <f t="shared" si="1"/>
        <v>1</v>
      </c>
      <c r="F65" s="4">
        <f t="shared" si="2"/>
        <v>0</v>
      </c>
      <c r="G65" s="4">
        <f t="shared" si="3"/>
        <v>42.3003</v>
      </c>
      <c r="H65" s="4">
        <f t="shared" si="4"/>
        <v>40.2532</v>
      </c>
      <c r="I65" s="4" t="str">
        <f t="shared" si="5"/>
        <v> </v>
      </c>
      <c r="J65" s="4">
        <v>1.0</v>
      </c>
      <c r="K65" s="4">
        <v>17.39</v>
      </c>
      <c r="L65" s="4">
        <f t="shared" si="6"/>
        <v>8</v>
      </c>
      <c r="M65" s="4">
        <f t="shared" si="7"/>
        <v>0</v>
      </c>
      <c r="N65" s="4">
        <f t="shared" si="8"/>
        <v>-5.14378</v>
      </c>
      <c r="O65" s="4">
        <f t="shared" si="9"/>
        <v>1</v>
      </c>
      <c r="P65" s="4">
        <f t="shared" si="10"/>
        <v>17.39</v>
      </c>
    </row>
    <row r="66" ht="15.75" customHeight="1">
      <c r="A66" s="4">
        <v>2016.0</v>
      </c>
      <c r="B66" s="4">
        <v>217.0</v>
      </c>
      <c r="C66" s="4">
        <v>14.11</v>
      </c>
      <c r="D66" s="4">
        <v>25.74</v>
      </c>
      <c r="E66" s="4">
        <f t="shared" si="1"/>
        <v>0</v>
      </c>
      <c r="F66" s="4">
        <f t="shared" si="2"/>
        <v>0</v>
      </c>
      <c r="G66" s="4">
        <f t="shared" si="3"/>
        <v>40.0285</v>
      </c>
      <c r="H66" s="4">
        <f t="shared" si="4"/>
        <v>36.6958</v>
      </c>
      <c r="I66" s="4" t="str">
        <f t="shared" si="5"/>
        <v> </v>
      </c>
      <c r="J66" s="4">
        <v>0.0</v>
      </c>
      <c r="K66" s="4">
        <v>19.63</v>
      </c>
      <c r="L66" s="4">
        <f t="shared" si="6"/>
        <v>3</v>
      </c>
      <c r="M66" s="4">
        <f t="shared" si="7"/>
        <v>0</v>
      </c>
      <c r="N66" s="4">
        <f t="shared" si="8"/>
        <v>-9.24801</v>
      </c>
      <c r="O66" s="4">
        <f t="shared" si="9"/>
        <v>0</v>
      </c>
      <c r="P66" s="4">
        <f t="shared" si="10"/>
        <v>19.63</v>
      </c>
    </row>
    <row r="67" ht="15.75" customHeight="1">
      <c r="A67" s="4">
        <v>2016.0</v>
      </c>
      <c r="B67" s="4">
        <v>218.0</v>
      </c>
      <c r="C67" s="4">
        <v>11.74</v>
      </c>
      <c r="D67" s="4">
        <v>27.53</v>
      </c>
      <c r="E67" s="4">
        <f t="shared" si="1"/>
        <v>0</v>
      </c>
      <c r="F67" s="4">
        <f t="shared" si="2"/>
        <v>0</v>
      </c>
      <c r="G67" s="4">
        <f t="shared" si="3"/>
        <v>44.7417</v>
      </c>
      <c r="H67" s="4">
        <f t="shared" si="4"/>
        <v>41.1863</v>
      </c>
      <c r="I67" s="4" t="str">
        <f t="shared" si="5"/>
        <v> </v>
      </c>
      <c r="J67" s="4">
        <v>0.0</v>
      </c>
      <c r="K67" s="4">
        <v>19.91</v>
      </c>
      <c r="L67" s="4">
        <f t="shared" si="6"/>
        <v>3</v>
      </c>
      <c r="M67" s="4">
        <f t="shared" si="7"/>
        <v>0</v>
      </c>
      <c r="N67" s="4">
        <f t="shared" si="8"/>
        <v>-5.93364</v>
      </c>
      <c r="O67" s="4">
        <f t="shared" si="9"/>
        <v>0</v>
      </c>
      <c r="P67" s="4">
        <f t="shared" si="10"/>
        <v>19.91</v>
      </c>
    </row>
    <row r="68" ht="15.75" customHeight="1">
      <c r="A68" s="4">
        <v>2016.0</v>
      </c>
      <c r="B68" s="4">
        <v>219.0</v>
      </c>
      <c r="C68" s="4">
        <v>13.84</v>
      </c>
      <c r="D68" s="4">
        <v>30.44</v>
      </c>
      <c r="E68" s="4">
        <f t="shared" si="1"/>
        <v>0</v>
      </c>
      <c r="F68" s="4">
        <f t="shared" si="2"/>
        <v>0</v>
      </c>
      <c r="G68" s="4">
        <f t="shared" si="3"/>
        <v>46.4786</v>
      </c>
      <c r="H68" s="4">
        <f t="shared" si="4"/>
        <v>42.32585</v>
      </c>
      <c r="I68" s="4" t="str">
        <f t="shared" si="5"/>
        <v> </v>
      </c>
      <c r="J68" s="4">
        <v>0.0</v>
      </c>
      <c r="K68" s="4">
        <v>22.18</v>
      </c>
      <c r="L68" s="4">
        <f t="shared" si="6"/>
        <v>3</v>
      </c>
      <c r="M68" s="4">
        <f t="shared" si="7"/>
        <v>1</v>
      </c>
      <c r="N68" s="4">
        <f t="shared" si="8"/>
        <v>2.59197</v>
      </c>
      <c r="O68" s="4">
        <f t="shared" si="9"/>
        <v>0</v>
      </c>
      <c r="P68" s="4">
        <f t="shared" si="10"/>
        <v>22.18</v>
      </c>
    </row>
    <row r="69" ht="15.75" customHeight="1">
      <c r="A69" s="4">
        <v>2016.0</v>
      </c>
      <c r="B69" s="4">
        <v>220.0</v>
      </c>
      <c r="C69" s="4">
        <v>14.44</v>
      </c>
      <c r="D69" s="4">
        <v>33.04</v>
      </c>
      <c r="E69" s="4">
        <f t="shared" si="1"/>
        <v>1</v>
      </c>
      <c r="F69" s="4">
        <f t="shared" si="2"/>
        <v>0</v>
      </c>
      <c r="G69" s="4">
        <f t="shared" si="3"/>
        <v>47.5537</v>
      </c>
      <c r="H69" s="4">
        <f t="shared" si="4"/>
        <v>44.6193</v>
      </c>
      <c r="I69" s="4" t="str">
        <f t="shared" si="5"/>
        <v> </v>
      </c>
      <c r="J69" s="4">
        <v>5.7</v>
      </c>
      <c r="K69" s="4">
        <v>23.16</v>
      </c>
      <c r="L69" s="4">
        <f t="shared" si="6"/>
        <v>8</v>
      </c>
      <c r="M69" s="4">
        <f t="shared" si="7"/>
        <v>1</v>
      </c>
      <c r="N69" s="4">
        <f t="shared" si="8"/>
        <v>1.71352</v>
      </c>
      <c r="O69" s="4">
        <f t="shared" si="9"/>
        <v>5.7</v>
      </c>
      <c r="P69" s="4">
        <f t="shared" si="10"/>
        <v>23.16</v>
      </c>
    </row>
    <row r="70" ht="15.75" customHeight="1">
      <c r="A70" s="4">
        <v>2016.0</v>
      </c>
      <c r="B70" s="4">
        <v>221.0</v>
      </c>
      <c r="C70" s="4">
        <v>13.04</v>
      </c>
      <c r="D70" s="4">
        <v>21.61</v>
      </c>
      <c r="E70" s="4">
        <f t="shared" si="1"/>
        <v>1</v>
      </c>
      <c r="F70" s="4">
        <f t="shared" si="2"/>
        <v>0</v>
      </c>
      <c r="G70" s="4">
        <f t="shared" si="3"/>
        <v>33.9895</v>
      </c>
      <c r="H70" s="4">
        <f t="shared" si="4"/>
        <v>32.6556</v>
      </c>
      <c r="I70" s="4" t="str">
        <f t="shared" si="5"/>
        <v> </v>
      </c>
      <c r="J70" s="4">
        <v>0.1</v>
      </c>
      <c r="K70" s="4">
        <v>17.1</v>
      </c>
      <c r="L70" s="4">
        <f t="shared" si="6"/>
        <v>8</v>
      </c>
      <c r="M70" s="4">
        <f t="shared" si="7"/>
        <v>0</v>
      </c>
      <c r="N70" s="4">
        <f t="shared" si="8"/>
        <v>-5.63561</v>
      </c>
      <c r="O70" s="4">
        <f t="shared" si="9"/>
        <v>0.1</v>
      </c>
      <c r="P70" s="4">
        <f t="shared" si="10"/>
        <v>17.1</v>
      </c>
    </row>
    <row r="71" ht="15.75" customHeight="1">
      <c r="A71" s="4">
        <v>2016.0</v>
      </c>
      <c r="B71" s="4">
        <v>222.0</v>
      </c>
      <c r="C71" s="4">
        <v>11.25</v>
      </c>
      <c r="D71" s="4">
        <v>26.75</v>
      </c>
      <c r="E71" s="4">
        <f t="shared" si="1"/>
        <v>0</v>
      </c>
      <c r="F71" s="4">
        <f t="shared" si="2"/>
        <v>0</v>
      </c>
      <c r="G71" s="4">
        <f t="shared" si="3"/>
        <v>34.4389</v>
      </c>
      <c r="H71" s="4">
        <f t="shared" si="4"/>
        <v>32.04025</v>
      </c>
      <c r="I71" s="4" t="str">
        <f t="shared" si="5"/>
        <v> </v>
      </c>
      <c r="J71" s="4">
        <v>0.0</v>
      </c>
      <c r="K71" s="4">
        <v>18.76</v>
      </c>
      <c r="L71" s="4">
        <f t="shared" si="6"/>
        <v>3</v>
      </c>
      <c r="M71" s="4">
        <f t="shared" si="7"/>
        <v>0</v>
      </c>
      <c r="N71" s="4">
        <f t="shared" si="8"/>
        <v>-9.60783</v>
      </c>
      <c r="O71" s="4">
        <f t="shared" si="9"/>
        <v>0</v>
      </c>
      <c r="P71" s="4">
        <f t="shared" si="10"/>
        <v>18.76</v>
      </c>
    </row>
    <row r="72" ht="15.75" customHeight="1">
      <c r="A72" s="4">
        <v>2016.0</v>
      </c>
      <c r="B72" s="4">
        <v>223.0</v>
      </c>
      <c r="C72" s="4">
        <v>11.68</v>
      </c>
      <c r="D72" s="4">
        <v>27.95</v>
      </c>
      <c r="E72" s="4">
        <f t="shared" si="1"/>
        <v>0</v>
      </c>
      <c r="F72" s="4">
        <f t="shared" si="2"/>
        <v>0</v>
      </c>
      <c r="G72" s="4">
        <f t="shared" si="3"/>
        <v>35.2366</v>
      </c>
      <c r="H72" s="4">
        <f t="shared" si="4"/>
        <v>33.00965</v>
      </c>
      <c r="I72" s="4" t="str">
        <f t="shared" si="5"/>
        <v> </v>
      </c>
      <c r="J72" s="4">
        <v>0.0</v>
      </c>
      <c r="K72" s="4">
        <v>19.66</v>
      </c>
      <c r="L72" s="4">
        <f t="shared" si="6"/>
        <v>3</v>
      </c>
      <c r="M72" s="4">
        <f t="shared" si="7"/>
        <v>0</v>
      </c>
      <c r="N72" s="4">
        <f t="shared" si="8"/>
        <v>-6.097</v>
      </c>
      <c r="O72" s="4">
        <f t="shared" si="9"/>
        <v>0</v>
      </c>
      <c r="P72" s="4">
        <f t="shared" si="10"/>
        <v>19.66</v>
      </c>
    </row>
    <row r="73" ht="15.75" customHeight="1">
      <c r="A73" s="4">
        <v>2016.0</v>
      </c>
      <c r="B73" s="4">
        <v>224.0</v>
      </c>
      <c r="C73" s="4">
        <v>13.24</v>
      </c>
      <c r="D73" s="4">
        <v>27.78</v>
      </c>
      <c r="E73" s="4">
        <f t="shared" si="1"/>
        <v>0</v>
      </c>
      <c r="F73" s="4">
        <f t="shared" si="2"/>
        <v>1</v>
      </c>
      <c r="G73" s="4">
        <f t="shared" si="3"/>
        <v>29.2487</v>
      </c>
      <c r="H73" s="4">
        <f t="shared" si="4"/>
        <v>30.44225</v>
      </c>
      <c r="I73" s="4">
        <f t="shared" si="5"/>
        <v>1.19355</v>
      </c>
      <c r="J73" s="4">
        <v>0.0</v>
      </c>
      <c r="K73" s="4">
        <v>21.07</v>
      </c>
      <c r="L73" s="4">
        <f t="shared" si="6"/>
        <v>3</v>
      </c>
      <c r="M73" s="4">
        <f t="shared" si="7"/>
        <v>1</v>
      </c>
      <c r="N73" s="4">
        <f t="shared" si="8"/>
        <v>4.89465</v>
      </c>
      <c r="O73" s="4">
        <f t="shared" si="9"/>
        <v>0</v>
      </c>
      <c r="P73" s="4">
        <f t="shared" si="10"/>
        <v>21.07</v>
      </c>
    </row>
    <row r="74" ht="15.75" customHeight="1">
      <c r="A74" s="4">
        <v>2016.0</v>
      </c>
      <c r="B74" s="4">
        <v>225.0</v>
      </c>
      <c r="C74" s="4">
        <v>10.87</v>
      </c>
      <c r="D74" s="4">
        <v>19.94</v>
      </c>
      <c r="E74" s="4">
        <f t="shared" si="1"/>
        <v>1</v>
      </c>
      <c r="F74" s="4">
        <f t="shared" si="2"/>
        <v>1</v>
      </c>
      <c r="G74" s="4">
        <f t="shared" si="3"/>
        <v>30.7333</v>
      </c>
      <c r="H74" s="4">
        <f t="shared" si="4"/>
        <v>33.85945</v>
      </c>
      <c r="I74" s="4">
        <f t="shared" si="5"/>
        <v>3.12615</v>
      </c>
      <c r="J74" s="4">
        <v>2.9</v>
      </c>
      <c r="K74" s="4">
        <v>15.27</v>
      </c>
      <c r="L74" s="4">
        <f t="shared" si="6"/>
        <v>8</v>
      </c>
      <c r="M74" s="4">
        <f t="shared" si="7"/>
        <v>1</v>
      </c>
      <c r="N74" s="4">
        <f t="shared" si="8"/>
        <v>8.4897</v>
      </c>
      <c r="O74" s="4">
        <f t="shared" si="9"/>
        <v>2.9</v>
      </c>
      <c r="P74" s="4">
        <f t="shared" si="10"/>
        <v>15.27</v>
      </c>
    </row>
    <row r="75" ht="15.75" customHeight="1">
      <c r="A75" s="4">
        <v>2016.0</v>
      </c>
      <c r="B75" s="4">
        <v>226.0</v>
      </c>
      <c r="C75" s="4">
        <v>10.61</v>
      </c>
      <c r="D75" s="4">
        <v>20.4</v>
      </c>
      <c r="E75" s="4">
        <f t="shared" si="1"/>
        <v>1</v>
      </c>
      <c r="F75" s="4">
        <f t="shared" si="2"/>
        <v>1</v>
      </c>
      <c r="G75" s="4">
        <f t="shared" si="3"/>
        <v>31.3955</v>
      </c>
      <c r="H75" s="4">
        <f t="shared" si="4"/>
        <v>33.63085</v>
      </c>
      <c r="I75" s="4">
        <f t="shared" si="5"/>
        <v>2.23535</v>
      </c>
      <c r="J75" s="4">
        <v>0.1</v>
      </c>
      <c r="K75" s="4">
        <v>14.47</v>
      </c>
      <c r="L75" s="4">
        <f t="shared" si="6"/>
        <v>8</v>
      </c>
      <c r="M75" s="4">
        <f t="shared" si="7"/>
        <v>1</v>
      </c>
      <c r="N75" s="4">
        <f t="shared" si="8"/>
        <v>11.7638</v>
      </c>
      <c r="O75" s="4">
        <f t="shared" si="9"/>
        <v>0.1</v>
      </c>
      <c r="P75" s="4">
        <f t="shared" si="10"/>
        <v>14.47</v>
      </c>
    </row>
    <row r="76" ht="15.75" customHeight="1">
      <c r="A76" s="4">
        <v>2016.0</v>
      </c>
      <c r="B76" s="4">
        <v>227.0</v>
      </c>
      <c r="C76" s="4">
        <v>8.25</v>
      </c>
      <c r="D76" s="4">
        <v>21.37</v>
      </c>
      <c r="E76" s="4">
        <f t="shared" si="1"/>
        <v>1</v>
      </c>
      <c r="F76" s="4">
        <f t="shared" si="2"/>
        <v>1</v>
      </c>
      <c r="G76" s="4">
        <f t="shared" si="3"/>
        <v>34.3326</v>
      </c>
      <c r="H76" s="4">
        <f t="shared" si="4"/>
        <v>34.99645</v>
      </c>
      <c r="I76" s="4">
        <f t="shared" si="5"/>
        <v>0.66385</v>
      </c>
      <c r="J76" s="4">
        <v>7.4</v>
      </c>
      <c r="K76" s="4">
        <v>14.73</v>
      </c>
      <c r="L76" s="4">
        <f t="shared" si="6"/>
        <v>8</v>
      </c>
      <c r="M76" s="4">
        <f t="shared" si="7"/>
        <v>1</v>
      </c>
      <c r="N76" s="4">
        <f t="shared" si="8"/>
        <v>10.83643</v>
      </c>
      <c r="O76" s="4">
        <f t="shared" si="9"/>
        <v>7.4</v>
      </c>
      <c r="P76" s="4">
        <f t="shared" si="10"/>
        <v>14.73</v>
      </c>
    </row>
    <row r="77" ht="15.75" customHeight="1">
      <c r="A77" s="4">
        <v>2016.0</v>
      </c>
      <c r="B77" s="4">
        <v>228.0</v>
      </c>
      <c r="C77" s="4">
        <v>11.83</v>
      </c>
      <c r="D77" s="4">
        <v>13.74</v>
      </c>
      <c r="E77" s="4">
        <f t="shared" si="1"/>
        <v>1</v>
      </c>
      <c r="F77" s="4">
        <f t="shared" si="2"/>
        <v>1</v>
      </c>
      <c r="G77" s="4">
        <f t="shared" si="3"/>
        <v>34.62</v>
      </c>
      <c r="H77" s="4">
        <f t="shared" si="4"/>
        <v>37.2435</v>
      </c>
      <c r="I77" s="4">
        <f t="shared" si="5"/>
        <v>2.6235</v>
      </c>
      <c r="J77" s="4">
        <v>32.8</v>
      </c>
      <c r="K77" s="4">
        <v>13.07</v>
      </c>
      <c r="L77" s="4">
        <f t="shared" si="6"/>
        <v>8</v>
      </c>
      <c r="M77" s="4">
        <f t="shared" si="7"/>
        <v>1</v>
      </c>
      <c r="N77" s="4">
        <f t="shared" si="8"/>
        <v>11.68739</v>
      </c>
      <c r="O77" s="4">
        <f t="shared" si="9"/>
        <v>32.8</v>
      </c>
      <c r="P77" s="4">
        <f t="shared" si="10"/>
        <v>13.07</v>
      </c>
    </row>
    <row r="78" ht="15.75" customHeight="1">
      <c r="A78" s="4">
        <v>2016.0</v>
      </c>
      <c r="B78" s="4">
        <v>229.0</v>
      </c>
      <c r="C78" s="4">
        <v>10.91</v>
      </c>
      <c r="D78" s="4">
        <v>21.94</v>
      </c>
      <c r="E78" s="4">
        <f t="shared" si="1"/>
        <v>1</v>
      </c>
      <c r="F78" s="4">
        <f t="shared" si="2"/>
        <v>1</v>
      </c>
      <c r="G78" s="4">
        <f t="shared" si="3"/>
        <v>39.4766</v>
      </c>
      <c r="H78" s="4">
        <f t="shared" si="4"/>
        <v>40.57535</v>
      </c>
      <c r="I78" s="4">
        <f t="shared" si="5"/>
        <v>1.09875</v>
      </c>
      <c r="J78" s="4">
        <v>0.1</v>
      </c>
      <c r="K78" s="4">
        <v>15.78</v>
      </c>
      <c r="L78" s="4">
        <f t="shared" si="6"/>
        <v>8</v>
      </c>
      <c r="M78" s="4">
        <f t="shared" si="7"/>
        <v>1</v>
      </c>
      <c r="N78" s="4">
        <f t="shared" si="8"/>
        <v>3.69125</v>
      </c>
      <c r="O78" s="4">
        <f t="shared" si="9"/>
        <v>0.1</v>
      </c>
      <c r="P78" s="4">
        <f t="shared" si="10"/>
        <v>15.78</v>
      </c>
    </row>
    <row r="79" ht="15.75" customHeight="1">
      <c r="A79" s="4">
        <v>2016.0</v>
      </c>
      <c r="B79" s="4">
        <v>230.0</v>
      </c>
      <c r="C79" s="4">
        <v>12.21</v>
      </c>
      <c r="D79" s="4">
        <v>23.78</v>
      </c>
      <c r="E79" s="4">
        <f t="shared" si="1"/>
        <v>1</v>
      </c>
      <c r="F79" s="4">
        <f t="shared" si="2"/>
        <v>0</v>
      </c>
      <c r="G79" s="4">
        <f t="shared" si="3"/>
        <v>44.6855</v>
      </c>
      <c r="H79" s="4">
        <f t="shared" si="4"/>
        <v>44.68135</v>
      </c>
      <c r="I79" s="4" t="str">
        <f t="shared" si="5"/>
        <v> </v>
      </c>
      <c r="J79" s="4">
        <v>2.8</v>
      </c>
      <c r="K79" s="4">
        <v>16.6</v>
      </c>
      <c r="L79" s="4">
        <f t="shared" si="6"/>
        <v>8</v>
      </c>
      <c r="M79" s="4">
        <f t="shared" si="7"/>
        <v>1</v>
      </c>
      <c r="N79" s="4">
        <f t="shared" si="8"/>
        <v>0.20114</v>
      </c>
      <c r="O79" s="4">
        <f t="shared" si="9"/>
        <v>2.8</v>
      </c>
      <c r="P79" s="4">
        <f t="shared" si="10"/>
        <v>16.6</v>
      </c>
    </row>
    <row r="80" ht="15.75" customHeight="1">
      <c r="A80" s="4">
        <v>2016.0</v>
      </c>
      <c r="B80" s="4">
        <v>231.0</v>
      </c>
      <c r="C80" s="4">
        <v>11.18</v>
      </c>
      <c r="D80" s="4">
        <v>27.5</v>
      </c>
      <c r="E80" s="4">
        <f t="shared" si="1"/>
        <v>0</v>
      </c>
      <c r="F80" s="4">
        <f t="shared" si="2"/>
        <v>0</v>
      </c>
      <c r="G80" s="4">
        <f t="shared" si="3"/>
        <v>46.6786</v>
      </c>
      <c r="H80" s="4">
        <f t="shared" si="4"/>
        <v>45.5384</v>
      </c>
      <c r="I80" s="4" t="str">
        <f t="shared" si="5"/>
        <v> </v>
      </c>
      <c r="J80" s="4">
        <v>0.0</v>
      </c>
      <c r="K80" s="4">
        <v>19.21</v>
      </c>
      <c r="L80" s="4">
        <f t="shared" si="6"/>
        <v>3</v>
      </c>
      <c r="M80" s="4">
        <f t="shared" si="7"/>
        <v>1</v>
      </c>
      <c r="N80" s="4">
        <f t="shared" si="8"/>
        <v>5.52276</v>
      </c>
      <c r="O80" s="4">
        <f t="shared" si="9"/>
        <v>0</v>
      </c>
      <c r="P80" s="4">
        <f t="shared" si="10"/>
        <v>19.21</v>
      </c>
    </row>
    <row r="81" ht="15.75" customHeight="1">
      <c r="A81" s="4">
        <v>2016.0</v>
      </c>
      <c r="B81" s="4">
        <v>232.0</v>
      </c>
      <c r="C81" s="4">
        <v>14.91</v>
      </c>
      <c r="D81" s="4">
        <v>29.18</v>
      </c>
      <c r="E81" s="4">
        <f t="shared" si="1"/>
        <v>1</v>
      </c>
      <c r="F81" s="4">
        <f t="shared" si="2"/>
        <v>1</v>
      </c>
      <c r="G81" s="4">
        <f t="shared" si="3"/>
        <v>51.8014</v>
      </c>
      <c r="H81" s="4">
        <f t="shared" si="4"/>
        <v>52.54155</v>
      </c>
      <c r="I81" s="4">
        <f t="shared" si="5"/>
        <v>0.74015</v>
      </c>
      <c r="J81" s="4">
        <v>23.0</v>
      </c>
      <c r="K81" s="4">
        <v>20.1</v>
      </c>
      <c r="L81" s="4">
        <f t="shared" si="6"/>
        <v>8</v>
      </c>
      <c r="M81" s="4">
        <f t="shared" si="7"/>
        <v>1</v>
      </c>
      <c r="N81" s="4">
        <f t="shared" si="8"/>
        <v>7.87149</v>
      </c>
      <c r="O81" s="4">
        <f t="shared" si="9"/>
        <v>23</v>
      </c>
      <c r="P81" s="4">
        <f t="shared" si="10"/>
        <v>20.1</v>
      </c>
    </row>
    <row r="82" ht="15.75" customHeight="1">
      <c r="A82" s="4">
        <v>2016.0</v>
      </c>
      <c r="B82" s="4">
        <v>233.0</v>
      </c>
      <c r="C82" s="4">
        <v>16.11</v>
      </c>
      <c r="D82" s="4">
        <v>23.95</v>
      </c>
      <c r="E82" s="4">
        <f t="shared" si="1"/>
        <v>1</v>
      </c>
      <c r="F82" s="4">
        <f t="shared" si="2"/>
        <v>1</v>
      </c>
      <c r="G82" s="4">
        <f t="shared" si="3"/>
        <v>46.845</v>
      </c>
      <c r="H82" s="4">
        <f t="shared" si="4"/>
        <v>48.6012</v>
      </c>
      <c r="I82" s="4">
        <f t="shared" si="5"/>
        <v>1.7562</v>
      </c>
      <c r="J82" s="4">
        <v>9.6</v>
      </c>
      <c r="K82" s="4">
        <v>18.89</v>
      </c>
      <c r="L82" s="4">
        <f t="shared" si="6"/>
        <v>8</v>
      </c>
      <c r="M82" s="4">
        <f t="shared" si="7"/>
        <v>1</v>
      </c>
      <c r="N82" s="4">
        <f t="shared" si="8"/>
        <v>8.86856</v>
      </c>
      <c r="O82" s="4">
        <f t="shared" si="9"/>
        <v>9.6</v>
      </c>
      <c r="P82" s="4">
        <f t="shared" si="10"/>
        <v>18.89</v>
      </c>
    </row>
    <row r="83" ht="15.75" customHeight="1">
      <c r="A83" s="4">
        <v>2016.0</v>
      </c>
      <c r="B83" s="4">
        <v>234.0</v>
      </c>
      <c r="C83" s="4">
        <v>14.28</v>
      </c>
      <c r="D83" s="4">
        <v>28.15</v>
      </c>
      <c r="E83" s="4">
        <f t="shared" si="1"/>
        <v>1</v>
      </c>
      <c r="F83" s="4">
        <f t="shared" si="2"/>
        <v>1</v>
      </c>
      <c r="G83" s="4">
        <f t="shared" si="3"/>
        <v>46.7079</v>
      </c>
      <c r="H83" s="4">
        <f t="shared" si="4"/>
        <v>47.8488</v>
      </c>
      <c r="I83" s="4">
        <f t="shared" si="5"/>
        <v>1.1409</v>
      </c>
      <c r="J83" s="4">
        <v>0.1</v>
      </c>
      <c r="K83" s="4">
        <v>19.84</v>
      </c>
      <c r="L83" s="4">
        <f t="shared" si="6"/>
        <v>8</v>
      </c>
      <c r="M83" s="4">
        <f t="shared" si="7"/>
        <v>1</v>
      </c>
      <c r="N83" s="4">
        <f t="shared" si="8"/>
        <v>7.42159</v>
      </c>
      <c r="O83" s="4">
        <f t="shared" si="9"/>
        <v>0.1</v>
      </c>
      <c r="P83" s="4">
        <f t="shared" si="10"/>
        <v>19.84</v>
      </c>
    </row>
    <row r="84" ht="15.75" customHeight="1">
      <c r="A84" s="4">
        <v>2016.0</v>
      </c>
      <c r="B84" s="4">
        <v>235.0</v>
      </c>
      <c r="C84" s="4">
        <v>15.17</v>
      </c>
      <c r="D84" s="4">
        <v>29.89</v>
      </c>
      <c r="E84" s="4">
        <f t="shared" si="1"/>
        <v>1</v>
      </c>
      <c r="F84" s="4">
        <f t="shared" si="2"/>
        <v>0</v>
      </c>
      <c r="G84" s="4">
        <f t="shared" si="3"/>
        <v>44.8479</v>
      </c>
      <c r="H84" s="4">
        <f t="shared" si="4"/>
        <v>44.1983</v>
      </c>
      <c r="I84" s="4" t="str">
        <f t="shared" si="5"/>
        <v> </v>
      </c>
      <c r="J84" s="4">
        <v>0.1</v>
      </c>
      <c r="K84" s="4">
        <v>20.94</v>
      </c>
      <c r="L84" s="4">
        <f t="shared" si="6"/>
        <v>8</v>
      </c>
      <c r="M84" s="4">
        <f t="shared" si="7"/>
        <v>1</v>
      </c>
      <c r="N84" s="4">
        <f t="shared" si="8"/>
        <v>7.73164</v>
      </c>
      <c r="O84" s="4">
        <f t="shared" si="9"/>
        <v>0.1</v>
      </c>
      <c r="P84" s="4">
        <f t="shared" si="10"/>
        <v>20.94</v>
      </c>
    </row>
    <row r="85" ht="15.75" customHeight="1">
      <c r="A85" s="4">
        <v>2016.0</v>
      </c>
      <c r="B85" s="4">
        <v>236.0</v>
      </c>
      <c r="C85" s="4">
        <v>14.98</v>
      </c>
      <c r="D85" s="4">
        <v>29.29</v>
      </c>
      <c r="E85" s="4">
        <f t="shared" si="1"/>
        <v>1</v>
      </c>
      <c r="F85" s="4">
        <f t="shared" si="2"/>
        <v>0</v>
      </c>
      <c r="G85" s="4">
        <f t="shared" si="3"/>
        <v>44.0542</v>
      </c>
      <c r="H85" s="4">
        <f t="shared" si="4"/>
        <v>43.2086</v>
      </c>
      <c r="I85" s="4" t="str">
        <f t="shared" si="5"/>
        <v> </v>
      </c>
      <c r="J85" s="4">
        <v>0.2</v>
      </c>
      <c r="K85" s="4">
        <v>21.25</v>
      </c>
      <c r="L85" s="4">
        <f t="shared" si="6"/>
        <v>8</v>
      </c>
      <c r="M85" s="4">
        <f t="shared" si="7"/>
        <v>1</v>
      </c>
      <c r="N85" s="4">
        <f t="shared" si="8"/>
        <v>6.45289</v>
      </c>
      <c r="O85" s="4">
        <f t="shared" si="9"/>
        <v>0.2</v>
      </c>
      <c r="P85" s="4">
        <f t="shared" si="10"/>
        <v>21.25</v>
      </c>
    </row>
    <row r="86" ht="15.75" customHeight="1">
      <c r="A86" s="4">
        <v>2016.0</v>
      </c>
      <c r="B86" s="4">
        <v>237.0</v>
      </c>
      <c r="C86" s="4">
        <v>14.9</v>
      </c>
      <c r="D86" s="4">
        <v>24.37</v>
      </c>
      <c r="E86" s="4">
        <f t="shared" si="1"/>
        <v>1</v>
      </c>
      <c r="F86" s="4">
        <f t="shared" si="2"/>
        <v>0</v>
      </c>
      <c r="G86" s="4">
        <f t="shared" si="3"/>
        <v>35.7517</v>
      </c>
      <c r="H86" s="4">
        <f t="shared" si="4"/>
        <v>33.3058</v>
      </c>
      <c r="I86" s="4" t="str">
        <f t="shared" si="5"/>
        <v> </v>
      </c>
      <c r="J86" s="4">
        <v>4.9</v>
      </c>
      <c r="K86" s="4">
        <v>18.42</v>
      </c>
      <c r="L86" s="4">
        <f t="shared" si="6"/>
        <v>8</v>
      </c>
      <c r="M86" s="4">
        <f t="shared" si="7"/>
        <v>1</v>
      </c>
      <c r="N86" s="4">
        <f t="shared" si="8"/>
        <v>2.7186</v>
      </c>
      <c r="O86" s="4">
        <f t="shared" si="9"/>
        <v>4.9</v>
      </c>
      <c r="P86" s="4">
        <f t="shared" si="10"/>
        <v>18.42</v>
      </c>
    </row>
    <row r="87" ht="15.75" customHeight="1">
      <c r="A87" s="4">
        <v>2016.0</v>
      </c>
      <c r="B87" s="4">
        <v>238.0</v>
      </c>
      <c r="C87" s="4">
        <v>10.68</v>
      </c>
      <c r="D87" s="4">
        <v>21.94</v>
      </c>
      <c r="E87" s="4">
        <f t="shared" si="1"/>
        <v>1</v>
      </c>
      <c r="F87" s="4">
        <f t="shared" si="2"/>
        <v>0</v>
      </c>
      <c r="G87" s="4">
        <f t="shared" si="3"/>
        <v>31.0568</v>
      </c>
      <c r="H87" s="4">
        <f t="shared" si="4"/>
        <v>28.4953</v>
      </c>
      <c r="I87" s="4" t="str">
        <f t="shared" si="5"/>
        <v> </v>
      </c>
      <c r="J87" s="4">
        <v>0.1</v>
      </c>
      <c r="K87" s="4">
        <v>15.8</v>
      </c>
      <c r="L87" s="4">
        <f t="shared" si="6"/>
        <v>8</v>
      </c>
      <c r="M87" s="4">
        <f t="shared" si="7"/>
        <v>0</v>
      </c>
      <c r="N87" s="4">
        <f t="shared" si="8"/>
        <v>-3.9851</v>
      </c>
      <c r="O87" s="4">
        <f t="shared" si="9"/>
        <v>0.1</v>
      </c>
      <c r="P87" s="4">
        <f t="shared" si="10"/>
        <v>15.8</v>
      </c>
    </row>
    <row r="88" ht="15.75" customHeight="1">
      <c r="A88" s="4">
        <v>2016.0</v>
      </c>
      <c r="B88" s="4">
        <v>239.0</v>
      </c>
      <c r="C88" s="4">
        <v>8.48</v>
      </c>
      <c r="D88" s="4">
        <v>22.3</v>
      </c>
      <c r="E88" s="4">
        <f t="shared" si="1"/>
        <v>0</v>
      </c>
      <c r="J88" s="4">
        <v>0.0</v>
      </c>
      <c r="K88" s="4">
        <v>15.93</v>
      </c>
      <c r="L88" s="4">
        <f t="shared" si="6"/>
        <v>3</v>
      </c>
      <c r="O88" s="4">
        <f t="shared" si="9"/>
        <v>0</v>
      </c>
      <c r="P88" s="4">
        <f t="shared" si="10"/>
        <v>15.93</v>
      </c>
    </row>
    <row r="89" ht="15.75" customHeight="1">
      <c r="A89" s="4">
        <v>2016.0</v>
      </c>
      <c r="B89" s="4">
        <v>240.0</v>
      </c>
      <c r="C89" s="4">
        <v>12.24</v>
      </c>
      <c r="D89" s="4">
        <v>27.48</v>
      </c>
      <c r="E89" s="4">
        <f t="shared" si="1"/>
        <v>0</v>
      </c>
      <c r="J89" s="4">
        <v>0.0</v>
      </c>
      <c r="K89" s="4">
        <v>20.42</v>
      </c>
      <c r="L89" s="4">
        <f t="shared" si="6"/>
        <v>3</v>
      </c>
      <c r="O89" s="4">
        <f t="shared" si="9"/>
        <v>0</v>
      </c>
      <c r="P89" s="4">
        <f t="shared" si="10"/>
        <v>20.42</v>
      </c>
    </row>
    <row r="90" ht="15.75" customHeight="1">
      <c r="A90" s="4">
        <v>2016.0</v>
      </c>
      <c r="B90" s="4">
        <v>241.0</v>
      </c>
      <c r="C90" s="4">
        <v>9.44</v>
      </c>
      <c r="D90" s="4">
        <v>22.07</v>
      </c>
      <c r="E90" s="4">
        <f t="shared" si="1"/>
        <v>0</v>
      </c>
      <c r="J90" s="4">
        <v>0.0</v>
      </c>
      <c r="K90" s="4">
        <v>18.01</v>
      </c>
      <c r="L90" s="4">
        <f t="shared" si="6"/>
        <v>3</v>
      </c>
      <c r="O90" s="4">
        <f t="shared" si="9"/>
        <v>0</v>
      </c>
      <c r="P90" s="4">
        <f t="shared" si="10"/>
        <v>18.01</v>
      </c>
    </row>
    <row r="91" ht="15.75" customHeight="1">
      <c r="A91" s="4">
        <v>2016.0</v>
      </c>
      <c r="B91" s="4">
        <v>242.0</v>
      </c>
      <c r="C91" s="4">
        <v>7.31</v>
      </c>
      <c r="D91" s="4">
        <v>22.34</v>
      </c>
      <c r="E91" s="4">
        <f t="shared" si="1"/>
        <v>0</v>
      </c>
      <c r="J91" s="4">
        <v>0.0</v>
      </c>
      <c r="K91" s="4">
        <v>15.58</v>
      </c>
      <c r="L91" s="4">
        <f t="shared" si="6"/>
        <v>3</v>
      </c>
      <c r="O91" s="4">
        <f t="shared" si="9"/>
        <v>0</v>
      </c>
      <c r="P91" s="4">
        <f t="shared" si="10"/>
        <v>15.58</v>
      </c>
    </row>
    <row r="92" ht="15.75" customHeight="1">
      <c r="A92" s="4">
        <v>2016.0</v>
      </c>
      <c r="B92" s="4">
        <v>243.0</v>
      </c>
      <c r="C92" s="4">
        <v>15.71</v>
      </c>
      <c r="D92" s="4">
        <v>24.87</v>
      </c>
      <c r="E92" s="4">
        <f t="shared" si="1"/>
        <v>1</v>
      </c>
      <c r="J92" s="4">
        <v>0.8</v>
      </c>
      <c r="K92" s="4">
        <v>19.33</v>
      </c>
      <c r="L92" s="4">
        <f t="shared" si="6"/>
        <v>8</v>
      </c>
      <c r="O92" s="4">
        <f t="shared" si="9"/>
        <v>0.8</v>
      </c>
      <c r="P92" s="4">
        <f t="shared" si="10"/>
        <v>19.33</v>
      </c>
    </row>
    <row r="93" ht="15.75" customHeight="1">
      <c r="A93" s="4">
        <v>2016.0</v>
      </c>
      <c r="B93" s="4">
        <v>244.0</v>
      </c>
      <c r="C93" s="4">
        <v>10.91</v>
      </c>
      <c r="D93" s="4">
        <v>18.66</v>
      </c>
      <c r="E93" s="4">
        <v>0.0</v>
      </c>
      <c r="J93" s="4">
        <v>0.0</v>
      </c>
      <c r="K93" s="4">
        <v>14.52</v>
      </c>
      <c r="L93" s="4">
        <f t="shared" si="6"/>
        <v>3</v>
      </c>
      <c r="O93" s="4">
        <f t="shared" si="9"/>
        <v>0</v>
      </c>
      <c r="P93" s="4">
        <f t="shared" si="10"/>
        <v>14.52</v>
      </c>
    </row>
    <row r="94" ht="15.75" customHeight="1"/>
    <row r="95" ht="15.75" customHeight="1"/>
    <row r="96" ht="15.75" customHeight="1">
      <c r="O96" s="4">
        <f>SUM(O2:O93)</f>
        <v>241.3</v>
      </c>
      <c r="P96" s="4">
        <f>SUMIF(P2:P93,"&gt;0")/10</f>
        <v>170.535</v>
      </c>
    </row>
    <row r="97" ht="15.75" customHeight="1"/>
    <row r="98" ht="15.75" customHeight="1">
      <c r="I98" s="4">
        <f>SUM(I2:I87)</f>
        <v>38.055805</v>
      </c>
      <c r="O98" s="4" t="s">
        <v>15</v>
      </c>
      <c r="P98" s="4">
        <f>O96/P96</f>
        <v>1.414958806</v>
      </c>
    </row>
    <row r="99" ht="15.75" customHeight="1">
      <c r="I99" s="4">
        <f>SUM(I2:I31)</f>
        <v>15.153555</v>
      </c>
      <c r="O99" s="4" t="s">
        <v>16</v>
      </c>
      <c r="P99" s="4">
        <f>SUM(O2:O31)/(SUM(P2:P31)/10)</f>
        <v>0.9348006153</v>
      </c>
    </row>
    <row r="100" ht="15.75" customHeight="1">
      <c r="I100" s="4">
        <f>SUM(I32:I62)</f>
        <v>8.32385</v>
      </c>
      <c r="O100" s="4" t="s">
        <v>17</v>
      </c>
      <c r="P100" s="4">
        <f>SUM(O33:O62)/(SUM(P33:P62)/10)</f>
        <v>1.620339658</v>
      </c>
    </row>
    <row r="101" ht="15.75" customHeight="1">
      <c r="I101" s="4">
        <f>SUM(I63:I93)</f>
        <v>14.5784</v>
      </c>
      <c r="O101" s="4" t="s">
        <v>18</v>
      </c>
      <c r="P101" s="4">
        <f>SUM(O63:O93)/(SUM(P63:P93)/10)</f>
        <v>1.677945999</v>
      </c>
    </row>
    <row r="102" ht="15.75" customHeight="1">
      <c r="I102" s="4">
        <f>SUMIF(I2:I87,"&gt;0")</f>
        <v>38.055805</v>
      </c>
    </row>
    <row r="103" ht="15.75" customHeight="1">
      <c r="I103" s="4">
        <f>SUMIF(I2:I31,"&gt;0")</f>
        <v>15.153555</v>
      </c>
    </row>
    <row r="104" ht="15.75" customHeight="1">
      <c r="I104" s="4">
        <f>SUMIF(I32:I62,"&gt;0")</f>
        <v>8.32385</v>
      </c>
      <c r="P104" s="4">
        <f>SUM(O16:O35)/(SUM(P16:P35)/10)</f>
        <v>0.2488835132</v>
      </c>
    </row>
    <row r="105" ht="15.75" customHeight="1">
      <c r="I105" s="4">
        <f>SUMIF(I63:I87,"&gt;0")</f>
        <v>14.5784</v>
      </c>
      <c r="P105" s="4">
        <f>SUM(O36:O55)/(SUM(P36:P55)/10)</f>
        <v>2.460507925</v>
      </c>
    </row>
    <row r="106" ht="15.75" customHeight="1">
      <c r="P106" s="4">
        <f>SUM(O56:O77)/(SUM(P56:P77)/10)</f>
        <v>1.326741206</v>
      </c>
    </row>
    <row r="107" ht="15.75" customHeight="1">
      <c r="P107" s="4">
        <f>SUM(O16:O77)/(SUM(P16:P77)/10)</f>
        <v>1.299958401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3" t="s">
        <v>0</v>
      </c>
      <c r="C1" s="3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>
      <c r="A2" s="4">
        <v>2017.0</v>
      </c>
      <c r="B2" s="4">
        <v>1.0</v>
      </c>
      <c r="C2" s="4">
        <v>7.91</v>
      </c>
      <c r="D2" s="4">
        <v>16.79</v>
      </c>
      <c r="E2" s="4">
        <f t="shared" ref="E2:E93" si="1">IF(J2&gt;0,1,0)</f>
        <v>1</v>
      </c>
      <c r="F2" s="4">
        <f t="shared" ref="F2:F87" si="2">IF(H2&gt;G2,1,0)</f>
        <v>1</v>
      </c>
      <c r="G2" s="4">
        <f t="shared" ref="G2:G87" si="3"> 0.75 * D2 + 0.41 * D3 + 0.41 * D4 + 0.27 * D5 + 0.74 *D6 + 0.3 *C2 - 0.07 * C3 - 0.16 * C4 + 0.06 * C5 + 0.01 * C6 + 2.88 * E2 + 1.98 * E3 + 1.98 * E4 + 1.79 * E5 + 0.53 * E6-32.47</f>
        <v>12.61969</v>
      </c>
      <c r="H2" s="4">
        <f t="shared" ref="H2:H87" si="4">0.63 * D2 + 0.37 * D3 + 0.49 * D4 + 0.22 * D5 + 0.65 * D6 + 0.24 *C2 - 0.06 * C3- 0.15 * C4 - 0.135 * C5 + 0.15 * C6 + 4.88 * E2 + 3.55 * E3 + 3.34 *E4 + 2.5 * E5 + 2.29 *E6-31.34</f>
        <v>15.982035</v>
      </c>
      <c r="I2" s="4">
        <f t="shared" ref="I2:I87" si="5">IF((H2-G2)&gt;0,H2-G2," ")</f>
        <v>3.362345</v>
      </c>
      <c r="J2" s="4">
        <v>2.1</v>
      </c>
      <c r="K2" s="4">
        <v>12.76</v>
      </c>
      <c r="L2" s="4">
        <f t="shared" ref="L2:L93" si="6">IF(E2&gt;0,8,3)</f>
        <v>8</v>
      </c>
      <c r="M2" s="4">
        <f t="shared" ref="M2:M87" si="7">IF(N2&gt;=0,1,0)</f>
        <v>1</v>
      </c>
      <c r="N2" s="4">
        <f t="shared" ref="N2:N87" si="8">-0.216*D2-0.191*D3-0.119*D4+0.004*C2-0.171*C3+0.628*C4-0.479*L2+0.513*L3+0.046*L4+5.947*E2+6.699*E3+4.328*E4-1.788</f>
        <v>9.684501</v>
      </c>
      <c r="O2" s="4">
        <f t="shared" ref="O2:O93" si="9">IF(K2&gt;10,J2,0)</f>
        <v>2.1</v>
      </c>
      <c r="P2" s="4">
        <f t="shared" ref="P2:P93" si="10">IF(K2&gt;10,K2,0)</f>
        <v>12.76</v>
      </c>
    </row>
    <row r="3">
      <c r="A3" s="4">
        <v>2017.0</v>
      </c>
      <c r="B3" s="4">
        <v>2.0</v>
      </c>
      <c r="C3" s="4">
        <v>2.769</v>
      </c>
      <c r="D3" s="4">
        <v>11.2</v>
      </c>
      <c r="E3" s="4">
        <f t="shared" si="1"/>
        <v>1</v>
      </c>
      <c r="F3" s="4">
        <f t="shared" si="2"/>
        <v>1</v>
      </c>
      <c r="G3" s="4">
        <f t="shared" si="3"/>
        <v>7.74692</v>
      </c>
      <c r="H3" s="4">
        <f t="shared" si="4"/>
        <v>11.22714</v>
      </c>
      <c r="I3" s="4">
        <f t="shared" si="5"/>
        <v>3.48022</v>
      </c>
      <c r="J3" s="4">
        <v>1.3</v>
      </c>
      <c r="K3" s="4">
        <v>6.301</v>
      </c>
      <c r="L3" s="4">
        <f t="shared" si="6"/>
        <v>8</v>
      </c>
      <c r="M3" s="4">
        <f t="shared" si="7"/>
        <v>1</v>
      </c>
      <c r="N3" s="4">
        <f t="shared" si="8"/>
        <v>7.352756</v>
      </c>
      <c r="O3" s="4">
        <f t="shared" si="9"/>
        <v>0</v>
      </c>
      <c r="P3" s="4">
        <f t="shared" si="10"/>
        <v>0</v>
      </c>
    </row>
    <row r="4">
      <c r="A4" s="4">
        <v>2017.0</v>
      </c>
      <c r="B4" s="4">
        <v>3.0</v>
      </c>
      <c r="C4" s="4">
        <v>1.97</v>
      </c>
      <c r="D4" s="4">
        <v>9.84</v>
      </c>
      <c r="E4" s="4">
        <f t="shared" si="1"/>
        <v>1</v>
      </c>
      <c r="F4" s="4">
        <f t="shared" si="2"/>
        <v>0</v>
      </c>
      <c r="G4" s="4">
        <f t="shared" si="3"/>
        <v>13.07498</v>
      </c>
      <c r="H4" s="4">
        <f t="shared" si="4"/>
        <v>12.8892</v>
      </c>
      <c r="I4" s="4" t="str">
        <f t="shared" si="5"/>
        <v> </v>
      </c>
      <c r="J4" s="4">
        <v>1.3</v>
      </c>
      <c r="K4" s="4">
        <v>5.637</v>
      </c>
      <c r="L4" s="4">
        <f t="shared" si="6"/>
        <v>8</v>
      </c>
      <c r="M4" s="4">
        <f t="shared" si="7"/>
        <v>1</v>
      </c>
      <c r="N4" s="4">
        <f t="shared" si="8"/>
        <v>1.116341</v>
      </c>
      <c r="O4" s="4">
        <f t="shared" si="9"/>
        <v>0</v>
      </c>
      <c r="P4" s="4">
        <f t="shared" si="10"/>
        <v>0</v>
      </c>
    </row>
    <row r="5">
      <c r="A5" s="4">
        <v>2017.0</v>
      </c>
      <c r="B5" s="4">
        <v>4.0</v>
      </c>
      <c r="C5" s="4">
        <v>3.875</v>
      </c>
      <c r="D5" s="4">
        <v>14.49</v>
      </c>
      <c r="E5" s="4">
        <f t="shared" si="1"/>
        <v>0</v>
      </c>
      <c r="F5" s="4">
        <f t="shared" si="2"/>
        <v>0</v>
      </c>
      <c r="G5" s="4">
        <f t="shared" si="3"/>
        <v>16.27206</v>
      </c>
      <c r="H5" s="4">
        <f t="shared" si="4"/>
        <v>14.461455</v>
      </c>
      <c r="I5" s="4" t="str">
        <f t="shared" si="5"/>
        <v> </v>
      </c>
      <c r="J5" s="4">
        <v>0.0</v>
      </c>
      <c r="K5" s="4">
        <v>8.77</v>
      </c>
      <c r="L5" s="4">
        <f t="shared" si="6"/>
        <v>3</v>
      </c>
      <c r="M5" s="4">
        <f t="shared" si="7"/>
        <v>1</v>
      </c>
      <c r="N5" s="4">
        <f t="shared" si="8"/>
        <v>5.738528</v>
      </c>
      <c r="O5" s="4">
        <f t="shared" si="9"/>
        <v>0</v>
      </c>
      <c r="P5" s="4">
        <f t="shared" si="10"/>
        <v>0</v>
      </c>
    </row>
    <row r="6">
      <c r="A6" s="4">
        <v>2017.0</v>
      </c>
      <c r="B6" s="4">
        <v>5.0</v>
      </c>
      <c r="C6" s="4">
        <v>2.842</v>
      </c>
      <c r="D6" s="4">
        <v>14.14</v>
      </c>
      <c r="E6" s="4">
        <f t="shared" si="1"/>
        <v>1</v>
      </c>
      <c r="F6" s="4">
        <f t="shared" si="2"/>
        <v>0</v>
      </c>
      <c r="G6" s="4">
        <f t="shared" si="3"/>
        <v>16.9762</v>
      </c>
      <c r="H6" s="4">
        <f t="shared" si="4"/>
        <v>16.83638</v>
      </c>
      <c r="I6" s="4" t="str">
        <f t="shared" si="5"/>
        <v> </v>
      </c>
      <c r="J6" s="4">
        <v>9.3</v>
      </c>
      <c r="K6" s="4">
        <v>10.03</v>
      </c>
      <c r="L6" s="4">
        <f t="shared" si="6"/>
        <v>8</v>
      </c>
      <c r="M6" s="4">
        <f t="shared" si="7"/>
        <v>0</v>
      </c>
      <c r="N6" s="4">
        <f t="shared" si="8"/>
        <v>-5.075442</v>
      </c>
      <c r="O6" s="4">
        <f t="shared" si="9"/>
        <v>9.3</v>
      </c>
      <c r="P6" s="4">
        <f t="shared" si="10"/>
        <v>10.03</v>
      </c>
    </row>
    <row r="7">
      <c r="A7" s="4">
        <v>2017.0</v>
      </c>
      <c r="B7" s="4">
        <v>6.0</v>
      </c>
      <c r="C7" s="4">
        <v>9.71</v>
      </c>
      <c r="D7" s="4">
        <v>14.91</v>
      </c>
      <c r="E7" s="4">
        <f t="shared" si="1"/>
        <v>0</v>
      </c>
      <c r="F7" s="4">
        <f t="shared" si="2"/>
        <v>0</v>
      </c>
      <c r="G7" s="4">
        <f t="shared" si="3"/>
        <v>20.47505</v>
      </c>
      <c r="H7" s="4">
        <f t="shared" si="4"/>
        <v>16.8613</v>
      </c>
      <c r="I7" s="4" t="str">
        <f t="shared" si="5"/>
        <v> </v>
      </c>
      <c r="J7" s="4">
        <v>0.0</v>
      </c>
      <c r="K7" s="4">
        <v>12.62</v>
      </c>
      <c r="L7" s="4">
        <f t="shared" si="6"/>
        <v>3</v>
      </c>
      <c r="M7" s="4">
        <f t="shared" si="7"/>
        <v>0</v>
      </c>
      <c r="N7" s="4">
        <f t="shared" si="8"/>
        <v>-8.215025</v>
      </c>
      <c r="O7" s="4">
        <f t="shared" si="9"/>
        <v>0</v>
      </c>
      <c r="P7" s="4">
        <f t="shared" si="10"/>
        <v>12.62</v>
      </c>
    </row>
    <row r="8">
      <c r="A8" s="4">
        <v>2017.0</v>
      </c>
      <c r="B8" s="4">
        <v>7.0</v>
      </c>
      <c r="C8" s="4">
        <v>5.115</v>
      </c>
      <c r="D8" s="4">
        <v>23.03</v>
      </c>
      <c r="E8" s="4">
        <f t="shared" si="1"/>
        <v>0</v>
      </c>
      <c r="F8" s="4">
        <f t="shared" si="2"/>
        <v>0</v>
      </c>
      <c r="G8" s="4">
        <f t="shared" si="3"/>
        <v>24.7034</v>
      </c>
      <c r="H8" s="4">
        <f t="shared" si="4"/>
        <v>19.82835</v>
      </c>
      <c r="I8" s="4" t="str">
        <f t="shared" si="5"/>
        <v> </v>
      </c>
      <c r="J8" s="4">
        <v>0.0</v>
      </c>
      <c r="K8" s="4">
        <v>14.73</v>
      </c>
      <c r="L8" s="4">
        <f t="shared" si="6"/>
        <v>3</v>
      </c>
      <c r="M8" s="4">
        <f t="shared" si="7"/>
        <v>0</v>
      </c>
      <c r="N8" s="4">
        <f t="shared" si="8"/>
        <v>-7.63509</v>
      </c>
      <c r="O8" s="4">
        <f t="shared" si="9"/>
        <v>0</v>
      </c>
      <c r="P8" s="4">
        <f t="shared" si="10"/>
        <v>14.73</v>
      </c>
    </row>
    <row r="9">
      <c r="A9" s="4">
        <v>2017.0</v>
      </c>
      <c r="B9" s="4">
        <v>8.0</v>
      </c>
      <c r="C9" s="4">
        <v>7.45</v>
      </c>
      <c r="D9" s="4">
        <v>24.29</v>
      </c>
      <c r="E9" s="4">
        <f t="shared" si="1"/>
        <v>0</v>
      </c>
      <c r="F9" s="4">
        <f t="shared" si="2"/>
        <v>0</v>
      </c>
      <c r="G9" s="4">
        <f t="shared" si="3"/>
        <v>26.437</v>
      </c>
      <c r="H9" s="4">
        <f t="shared" si="4"/>
        <v>23.36485</v>
      </c>
      <c r="I9" s="4" t="str">
        <f t="shared" si="5"/>
        <v> </v>
      </c>
      <c r="J9" s="4">
        <v>0.0</v>
      </c>
      <c r="K9" s="4">
        <v>16.56</v>
      </c>
      <c r="L9" s="4">
        <f t="shared" si="6"/>
        <v>3</v>
      </c>
      <c r="M9" s="4">
        <f t="shared" si="7"/>
        <v>0</v>
      </c>
      <c r="N9" s="4">
        <f t="shared" si="8"/>
        <v>-8.23321</v>
      </c>
      <c r="O9" s="4">
        <f t="shared" si="9"/>
        <v>0</v>
      </c>
      <c r="P9" s="4">
        <f t="shared" si="10"/>
        <v>16.56</v>
      </c>
    </row>
    <row r="10">
      <c r="A10" s="4">
        <v>2017.0</v>
      </c>
      <c r="B10" s="4">
        <v>9.0</v>
      </c>
      <c r="C10" s="4">
        <v>11.18</v>
      </c>
      <c r="D10" s="4">
        <v>18.83</v>
      </c>
      <c r="E10" s="4">
        <f t="shared" si="1"/>
        <v>0</v>
      </c>
      <c r="F10" s="4">
        <f t="shared" si="2"/>
        <v>0</v>
      </c>
      <c r="G10" s="4">
        <f t="shared" si="3"/>
        <v>22.9694</v>
      </c>
      <c r="H10" s="4">
        <f t="shared" si="4"/>
        <v>21.5548</v>
      </c>
      <c r="I10" s="4" t="str">
        <f t="shared" si="5"/>
        <v> </v>
      </c>
      <c r="J10" s="4">
        <v>0.0</v>
      </c>
      <c r="K10" s="4">
        <v>15.29</v>
      </c>
      <c r="L10" s="4">
        <f t="shared" si="6"/>
        <v>3</v>
      </c>
      <c r="M10" s="4">
        <f t="shared" si="7"/>
        <v>0</v>
      </c>
      <c r="N10" s="4">
        <f t="shared" si="8"/>
        <v>-7.58651</v>
      </c>
      <c r="O10" s="4">
        <f t="shared" si="9"/>
        <v>0</v>
      </c>
      <c r="P10" s="4">
        <f t="shared" si="10"/>
        <v>15.29</v>
      </c>
    </row>
    <row r="11">
      <c r="A11" s="4">
        <v>2017.0</v>
      </c>
      <c r="B11" s="4">
        <v>10.0</v>
      </c>
      <c r="C11" s="4">
        <v>10.31</v>
      </c>
      <c r="D11" s="4">
        <v>20.46</v>
      </c>
      <c r="E11" s="4">
        <f t="shared" si="1"/>
        <v>0</v>
      </c>
      <c r="F11" s="4">
        <f t="shared" si="2"/>
        <v>0</v>
      </c>
      <c r="G11" s="4">
        <f t="shared" si="3"/>
        <v>26.8352</v>
      </c>
      <c r="H11" s="4">
        <f t="shared" si="4"/>
        <v>26.1041</v>
      </c>
      <c r="I11" s="4" t="str">
        <f t="shared" si="5"/>
        <v> </v>
      </c>
      <c r="J11" s="4">
        <v>0.0</v>
      </c>
      <c r="K11" s="4">
        <v>15.21</v>
      </c>
      <c r="L11" s="4">
        <f t="shared" si="6"/>
        <v>3</v>
      </c>
      <c r="M11" s="4">
        <f t="shared" si="7"/>
        <v>0</v>
      </c>
      <c r="N11" s="4">
        <f t="shared" si="8"/>
        <v>-3.38979</v>
      </c>
      <c r="O11" s="4">
        <f t="shared" si="9"/>
        <v>0</v>
      </c>
      <c r="P11" s="4">
        <f t="shared" si="10"/>
        <v>15.21</v>
      </c>
    </row>
    <row r="12">
      <c r="A12" s="4">
        <v>2017.0</v>
      </c>
      <c r="B12" s="4">
        <v>11.0</v>
      </c>
      <c r="C12" s="4">
        <v>10.11</v>
      </c>
      <c r="D12" s="4">
        <v>22.64</v>
      </c>
      <c r="E12" s="4">
        <f t="shared" si="1"/>
        <v>0</v>
      </c>
      <c r="F12" s="4">
        <f t="shared" si="2"/>
        <v>1</v>
      </c>
      <c r="G12" s="4">
        <f t="shared" si="3"/>
        <v>21.9777</v>
      </c>
      <c r="H12" s="4">
        <f t="shared" si="4"/>
        <v>23.38635</v>
      </c>
      <c r="I12" s="4">
        <f t="shared" si="5"/>
        <v>1.40865</v>
      </c>
      <c r="J12" s="4">
        <v>0.0</v>
      </c>
      <c r="K12" s="4">
        <v>15.89</v>
      </c>
      <c r="L12" s="4">
        <f t="shared" si="6"/>
        <v>3</v>
      </c>
      <c r="M12" s="4">
        <f t="shared" si="7"/>
        <v>1</v>
      </c>
      <c r="N12" s="4">
        <f t="shared" si="8"/>
        <v>6.21924</v>
      </c>
      <c r="O12" s="4">
        <f t="shared" si="9"/>
        <v>0</v>
      </c>
      <c r="P12" s="4">
        <f t="shared" si="10"/>
        <v>15.89</v>
      </c>
    </row>
    <row r="13">
      <c r="A13" s="4">
        <v>2017.0</v>
      </c>
      <c r="B13" s="4">
        <v>12.0</v>
      </c>
      <c r="C13" s="4">
        <v>10.88</v>
      </c>
      <c r="D13" s="4">
        <v>23.54</v>
      </c>
      <c r="E13" s="4">
        <f t="shared" si="1"/>
        <v>1</v>
      </c>
      <c r="F13" s="4">
        <f t="shared" si="2"/>
        <v>1</v>
      </c>
      <c r="G13" s="4">
        <f t="shared" si="3"/>
        <v>27.634</v>
      </c>
      <c r="H13" s="4">
        <f t="shared" si="4"/>
        <v>31.3273</v>
      </c>
      <c r="I13" s="4">
        <f t="shared" si="5"/>
        <v>3.6933</v>
      </c>
      <c r="J13" s="4">
        <v>0.7</v>
      </c>
      <c r="K13" s="4">
        <v>17.24</v>
      </c>
      <c r="L13" s="4">
        <f t="shared" si="6"/>
        <v>8</v>
      </c>
      <c r="M13" s="4">
        <f t="shared" si="7"/>
        <v>1</v>
      </c>
      <c r="N13" s="4">
        <f t="shared" si="8"/>
        <v>8.03735</v>
      </c>
      <c r="O13" s="4">
        <f t="shared" si="9"/>
        <v>0.7</v>
      </c>
      <c r="P13" s="4">
        <f t="shared" si="10"/>
        <v>17.24</v>
      </c>
    </row>
    <row r="14">
      <c r="A14" s="4">
        <v>2017.0</v>
      </c>
      <c r="B14" s="4">
        <v>13.0</v>
      </c>
      <c r="C14" s="4">
        <v>11.58</v>
      </c>
      <c r="D14" s="4">
        <v>17.82</v>
      </c>
      <c r="E14" s="4">
        <f t="shared" si="1"/>
        <v>1</v>
      </c>
      <c r="F14" s="4">
        <f t="shared" si="2"/>
        <v>1</v>
      </c>
      <c r="G14" s="4">
        <f t="shared" si="3"/>
        <v>26.1714</v>
      </c>
      <c r="H14" s="4">
        <f t="shared" si="4"/>
        <v>26.79975</v>
      </c>
      <c r="I14" s="4">
        <f t="shared" si="5"/>
        <v>0.62835</v>
      </c>
      <c r="J14" s="4">
        <v>6.1</v>
      </c>
      <c r="K14" s="4">
        <v>14.21</v>
      </c>
      <c r="L14" s="4">
        <f t="shared" si="6"/>
        <v>8</v>
      </c>
      <c r="M14" s="4">
        <f t="shared" si="7"/>
        <v>1</v>
      </c>
      <c r="N14" s="4">
        <f t="shared" si="8"/>
        <v>10.0672</v>
      </c>
      <c r="O14" s="4">
        <f t="shared" si="9"/>
        <v>6.1</v>
      </c>
      <c r="P14" s="4">
        <f t="shared" si="10"/>
        <v>14.21</v>
      </c>
    </row>
    <row r="15">
      <c r="A15" s="4">
        <v>2017.0</v>
      </c>
      <c r="B15" s="4">
        <v>14.0</v>
      </c>
      <c r="C15" s="4">
        <v>7.91</v>
      </c>
      <c r="D15" s="4">
        <v>19.59</v>
      </c>
      <c r="E15" s="4">
        <f t="shared" si="1"/>
        <v>1</v>
      </c>
      <c r="F15" s="4">
        <f t="shared" si="2"/>
        <v>1</v>
      </c>
      <c r="G15" s="4">
        <f t="shared" si="3"/>
        <v>26.8963</v>
      </c>
      <c r="H15" s="4">
        <f t="shared" si="4"/>
        <v>27.9278</v>
      </c>
      <c r="I15" s="4">
        <f t="shared" si="5"/>
        <v>1.0315</v>
      </c>
      <c r="J15" s="4">
        <v>4.8</v>
      </c>
      <c r="K15" s="4">
        <v>12.71</v>
      </c>
      <c r="L15" s="4">
        <f t="shared" si="6"/>
        <v>8</v>
      </c>
      <c r="M15" s="4">
        <f t="shared" si="7"/>
        <v>1</v>
      </c>
      <c r="N15" s="4">
        <f t="shared" si="8"/>
        <v>11.27202</v>
      </c>
      <c r="O15" s="4">
        <f t="shared" si="9"/>
        <v>4.8</v>
      </c>
      <c r="P15" s="4">
        <f t="shared" si="10"/>
        <v>12.71</v>
      </c>
    </row>
    <row r="16">
      <c r="A16" s="4">
        <v>2017.0</v>
      </c>
      <c r="B16" s="4">
        <v>15.0</v>
      </c>
      <c r="C16" s="4">
        <v>7.04</v>
      </c>
      <c r="D16" s="4">
        <v>10.78</v>
      </c>
      <c r="E16" s="4">
        <f t="shared" si="1"/>
        <v>1</v>
      </c>
      <c r="F16" s="4">
        <f t="shared" si="2"/>
        <v>1</v>
      </c>
      <c r="G16" s="4">
        <f t="shared" si="3"/>
        <v>21.1145</v>
      </c>
      <c r="H16" s="4">
        <f t="shared" si="4"/>
        <v>23.7364</v>
      </c>
      <c r="I16" s="4">
        <f t="shared" si="5"/>
        <v>2.6219</v>
      </c>
      <c r="J16" s="4">
        <v>7.9</v>
      </c>
      <c r="K16" s="4">
        <v>9.02</v>
      </c>
      <c r="L16" s="4">
        <f t="shared" si="6"/>
        <v>8</v>
      </c>
      <c r="M16" s="4">
        <f t="shared" si="7"/>
        <v>1</v>
      </c>
      <c r="N16" s="4">
        <f t="shared" si="8"/>
        <v>5.89955</v>
      </c>
      <c r="O16" s="4">
        <f t="shared" si="9"/>
        <v>0</v>
      </c>
      <c r="P16" s="4">
        <f t="shared" si="10"/>
        <v>0</v>
      </c>
    </row>
    <row r="17">
      <c r="A17" s="4">
        <v>2017.0</v>
      </c>
      <c r="B17" s="4">
        <v>16.0</v>
      </c>
      <c r="C17" s="4">
        <v>8.05</v>
      </c>
      <c r="D17" s="4">
        <v>18.04</v>
      </c>
      <c r="E17" s="4">
        <f t="shared" si="1"/>
        <v>1</v>
      </c>
      <c r="F17" s="4">
        <f t="shared" si="2"/>
        <v>1</v>
      </c>
      <c r="G17" s="4">
        <f t="shared" si="3"/>
        <v>30.0533</v>
      </c>
      <c r="H17" s="4">
        <f t="shared" si="4"/>
        <v>30.45055</v>
      </c>
      <c r="I17" s="4">
        <f t="shared" si="5"/>
        <v>0.39725</v>
      </c>
      <c r="J17" s="4">
        <v>0.1</v>
      </c>
      <c r="K17" s="4">
        <v>12.01</v>
      </c>
      <c r="L17" s="4">
        <f t="shared" si="6"/>
        <v>8</v>
      </c>
      <c r="M17" s="4">
        <f t="shared" si="7"/>
        <v>0</v>
      </c>
      <c r="N17" s="4">
        <f t="shared" si="8"/>
        <v>-3.97653</v>
      </c>
      <c r="O17" s="4">
        <f t="shared" si="9"/>
        <v>0.1</v>
      </c>
      <c r="P17" s="4">
        <f t="shared" si="10"/>
        <v>12.01</v>
      </c>
    </row>
    <row r="18">
      <c r="A18" s="4">
        <v>2017.0</v>
      </c>
      <c r="B18" s="4">
        <v>17.0</v>
      </c>
      <c r="C18" s="4">
        <v>7.14</v>
      </c>
      <c r="D18" s="4">
        <v>22.94</v>
      </c>
      <c r="E18" s="4">
        <f t="shared" si="1"/>
        <v>0</v>
      </c>
      <c r="F18" s="4">
        <f t="shared" si="2"/>
        <v>0</v>
      </c>
      <c r="G18" s="4">
        <f t="shared" si="3"/>
        <v>27.5486</v>
      </c>
      <c r="H18" s="4">
        <f t="shared" si="4"/>
        <v>26.3423</v>
      </c>
      <c r="I18" s="4" t="str">
        <f t="shared" si="5"/>
        <v> </v>
      </c>
      <c r="J18" s="4">
        <v>0.0</v>
      </c>
      <c r="K18" s="4">
        <v>15.42</v>
      </c>
      <c r="L18" s="4">
        <f t="shared" si="6"/>
        <v>3</v>
      </c>
      <c r="M18" s="4">
        <f t="shared" si="7"/>
        <v>0</v>
      </c>
      <c r="N18" s="4">
        <f t="shared" si="8"/>
        <v>-3.09547</v>
      </c>
      <c r="O18" s="4">
        <f t="shared" si="9"/>
        <v>0</v>
      </c>
      <c r="P18" s="4">
        <f t="shared" si="10"/>
        <v>15.42</v>
      </c>
    </row>
    <row r="19">
      <c r="A19" s="4">
        <v>2017.0</v>
      </c>
      <c r="B19" s="4">
        <v>18.0</v>
      </c>
      <c r="C19" s="4">
        <v>10.34</v>
      </c>
      <c r="D19" s="4">
        <v>25.27</v>
      </c>
      <c r="E19" s="4">
        <f t="shared" si="1"/>
        <v>0</v>
      </c>
      <c r="F19" s="4">
        <f t="shared" si="2"/>
        <v>1</v>
      </c>
      <c r="G19" s="4">
        <f t="shared" si="3"/>
        <v>29.3588</v>
      </c>
      <c r="H19" s="4">
        <f t="shared" si="4"/>
        <v>30.3214</v>
      </c>
      <c r="I19" s="4">
        <f t="shared" si="5"/>
        <v>0.9626</v>
      </c>
      <c r="J19" s="4">
        <v>0.0</v>
      </c>
      <c r="K19" s="4">
        <v>18.83</v>
      </c>
      <c r="L19" s="4">
        <f t="shared" si="6"/>
        <v>3</v>
      </c>
      <c r="M19" s="4">
        <f t="shared" si="7"/>
        <v>1</v>
      </c>
      <c r="N19" s="4">
        <f t="shared" si="8"/>
        <v>5.835</v>
      </c>
      <c r="O19" s="4">
        <f t="shared" si="9"/>
        <v>0</v>
      </c>
      <c r="P19" s="4">
        <f t="shared" si="10"/>
        <v>18.83</v>
      </c>
    </row>
    <row r="20">
      <c r="A20" s="4">
        <v>2017.0</v>
      </c>
      <c r="B20" s="4">
        <v>19.0</v>
      </c>
      <c r="C20" s="4">
        <v>12.55</v>
      </c>
      <c r="D20" s="4">
        <v>20.72</v>
      </c>
      <c r="E20" s="4">
        <f t="shared" si="1"/>
        <v>1</v>
      </c>
      <c r="F20" s="4">
        <f t="shared" si="2"/>
        <v>1</v>
      </c>
      <c r="G20" s="4">
        <f t="shared" si="3"/>
        <v>28.782</v>
      </c>
      <c r="H20" s="4">
        <f t="shared" si="4"/>
        <v>31.8408</v>
      </c>
      <c r="I20" s="4">
        <f t="shared" si="5"/>
        <v>3.0588</v>
      </c>
      <c r="J20" s="4">
        <v>9.3</v>
      </c>
      <c r="K20" s="4">
        <v>15.61</v>
      </c>
      <c r="L20" s="4">
        <f t="shared" si="6"/>
        <v>8</v>
      </c>
      <c r="M20" s="4">
        <f t="shared" si="7"/>
        <v>1</v>
      </c>
      <c r="N20" s="4">
        <f t="shared" si="8"/>
        <v>8.70722</v>
      </c>
      <c r="O20" s="4">
        <f t="shared" si="9"/>
        <v>9.3</v>
      </c>
      <c r="P20" s="4">
        <f t="shared" si="10"/>
        <v>15.61</v>
      </c>
    </row>
    <row r="21" ht="15.75" customHeight="1">
      <c r="A21" s="4">
        <v>2017.0</v>
      </c>
      <c r="B21" s="4">
        <v>20.0</v>
      </c>
      <c r="C21" s="4">
        <v>12.52</v>
      </c>
      <c r="D21" s="4">
        <v>23.37</v>
      </c>
      <c r="E21" s="4">
        <f t="shared" si="1"/>
        <v>1</v>
      </c>
      <c r="F21" s="4">
        <f t="shared" si="2"/>
        <v>1</v>
      </c>
      <c r="G21" s="4">
        <f t="shared" si="3"/>
        <v>30.25781</v>
      </c>
      <c r="H21" s="4">
        <f t="shared" si="4"/>
        <v>30.9367</v>
      </c>
      <c r="I21" s="4">
        <f t="shared" si="5"/>
        <v>0.67889</v>
      </c>
      <c r="J21" s="4">
        <v>7.1</v>
      </c>
      <c r="K21" s="4">
        <v>17.77</v>
      </c>
      <c r="L21" s="4">
        <f t="shared" si="6"/>
        <v>8</v>
      </c>
      <c r="M21" s="4">
        <f t="shared" si="7"/>
        <v>1</v>
      </c>
      <c r="N21" s="4">
        <f t="shared" si="8"/>
        <v>8.7281</v>
      </c>
      <c r="O21" s="4">
        <f t="shared" si="9"/>
        <v>7.1</v>
      </c>
      <c r="P21" s="4">
        <f t="shared" si="10"/>
        <v>17.77</v>
      </c>
    </row>
    <row r="22" ht="15.75" customHeight="1">
      <c r="A22" s="4">
        <v>2017.0</v>
      </c>
      <c r="B22" s="4">
        <v>21.0</v>
      </c>
      <c r="C22" s="4">
        <v>9.58</v>
      </c>
      <c r="D22" s="4">
        <v>17.69</v>
      </c>
      <c r="E22" s="4">
        <f t="shared" si="1"/>
        <v>1</v>
      </c>
      <c r="F22" s="4">
        <f t="shared" si="2"/>
        <v>1</v>
      </c>
      <c r="G22" s="4">
        <f t="shared" si="3"/>
        <v>25.86126</v>
      </c>
      <c r="H22" s="4">
        <f t="shared" si="4"/>
        <v>28.757815</v>
      </c>
      <c r="I22" s="4">
        <f t="shared" si="5"/>
        <v>2.896555</v>
      </c>
      <c r="J22" s="4">
        <v>2.4</v>
      </c>
      <c r="K22" s="4">
        <v>13.55</v>
      </c>
      <c r="L22" s="4">
        <f t="shared" si="6"/>
        <v>8</v>
      </c>
      <c r="M22" s="4">
        <f t="shared" si="7"/>
        <v>1</v>
      </c>
      <c r="N22" s="4">
        <f t="shared" si="8"/>
        <v>10.09725</v>
      </c>
      <c r="O22" s="4">
        <f t="shared" si="9"/>
        <v>2.4</v>
      </c>
      <c r="P22" s="4">
        <f t="shared" si="10"/>
        <v>13.55</v>
      </c>
    </row>
    <row r="23" ht="15.75" customHeight="1">
      <c r="A23" s="4">
        <v>2017.0</v>
      </c>
      <c r="B23" s="4">
        <v>22.0</v>
      </c>
      <c r="C23" s="4">
        <v>7.94</v>
      </c>
      <c r="D23" s="4">
        <v>17.39</v>
      </c>
      <c r="E23" s="4">
        <f t="shared" si="1"/>
        <v>1</v>
      </c>
      <c r="F23" s="4">
        <f t="shared" si="2"/>
        <v>1</v>
      </c>
      <c r="G23" s="4">
        <f t="shared" si="3"/>
        <v>29.15394</v>
      </c>
      <c r="H23" s="4">
        <f t="shared" si="4"/>
        <v>31.89725</v>
      </c>
      <c r="I23" s="4">
        <f t="shared" si="5"/>
        <v>2.74331</v>
      </c>
      <c r="J23" s="4">
        <v>2.7</v>
      </c>
      <c r="K23" s="4">
        <v>11.21</v>
      </c>
      <c r="L23" s="4">
        <f t="shared" si="6"/>
        <v>8</v>
      </c>
      <c r="M23" s="4">
        <f t="shared" si="7"/>
        <v>1</v>
      </c>
      <c r="N23" s="4">
        <f t="shared" si="8"/>
        <v>4.129858</v>
      </c>
      <c r="O23" s="4">
        <f t="shared" si="9"/>
        <v>2.7</v>
      </c>
      <c r="P23" s="4">
        <f t="shared" si="10"/>
        <v>11.21</v>
      </c>
    </row>
    <row r="24" ht="15.75" customHeight="1">
      <c r="A24" s="4">
        <v>2017.0</v>
      </c>
      <c r="B24" s="4">
        <v>23.0</v>
      </c>
      <c r="C24" s="4">
        <v>7.71</v>
      </c>
      <c r="D24" s="4">
        <v>17.72</v>
      </c>
      <c r="E24" s="4">
        <f t="shared" si="1"/>
        <v>1</v>
      </c>
      <c r="F24" s="4">
        <f t="shared" si="2"/>
        <v>1</v>
      </c>
      <c r="G24" s="4">
        <f t="shared" si="3"/>
        <v>29.45143</v>
      </c>
      <c r="H24" s="4">
        <f t="shared" si="4"/>
        <v>30.79554</v>
      </c>
      <c r="I24" s="4">
        <f t="shared" si="5"/>
        <v>1.34411</v>
      </c>
      <c r="J24" s="4">
        <v>3.3</v>
      </c>
      <c r="K24" s="4">
        <v>11.25</v>
      </c>
      <c r="L24" s="4">
        <f t="shared" si="6"/>
        <v>8</v>
      </c>
      <c r="M24" s="4">
        <f t="shared" si="7"/>
        <v>0</v>
      </c>
      <c r="N24" s="4">
        <f t="shared" si="8"/>
        <v>-0.055971</v>
      </c>
      <c r="O24" s="4">
        <f t="shared" si="9"/>
        <v>3.3</v>
      </c>
      <c r="P24" s="4">
        <f t="shared" si="10"/>
        <v>11.25</v>
      </c>
    </row>
    <row r="25" ht="15.75" customHeight="1">
      <c r="A25" s="4">
        <v>2017.0</v>
      </c>
      <c r="B25" s="4">
        <v>24.0</v>
      </c>
      <c r="C25" s="4">
        <v>5.911</v>
      </c>
      <c r="D25" s="4">
        <v>20.36</v>
      </c>
      <c r="E25" s="4">
        <f t="shared" si="1"/>
        <v>0</v>
      </c>
      <c r="F25" s="4">
        <f t="shared" si="2"/>
        <v>0</v>
      </c>
      <c r="G25" s="4">
        <f t="shared" si="3"/>
        <v>29.9252</v>
      </c>
      <c r="H25" s="4">
        <f t="shared" si="4"/>
        <v>29.08569</v>
      </c>
      <c r="I25" s="4" t="str">
        <f t="shared" si="5"/>
        <v> </v>
      </c>
      <c r="J25" s="4">
        <v>0.0</v>
      </c>
      <c r="K25" s="4">
        <v>13.65</v>
      </c>
      <c r="L25" s="4">
        <f t="shared" si="6"/>
        <v>3</v>
      </c>
      <c r="M25" s="4">
        <f t="shared" si="7"/>
        <v>1</v>
      </c>
      <c r="N25" s="4">
        <f t="shared" si="8"/>
        <v>7.865954</v>
      </c>
      <c r="O25" s="4">
        <f t="shared" si="9"/>
        <v>0</v>
      </c>
      <c r="P25" s="4">
        <f t="shared" si="10"/>
        <v>13.65</v>
      </c>
    </row>
    <row r="26" ht="15.75" customHeight="1">
      <c r="A26" s="4">
        <v>2017.0</v>
      </c>
      <c r="B26" s="4">
        <v>25.0</v>
      </c>
      <c r="C26" s="4">
        <v>7.48</v>
      </c>
      <c r="D26" s="4">
        <v>22.01</v>
      </c>
      <c r="E26" s="4">
        <f t="shared" si="1"/>
        <v>1</v>
      </c>
      <c r="F26" s="4">
        <f t="shared" si="2"/>
        <v>0</v>
      </c>
      <c r="G26" s="4">
        <f t="shared" si="3"/>
        <v>33.6703</v>
      </c>
      <c r="H26" s="4">
        <f t="shared" si="4"/>
        <v>33.63595</v>
      </c>
      <c r="I26" s="4" t="str">
        <f t="shared" si="5"/>
        <v> </v>
      </c>
      <c r="J26" s="4">
        <v>0.9</v>
      </c>
      <c r="K26" s="4">
        <v>14.89</v>
      </c>
      <c r="L26" s="4">
        <f t="shared" si="6"/>
        <v>8</v>
      </c>
      <c r="M26" s="4">
        <f t="shared" si="7"/>
        <v>1</v>
      </c>
      <c r="N26" s="4">
        <f t="shared" si="8"/>
        <v>8.98145</v>
      </c>
      <c r="O26" s="4">
        <f t="shared" si="9"/>
        <v>0.9</v>
      </c>
      <c r="P26" s="4">
        <f t="shared" si="10"/>
        <v>14.89</v>
      </c>
    </row>
    <row r="27" ht="15.75" customHeight="1">
      <c r="A27" s="4">
        <v>2017.0</v>
      </c>
      <c r="B27" s="4">
        <v>26.0</v>
      </c>
      <c r="C27" s="4">
        <v>13.38</v>
      </c>
      <c r="D27" s="4">
        <v>24.82</v>
      </c>
      <c r="E27" s="4">
        <f t="shared" si="1"/>
        <v>1</v>
      </c>
      <c r="F27" s="4">
        <f t="shared" si="2"/>
        <v>1</v>
      </c>
      <c r="G27" s="4">
        <f t="shared" si="3"/>
        <v>37.4091</v>
      </c>
      <c r="H27" s="4">
        <f t="shared" si="4"/>
        <v>38.13865</v>
      </c>
      <c r="I27" s="4">
        <f t="shared" si="5"/>
        <v>0.72955</v>
      </c>
      <c r="J27" s="4">
        <v>10.4</v>
      </c>
      <c r="K27" s="4">
        <v>17.87</v>
      </c>
      <c r="L27" s="4">
        <f t="shared" si="6"/>
        <v>8</v>
      </c>
      <c r="M27" s="4">
        <f t="shared" si="7"/>
        <v>1</v>
      </c>
      <c r="N27" s="4">
        <f t="shared" si="8"/>
        <v>2.8573</v>
      </c>
      <c r="O27" s="4">
        <f t="shared" si="9"/>
        <v>10.4</v>
      </c>
      <c r="P27" s="4">
        <f t="shared" si="10"/>
        <v>17.87</v>
      </c>
    </row>
    <row r="28" ht="15.75" customHeight="1">
      <c r="A28" s="4">
        <v>2017.0</v>
      </c>
      <c r="B28" s="4">
        <v>27.0</v>
      </c>
      <c r="C28" s="4">
        <v>11.85</v>
      </c>
      <c r="D28" s="4">
        <v>21.29</v>
      </c>
      <c r="E28" s="4">
        <f t="shared" si="1"/>
        <v>1</v>
      </c>
      <c r="F28" s="4">
        <f t="shared" si="2"/>
        <v>0</v>
      </c>
      <c r="G28" s="4">
        <f t="shared" si="3"/>
        <v>35.8026</v>
      </c>
      <c r="H28" s="4">
        <f t="shared" si="4"/>
        <v>35.16375</v>
      </c>
      <c r="I28" s="4" t="str">
        <f t="shared" si="5"/>
        <v> </v>
      </c>
      <c r="J28" s="4">
        <v>0.2</v>
      </c>
      <c r="K28" s="4">
        <v>16.67</v>
      </c>
      <c r="L28" s="4">
        <f t="shared" si="6"/>
        <v>8</v>
      </c>
      <c r="M28" s="4">
        <f t="shared" si="7"/>
        <v>0</v>
      </c>
      <c r="N28" s="4">
        <f t="shared" si="8"/>
        <v>-6.41135</v>
      </c>
      <c r="O28" s="4">
        <f t="shared" si="9"/>
        <v>0.2</v>
      </c>
      <c r="P28" s="4">
        <f t="shared" si="10"/>
        <v>16.67</v>
      </c>
    </row>
    <row r="29" ht="15.75" customHeight="1">
      <c r="A29" s="4">
        <v>2017.0</v>
      </c>
      <c r="B29" s="4">
        <v>28.0</v>
      </c>
      <c r="C29" s="4">
        <v>8.99</v>
      </c>
      <c r="D29" s="4">
        <v>22.32</v>
      </c>
      <c r="E29" s="4">
        <f t="shared" si="1"/>
        <v>0</v>
      </c>
      <c r="F29" s="4">
        <f t="shared" si="2"/>
        <v>0</v>
      </c>
      <c r="G29" s="4">
        <f t="shared" si="3"/>
        <v>30.5127</v>
      </c>
      <c r="H29" s="4">
        <f t="shared" si="4"/>
        <v>29.58635</v>
      </c>
      <c r="I29" s="4" t="str">
        <f t="shared" si="5"/>
        <v> </v>
      </c>
      <c r="J29" s="4">
        <v>0.0</v>
      </c>
      <c r="K29" s="4">
        <v>15.81</v>
      </c>
      <c r="L29" s="4">
        <f t="shared" si="6"/>
        <v>3</v>
      </c>
      <c r="M29" s="4">
        <f t="shared" si="7"/>
        <v>0</v>
      </c>
      <c r="N29" s="4">
        <f t="shared" si="8"/>
        <v>-2.09226</v>
      </c>
      <c r="O29" s="4">
        <f t="shared" si="9"/>
        <v>0</v>
      </c>
      <c r="P29" s="4">
        <f t="shared" si="10"/>
        <v>15.81</v>
      </c>
    </row>
    <row r="30" ht="15.75" customHeight="1">
      <c r="A30" s="4">
        <v>2017.0</v>
      </c>
      <c r="B30" s="4">
        <v>29.0</v>
      </c>
      <c r="C30" s="4">
        <v>7.65</v>
      </c>
      <c r="D30" s="4">
        <v>24.1</v>
      </c>
      <c r="E30" s="4">
        <f t="shared" si="1"/>
        <v>0</v>
      </c>
      <c r="F30" s="4">
        <f t="shared" si="2"/>
        <v>1</v>
      </c>
      <c r="G30" s="4">
        <f t="shared" si="3"/>
        <v>32.8772</v>
      </c>
      <c r="H30" s="4">
        <f t="shared" si="4"/>
        <v>33.77795</v>
      </c>
      <c r="I30" s="4">
        <f t="shared" si="5"/>
        <v>0.90075</v>
      </c>
      <c r="J30" s="4">
        <v>0.0</v>
      </c>
      <c r="K30" s="4">
        <v>17.03</v>
      </c>
      <c r="L30" s="4">
        <f t="shared" si="6"/>
        <v>3</v>
      </c>
      <c r="M30" s="4">
        <f t="shared" si="7"/>
        <v>1</v>
      </c>
      <c r="N30" s="4">
        <f t="shared" si="8"/>
        <v>6.0358</v>
      </c>
      <c r="O30" s="4">
        <f t="shared" si="9"/>
        <v>0</v>
      </c>
      <c r="P30" s="4">
        <f t="shared" si="10"/>
        <v>17.03</v>
      </c>
    </row>
    <row r="31" ht="15.75" customHeight="1">
      <c r="A31" s="4">
        <v>2017.0</v>
      </c>
      <c r="B31" s="4">
        <v>30.0</v>
      </c>
      <c r="C31" s="4">
        <v>13.81</v>
      </c>
      <c r="D31" s="4">
        <v>25.87</v>
      </c>
      <c r="E31" s="4">
        <f t="shared" si="1"/>
        <v>1</v>
      </c>
      <c r="F31" s="4">
        <f t="shared" si="2"/>
        <v>1</v>
      </c>
      <c r="G31" s="4">
        <f t="shared" si="3"/>
        <v>37.1209</v>
      </c>
      <c r="H31" s="4">
        <f t="shared" si="4"/>
        <v>38.5041</v>
      </c>
      <c r="I31" s="4">
        <f t="shared" si="5"/>
        <v>1.3832</v>
      </c>
      <c r="J31" s="4">
        <v>21.6</v>
      </c>
      <c r="K31" s="4">
        <v>18.31</v>
      </c>
      <c r="L31" s="4">
        <f t="shared" si="6"/>
        <v>8</v>
      </c>
      <c r="M31" s="4">
        <f t="shared" si="7"/>
        <v>1</v>
      </c>
      <c r="N31" s="4">
        <f t="shared" si="8"/>
        <v>8.83987</v>
      </c>
      <c r="O31" s="4">
        <f t="shared" si="9"/>
        <v>21.6</v>
      </c>
      <c r="P31" s="4">
        <f t="shared" si="10"/>
        <v>18.31</v>
      </c>
    </row>
    <row r="32" ht="15.75" customHeight="1">
      <c r="A32" s="4">
        <v>2017.0</v>
      </c>
      <c r="B32" s="4">
        <v>1.0</v>
      </c>
      <c r="C32" s="4">
        <v>14.65</v>
      </c>
      <c r="D32" s="4">
        <v>24.88</v>
      </c>
      <c r="E32" s="4">
        <f t="shared" si="1"/>
        <v>1</v>
      </c>
      <c r="F32" s="4">
        <f t="shared" si="2"/>
        <v>1</v>
      </c>
      <c r="G32" s="4">
        <f t="shared" si="3"/>
        <v>34.4915</v>
      </c>
      <c r="H32" s="4">
        <f t="shared" si="4"/>
        <v>34.8573</v>
      </c>
      <c r="I32" s="4">
        <f t="shared" si="5"/>
        <v>0.3658</v>
      </c>
      <c r="J32" s="4">
        <v>8.0</v>
      </c>
      <c r="K32" s="4">
        <v>19.19</v>
      </c>
      <c r="L32" s="4">
        <f t="shared" si="6"/>
        <v>8</v>
      </c>
      <c r="M32" s="4">
        <f t="shared" si="7"/>
        <v>1</v>
      </c>
      <c r="N32" s="4">
        <f t="shared" si="8"/>
        <v>10.21332</v>
      </c>
      <c r="O32" s="4">
        <f t="shared" si="9"/>
        <v>8</v>
      </c>
      <c r="P32" s="4">
        <f t="shared" si="10"/>
        <v>19.19</v>
      </c>
    </row>
    <row r="33" ht="15.75" customHeight="1">
      <c r="A33" s="4">
        <v>2017.0</v>
      </c>
      <c r="B33" s="4">
        <v>2.0</v>
      </c>
      <c r="C33" s="4">
        <v>12.77</v>
      </c>
      <c r="D33" s="4">
        <v>18.62</v>
      </c>
      <c r="E33" s="4">
        <f t="shared" si="1"/>
        <v>1</v>
      </c>
      <c r="F33" s="4">
        <f t="shared" si="2"/>
        <v>1</v>
      </c>
      <c r="G33" s="4">
        <f t="shared" si="3"/>
        <v>28.0844</v>
      </c>
      <c r="H33" s="4">
        <f t="shared" si="4"/>
        <v>30.90435</v>
      </c>
      <c r="I33" s="4">
        <f t="shared" si="5"/>
        <v>2.81995</v>
      </c>
      <c r="J33" s="4">
        <v>15.5</v>
      </c>
      <c r="K33" s="4">
        <v>15.86</v>
      </c>
      <c r="L33" s="4">
        <f t="shared" si="6"/>
        <v>8</v>
      </c>
      <c r="M33" s="4">
        <f t="shared" si="7"/>
        <v>1</v>
      </c>
      <c r="N33" s="4">
        <f t="shared" si="8"/>
        <v>9.56727</v>
      </c>
      <c r="O33" s="4">
        <f t="shared" si="9"/>
        <v>15.5</v>
      </c>
      <c r="P33" s="4">
        <f t="shared" si="10"/>
        <v>15.86</v>
      </c>
    </row>
    <row r="34" ht="15.75" customHeight="1">
      <c r="A34" s="4">
        <v>2017.0</v>
      </c>
      <c r="B34" s="4">
        <v>3.0</v>
      </c>
      <c r="C34" s="4">
        <v>12.58</v>
      </c>
      <c r="D34" s="4">
        <v>20.65</v>
      </c>
      <c r="E34" s="4">
        <f t="shared" si="1"/>
        <v>1</v>
      </c>
      <c r="F34" s="4">
        <f t="shared" si="2"/>
        <v>1</v>
      </c>
      <c r="G34" s="4">
        <f t="shared" si="3"/>
        <v>27.0311</v>
      </c>
      <c r="H34" s="4">
        <f t="shared" si="4"/>
        <v>28.7345</v>
      </c>
      <c r="I34" s="4">
        <f t="shared" si="5"/>
        <v>1.7034</v>
      </c>
      <c r="J34" s="4">
        <v>26.3</v>
      </c>
      <c r="K34" s="4">
        <v>15.62</v>
      </c>
      <c r="L34" s="4">
        <f t="shared" si="6"/>
        <v>8</v>
      </c>
      <c r="M34" s="4">
        <f t="shared" si="7"/>
        <v>1</v>
      </c>
      <c r="N34" s="4">
        <f t="shared" si="8"/>
        <v>4.08593</v>
      </c>
      <c r="O34" s="4">
        <f t="shared" si="9"/>
        <v>26.3</v>
      </c>
      <c r="P34" s="4">
        <f t="shared" si="10"/>
        <v>15.62</v>
      </c>
    </row>
    <row r="35" ht="15.75" customHeight="1">
      <c r="A35" s="4">
        <v>2017.0</v>
      </c>
      <c r="B35" s="4">
        <v>4.0</v>
      </c>
      <c r="C35" s="4">
        <v>10.08</v>
      </c>
      <c r="D35" s="4">
        <v>21.2</v>
      </c>
      <c r="E35" s="4">
        <f t="shared" si="1"/>
        <v>1</v>
      </c>
      <c r="F35" s="4">
        <f t="shared" si="2"/>
        <v>1</v>
      </c>
      <c r="G35" s="4">
        <f t="shared" si="3"/>
        <v>21.8818</v>
      </c>
      <c r="H35" s="4">
        <f t="shared" si="4"/>
        <v>24.4392</v>
      </c>
      <c r="I35" s="4">
        <f t="shared" si="5"/>
        <v>2.5574</v>
      </c>
      <c r="J35" s="4">
        <v>6.8</v>
      </c>
      <c r="K35" s="4">
        <v>15.51</v>
      </c>
      <c r="L35" s="4">
        <f t="shared" si="6"/>
        <v>8</v>
      </c>
      <c r="M35" s="4">
        <f t="shared" si="7"/>
        <v>1</v>
      </c>
      <c r="N35" s="4">
        <f t="shared" si="8"/>
        <v>0.55743</v>
      </c>
      <c r="O35" s="4">
        <f t="shared" si="9"/>
        <v>6.8</v>
      </c>
      <c r="P35" s="4">
        <f t="shared" si="10"/>
        <v>15.51</v>
      </c>
    </row>
    <row r="36" ht="15.75" customHeight="1">
      <c r="A36" s="4">
        <v>2017.0</v>
      </c>
      <c r="B36" s="4">
        <v>5.0</v>
      </c>
      <c r="C36" s="4">
        <v>8.79</v>
      </c>
      <c r="D36" s="4">
        <v>21.17</v>
      </c>
      <c r="E36" s="4">
        <f t="shared" si="1"/>
        <v>0</v>
      </c>
      <c r="F36" s="4">
        <f t="shared" si="2"/>
        <v>1</v>
      </c>
      <c r="G36" s="4">
        <f t="shared" si="3"/>
        <v>19.8583</v>
      </c>
      <c r="H36" s="4">
        <f t="shared" si="4"/>
        <v>21.6055</v>
      </c>
      <c r="I36" s="4">
        <f t="shared" si="5"/>
        <v>1.7472</v>
      </c>
      <c r="J36" s="4">
        <v>0.0</v>
      </c>
      <c r="K36" s="4">
        <v>15.2</v>
      </c>
      <c r="L36" s="4">
        <f t="shared" si="6"/>
        <v>3</v>
      </c>
      <c r="M36" s="4">
        <f t="shared" si="7"/>
        <v>1</v>
      </c>
      <c r="N36" s="4">
        <f t="shared" si="8"/>
        <v>5.4512</v>
      </c>
      <c r="O36" s="4">
        <f t="shared" si="9"/>
        <v>0</v>
      </c>
      <c r="P36" s="4">
        <f t="shared" si="10"/>
        <v>15.2</v>
      </c>
    </row>
    <row r="37" ht="15.75" customHeight="1">
      <c r="A37" s="4">
        <v>2017.0</v>
      </c>
      <c r="B37" s="4">
        <v>6.0</v>
      </c>
      <c r="C37" s="4">
        <v>10.18</v>
      </c>
      <c r="D37" s="4">
        <v>19.43</v>
      </c>
      <c r="E37" s="4">
        <f t="shared" si="1"/>
        <v>1</v>
      </c>
      <c r="F37" s="4">
        <f t="shared" si="2"/>
        <v>1</v>
      </c>
      <c r="G37" s="4">
        <f t="shared" si="3"/>
        <v>24.2108</v>
      </c>
      <c r="H37" s="4">
        <f t="shared" si="4"/>
        <v>25.4731</v>
      </c>
      <c r="I37" s="4">
        <f t="shared" si="5"/>
        <v>1.2623</v>
      </c>
      <c r="J37" s="4">
        <v>0.8</v>
      </c>
      <c r="K37" s="4">
        <v>14.17</v>
      </c>
      <c r="L37" s="4">
        <f t="shared" si="6"/>
        <v>8</v>
      </c>
      <c r="M37" s="4">
        <f t="shared" si="7"/>
        <v>1</v>
      </c>
      <c r="N37" s="4">
        <f t="shared" si="8"/>
        <v>11.67955</v>
      </c>
      <c r="O37" s="4">
        <f t="shared" si="9"/>
        <v>0.8</v>
      </c>
      <c r="P37" s="4">
        <f t="shared" si="10"/>
        <v>14.17</v>
      </c>
    </row>
    <row r="38" ht="15.75" customHeight="1">
      <c r="A38" s="4">
        <v>2017.0</v>
      </c>
      <c r="B38" s="4">
        <v>7.0</v>
      </c>
      <c r="C38" s="4">
        <v>8.08</v>
      </c>
      <c r="D38" s="4">
        <v>16.03</v>
      </c>
      <c r="E38" s="4">
        <f t="shared" si="1"/>
        <v>1</v>
      </c>
      <c r="F38" s="4">
        <f t="shared" si="2"/>
        <v>1</v>
      </c>
      <c r="G38" s="4">
        <f t="shared" si="3"/>
        <v>24.6803</v>
      </c>
      <c r="H38" s="4">
        <f t="shared" si="4"/>
        <v>24.74435</v>
      </c>
      <c r="I38" s="4">
        <f t="shared" si="5"/>
        <v>0.06405</v>
      </c>
      <c r="J38" s="4">
        <v>2.1</v>
      </c>
      <c r="K38" s="4">
        <v>11.48</v>
      </c>
      <c r="L38" s="4">
        <f t="shared" si="6"/>
        <v>8</v>
      </c>
      <c r="M38" s="4">
        <f t="shared" si="7"/>
        <v>1</v>
      </c>
      <c r="N38" s="4">
        <f t="shared" si="8"/>
        <v>12.88267</v>
      </c>
      <c r="O38" s="4">
        <f t="shared" si="9"/>
        <v>2.1</v>
      </c>
      <c r="P38" s="4">
        <f t="shared" si="10"/>
        <v>11.48</v>
      </c>
    </row>
    <row r="39" ht="15.75" customHeight="1">
      <c r="A39" s="4">
        <v>2017.0</v>
      </c>
      <c r="B39" s="4">
        <v>8.0</v>
      </c>
      <c r="C39" s="4">
        <v>9.38</v>
      </c>
      <c r="D39" s="4">
        <v>12.08</v>
      </c>
      <c r="E39" s="4">
        <f t="shared" si="1"/>
        <v>1</v>
      </c>
      <c r="F39" s="4">
        <f t="shared" si="2"/>
        <v>1</v>
      </c>
      <c r="G39" s="4">
        <f t="shared" si="3"/>
        <v>23.1777</v>
      </c>
      <c r="H39" s="4">
        <f t="shared" si="4"/>
        <v>25.26835</v>
      </c>
      <c r="I39" s="4">
        <f t="shared" si="5"/>
        <v>2.09065</v>
      </c>
      <c r="J39" s="4">
        <v>6.1</v>
      </c>
      <c r="K39" s="4">
        <v>10.57</v>
      </c>
      <c r="L39" s="4">
        <f t="shared" si="6"/>
        <v>8</v>
      </c>
      <c r="M39" s="4">
        <f t="shared" si="7"/>
        <v>1</v>
      </c>
      <c r="N39" s="4">
        <f t="shared" si="8"/>
        <v>8.61085</v>
      </c>
      <c r="O39" s="4">
        <f t="shared" si="9"/>
        <v>6.1</v>
      </c>
      <c r="P39" s="4">
        <f t="shared" si="10"/>
        <v>10.57</v>
      </c>
    </row>
    <row r="40" ht="15.75" customHeight="1">
      <c r="A40" s="4">
        <v>2017.0</v>
      </c>
      <c r="B40" s="4">
        <v>9.0</v>
      </c>
      <c r="C40" s="4">
        <v>9.84</v>
      </c>
      <c r="D40" s="4">
        <v>14.97</v>
      </c>
      <c r="E40" s="4">
        <f t="shared" si="1"/>
        <v>1</v>
      </c>
      <c r="F40" s="4">
        <f t="shared" si="2"/>
        <v>1</v>
      </c>
      <c r="G40" s="4">
        <f t="shared" si="3"/>
        <v>30.1853</v>
      </c>
      <c r="H40" s="4">
        <f t="shared" si="4"/>
        <v>31.6335</v>
      </c>
      <c r="I40" s="4">
        <f t="shared" si="5"/>
        <v>1.4482</v>
      </c>
      <c r="J40" s="4">
        <v>0.3</v>
      </c>
      <c r="K40" s="4">
        <v>11.88</v>
      </c>
      <c r="L40" s="4">
        <f t="shared" si="6"/>
        <v>8</v>
      </c>
      <c r="M40" s="4">
        <f t="shared" si="7"/>
        <v>0</v>
      </c>
      <c r="N40" s="4">
        <f t="shared" si="8"/>
        <v>-4.88497</v>
      </c>
      <c r="O40" s="4">
        <f t="shared" si="9"/>
        <v>0.3</v>
      </c>
      <c r="P40" s="4">
        <f t="shared" si="10"/>
        <v>11.88</v>
      </c>
    </row>
    <row r="41" ht="15.75" customHeight="1">
      <c r="A41" s="4">
        <v>2017.0</v>
      </c>
      <c r="B41" s="4">
        <v>10.0</v>
      </c>
      <c r="C41" s="4">
        <v>11.25</v>
      </c>
      <c r="D41" s="4">
        <v>21.92</v>
      </c>
      <c r="E41" s="4">
        <f t="shared" si="1"/>
        <v>0</v>
      </c>
      <c r="F41" s="4">
        <f t="shared" si="2"/>
        <v>0</v>
      </c>
      <c r="G41" s="4">
        <f t="shared" si="3"/>
        <v>36.1052</v>
      </c>
      <c r="H41" s="4">
        <f t="shared" si="4"/>
        <v>34.583</v>
      </c>
      <c r="I41" s="4" t="str">
        <f t="shared" si="5"/>
        <v> </v>
      </c>
      <c r="J41" s="4">
        <v>0.0</v>
      </c>
      <c r="K41" s="4">
        <v>15.65</v>
      </c>
      <c r="L41" s="4">
        <f t="shared" si="6"/>
        <v>3</v>
      </c>
      <c r="M41" s="4">
        <f t="shared" si="7"/>
        <v>0</v>
      </c>
      <c r="N41" s="4">
        <f t="shared" si="8"/>
        <v>-4.294</v>
      </c>
      <c r="O41" s="4">
        <f t="shared" si="9"/>
        <v>0</v>
      </c>
      <c r="P41" s="4">
        <f t="shared" si="10"/>
        <v>15.65</v>
      </c>
    </row>
    <row r="42" ht="15.75" customHeight="1">
      <c r="A42" s="4">
        <v>2017.0</v>
      </c>
      <c r="B42" s="4">
        <v>11.0</v>
      </c>
      <c r="C42" s="4">
        <v>9.05</v>
      </c>
      <c r="D42" s="4">
        <v>27.46</v>
      </c>
      <c r="E42" s="4">
        <f t="shared" si="1"/>
        <v>0</v>
      </c>
      <c r="F42" s="4">
        <f t="shared" si="2"/>
        <v>0</v>
      </c>
      <c r="G42" s="4">
        <f t="shared" si="3"/>
        <v>41.0018</v>
      </c>
      <c r="H42" s="4">
        <f t="shared" si="4"/>
        <v>40.2461</v>
      </c>
      <c r="I42" s="4" t="str">
        <f t="shared" si="5"/>
        <v> </v>
      </c>
      <c r="J42" s="4">
        <v>0.0</v>
      </c>
      <c r="K42" s="4">
        <v>18.22</v>
      </c>
      <c r="L42" s="4">
        <f t="shared" si="6"/>
        <v>3</v>
      </c>
      <c r="M42" s="4">
        <f t="shared" si="7"/>
        <v>1</v>
      </c>
      <c r="N42" s="4">
        <f t="shared" si="8"/>
        <v>7.21109</v>
      </c>
      <c r="O42" s="4">
        <f t="shared" si="9"/>
        <v>0</v>
      </c>
      <c r="P42" s="4">
        <f t="shared" si="10"/>
        <v>18.22</v>
      </c>
    </row>
    <row r="43" ht="15.75" customHeight="1">
      <c r="A43" s="4">
        <v>2017.0</v>
      </c>
      <c r="B43" s="4">
        <v>12.0</v>
      </c>
      <c r="C43" s="4">
        <v>11.18</v>
      </c>
      <c r="D43" s="4">
        <v>23.89</v>
      </c>
      <c r="E43" s="4">
        <f t="shared" si="1"/>
        <v>1</v>
      </c>
      <c r="F43" s="4">
        <f t="shared" si="2"/>
        <v>1</v>
      </c>
      <c r="G43" s="4">
        <f t="shared" si="3"/>
        <v>41.0739</v>
      </c>
      <c r="H43" s="4">
        <f t="shared" si="4"/>
        <v>42.5638</v>
      </c>
      <c r="I43" s="4">
        <f t="shared" si="5"/>
        <v>1.4899</v>
      </c>
      <c r="J43" s="4">
        <v>0.4</v>
      </c>
      <c r="K43" s="4">
        <v>16.74</v>
      </c>
      <c r="L43" s="4">
        <f t="shared" si="6"/>
        <v>8</v>
      </c>
      <c r="M43" s="4">
        <f t="shared" si="7"/>
        <v>1</v>
      </c>
      <c r="N43" s="4">
        <f t="shared" si="8"/>
        <v>11.11663</v>
      </c>
      <c r="O43" s="4">
        <f t="shared" si="9"/>
        <v>0.4</v>
      </c>
      <c r="P43" s="4">
        <f t="shared" si="10"/>
        <v>16.74</v>
      </c>
    </row>
    <row r="44" ht="15.75" customHeight="1">
      <c r="A44" s="4">
        <v>2017.0</v>
      </c>
      <c r="B44" s="4">
        <v>13.0</v>
      </c>
      <c r="C44" s="4">
        <v>16.24</v>
      </c>
      <c r="D44" s="4">
        <v>24.3</v>
      </c>
      <c r="E44" s="4">
        <f t="shared" si="1"/>
        <v>1</v>
      </c>
      <c r="F44" s="4">
        <f t="shared" si="2"/>
        <v>1</v>
      </c>
      <c r="G44" s="4">
        <f t="shared" si="3"/>
        <v>39.7808</v>
      </c>
      <c r="H44" s="4">
        <f t="shared" si="4"/>
        <v>41.7629</v>
      </c>
      <c r="I44" s="4">
        <f t="shared" si="5"/>
        <v>1.9821</v>
      </c>
      <c r="J44" s="4">
        <v>0.4</v>
      </c>
      <c r="K44" s="4">
        <v>18.82</v>
      </c>
      <c r="L44" s="4">
        <f t="shared" si="6"/>
        <v>8</v>
      </c>
      <c r="M44" s="4">
        <f t="shared" si="7"/>
        <v>1</v>
      </c>
      <c r="N44" s="4">
        <f t="shared" si="8"/>
        <v>9.94462</v>
      </c>
      <c r="O44" s="4">
        <f t="shared" si="9"/>
        <v>0.4</v>
      </c>
      <c r="P44" s="4">
        <f t="shared" si="10"/>
        <v>18.82</v>
      </c>
    </row>
    <row r="45" ht="15.75" customHeight="1">
      <c r="A45" s="4">
        <v>2017.0</v>
      </c>
      <c r="B45" s="4">
        <v>14.0</v>
      </c>
      <c r="C45" s="4">
        <v>17.1</v>
      </c>
      <c r="D45" s="4">
        <v>24.49</v>
      </c>
      <c r="E45" s="4">
        <f t="shared" si="1"/>
        <v>1</v>
      </c>
      <c r="F45" s="4">
        <f t="shared" si="2"/>
        <v>1</v>
      </c>
      <c r="G45" s="4">
        <f t="shared" si="3"/>
        <v>41.4969</v>
      </c>
      <c r="H45" s="4">
        <f t="shared" si="4"/>
        <v>43.5152</v>
      </c>
      <c r="I45" s="4">
        <f t="shared" si="5"/>
        <v>2.0183</v>
      </c>
      <c r="J45" s="4">
        <v>0.1</v>
      </c>
      <c r="K45" s="4">
        <v>19.33</v>
      </c>
      <c r="L45" s="4">
        <f t="shared" si="6"/>
        <v>8</v>
      </c>
      <c r="M45" s="4">
        <f t="shared" si="7"/>
        <v>1</v>
      </c>
      <c r="N45" s="4">
        <f t="shared" si="8"/>
        <v>8.33537</v>
      </c>
      <c r="O45" s="4">
        <f t="shared" si="9"/>
        <v>0.1</v>
      </c>
      <c r="P45" s="4">
        <f t="shared" si="10"/>
        <v>19.33</v>
      </c>
    </row>
    <row r="46" ht="15.75" customHeight="1">
      <c r="A46" s="4">
        <v>2017.0</v>
      </c>
      <c r="B46" s="4">
        <v>15.0</v>
      </c>
      <c r="C46" s="4">
        <v>16.04</v>
      </c>
      <c r="D46" s="4">
        <v>26.63</v>
      </c>
      <c r="E46" s="4">
        <f t="shared" si="1"/>
        <v>1</v>
      </c>
      <c r="F46" s="4">
        <f t="shared" si="2"/>
        <v>1</v>
      </c>
      <c r="G46" s="4">
        <f t="shared" si="3"/>
        <v>40.3248</v>
      </c>
      <c r="H46" s="4">
        <f t="shared" si="4"/>
        <v>41.6265</v>
      </c>
      <c r="I46" s="4">
        <f t="shared" si="5"/>
        <v>1.3017</v>
      </c>
      <c r="J46" s="4">
        <v>6.5</v>
      </c>
      <c r="K46" s="4">
        <v>20.2</v>
      </c>
      <c r="L46" s="4">
        <f t="shared" si="6"/>
        <v>8</v>
      </c>
      <c r="M46" s="4">
        <f t="shared" si="7"/>
        <v>1</v>
      </c>
      <c r="N46" s="4">
        <f t="shared" si="8"/>
        <v>7.79627</v>
      </c>
      <c r="O46" s="4">
        <f t="shared" si="9"/>
        <v>6.5</v>
      </c>
      <c r="P46" s="4">
        <f t="shared" si="10"/>
        <v>20.2</v>
      </c>
    </row>
    <row r="47" ht="15.75" customHeight="1">
      <c r="A47" s="4">
        <v>2017.0</v>
      </c>
      <c r="B47" s="4">
        <v>16.0</v>
      </c>
      <c r="C47" s="4">
        <v>13.64</v>
      </c>
      <c r="D47" s="4">
        <v>25.26</v>
      </c>
      <c r="E47" s="4">
        <f t="shared" si="1"/>
        <v>1</v>
      </c>
      <c r="F47" s="4">
        <f t="shared" si="2"/>
        <v>1</v>
      </c>
      <c r="G47" s="4">
        <f t="shared" si="3"/>
        <v>38.7057</v>
      </c>
      <c r="H47" s="4">
        <f t="shared" si="4"/>
        <v>41.0481</v>
      </c>
      <c r="I47" s="4">
        <f t="shared" si="5"/>
        <v>2.3424</v>
      </c>
      <c r="J47" s="4">
        <v>4.3</v>
      </c>
      <c r="K47" s="4">
        <v>19.28</v>
      </c>
      <c r="L47" s="4">
        <f t="shared" si="6"/>
        <v>8</v>
      </c>
      <c r="M47" s="4">
        <f t="shared" si="7"/>
        <v>1</v>
      </c>
      <c r="N47" s="4">
        <f t="shared" si="8"/>
        <v>8.72513</v>
      </c>
      <c r="O47" s="4">
        <f t="shared" si="9"/>
        <v>4.3</v>
      </c>
      <c r="P47" s="4">
        <f t="shared" si="10"/>
        <v>19.28</v>
      </c>
    </row>
    <row r="48" ht="15.75" customHeight="1">
      <c r="A48" s="4">
        <v>2017.0</v>
      </c>
      <c r="B48" s="4">
        <v>17.0</v>
      </c>
      <c r="C48" s="4">
        <v>11.52</v>
      </c>
      <c r="D48" s="4">
        <v>20.33</v>
      </c>
      <c r="E48" s="4">
        <f t="shared" si="1"/>
        <v>1</v>
      </c>
      <c r="F48" s="4">
        <f t="shared" si="2"/>
        <v>1</v>
      </c>
      <c r="G48" s="4">
        <f t="shared" si="3"/>
        <v>35.5765</v>
      </c>
      <c r="H48" s="4">
        <f t="shared" si="4"/>
        <v>38.3262</v>
      </c>
      <c r="I48" s="4">
        <f t="shared" si="5"/>
        <v>2.7497</v>
      </c>
      <c r="J48" s="4">
        <v>3.2</v>
      </c>
      <c r="K48" s="4">
        <v>15.09</v>
      </c>
      <c r="L48" s="4">
        <f t="shared" si="6"/>
        <v>8</v>
      </c>
      <c r="M48" s="4">
        <f t="shared" si="7"/>
        <v>1</v>
      </c>
      <c r="N48" s="4">
        <f t="shared" si="8"/>
        <v>8.46002</v>
      </c>
      <c r="O48" s="4">
        <f t="shared" si="9"/>
        <v>3.2</v>
      </c>
      <c r="P48" s="4">
        <f t="shared" si="10"/>
        <v>15.09</v>
      </c>
    </row>
    <row r="49" ht="15.75" customHeight="1">
      <c r="A49" s="4">
        <v>2017.0</v>
      </c>
      <c r="B49" s="4">
        <v>18.0</v>
      </c>
      <c r="C49" s="4">
        <v>10.98</v>
      </c>
      <c r="D49" s="4">
        <v>23.04</v>
      </c>
      <c r="E49" s="4">
        <f t="shared" si="1"/>
        <v>1</v>
      </c>
      <c r="F49" s="4">
        <f t="shared" si="2"/>
        <v>1</v>
      </c>
      <c r="G49" s="4">
        <f t="shared" si="3"/>
        <v>36.6552</v>
      </c>
      <c r="H49" s="4">
        <f t="shared" si="4"/>
        <v>38.8737</v>
      </c>
      <c r="I49" s="4">
        <f t="shared" si="5"/>
        <v>2.2185</v>
      </c>
      <c r="J49" s="4">
        <v>39.6</v>
      </c>
      <c r="K49" s="4">
        <v>16.49</v>
      </c>
      <c r="L49" s="4">
        <f t="shared" si="6"/>
        <v>8</v>
      </c>
      <c r="M49" s="4">
        <f t="shared" si="7"/>
        <v>1</v>
      </c>
      <c r="N49" s="4">
        <f t="shared" si="8"/>
        <v>8.67078</v>
      </c>
      <c r="O49" s="4">
        <f t="shared" si="9"/>
        <v>39.6</v>
      </c>
      <c r="P49" s="4">
        <f t="shared" si="10"/>
        <v>16.49</v>
      </c>
    </row>
    <row r="50" ht="15.75" customHeight="1">
      <c r="A50" s="4">
        <v>2017.0</v>
      </c>
      <c r="B50" s="4">
        <v>19.0</v>
      </c>
      <c r="C50" s="4">
        <v>9.28</v>
      </c>
      <c r="D50" s="4">
        <v>21.6</v>
      </c>
      <c r="E50" s="4">
        <f t="shared" si="1"/>
        <v>1</v>
      </c>
      <c r="F50" s="4">
        <f t="shared" si="2"/>
        <v>1</v>
      </c>
      <c r="G50" s="4">
        <f t="shared" si="3"/>
        <v>34.6531</v>
      </c>
      <c r="H50" s="4">
        <f t="shared" si="4"/>
        <v>35.9114</v>
      </c>
      <c r="I50" s="4">
        <f t="shared" si="5"/>
        <v>1.2583</v>
      </c>
      <c r="J50" s="4">
        <v>4.4</v>
      </c>
      <c r="K50" s="4">
        <v>15.43</v>
      </c>
      <c r="L50" s="4">
        <f t="shared" si="6"/>
        <v>8</v>
      </c>
      <c r="M50" s="4">
        <f t="shared" si="7"/>
        <v>1</v>
      </c>
      <c r="N50" s="4">
        <f t="shared" si="8"/>
        <v>9.17478</v>
      </c>
      <c r="O50" s="4">
        <f t="shared" si="9"/>
        <v>4.4</v>
      </c>
      <c r="P50" s="4">
        <f t="shared" si="10"/>
        <v>15.43</v>
      </c>
    </row>
    <row r="51" ht="15.75" customHeight="1">
      <c r="A51" s="4">
        <v>2017.0</v>
      </c>
      <c r="B51" s="4">
        <v>20.0</v>
      </c>
      <c r="C51" s="4">
        <v>9.98</v>
      </c>
      <c r="D51" s="4">
        <v>23.34</v>
      </c>
      <c r="E51" s="4">
        <f t="shared" si="1"/>
        <v>1</v>
      </c>
      <c r="F51" s="4">
        <f t="shared" si="2"/>
        <v>0</v>
      </c>
      <c r="G51" s="4">
        <f t="shared" si="3"/>
        <v>35.63</v>
      </c>
      <c r="H51" s="4">
        <f t="shared" si="4"/>
        <v>35.44895</v>
      </c>
      <c r="I51" s="4" t="str">
        <f t="shared" si="5"/>
        <v> </v>
      </c>
      <c r="J51" s="4">
        <v>0.3</v>
      </c>
      <c r="K51" s="4">
        <v>16.81</v>
      </c>
      <c r="L51" s="4">
        <f t="shared" si="6"/>
        <v>8</v>
      </c>
      <c r="M51" s="4">
        <f t="shared" si="7"/>
        <v>1</v>
      </c>
      <c r="N51" s="4">
        <f t="shared" si="8"/>
        <v>7.24412</v>
      </c>
      <c r="O51" s="4">
        <f t="shared" si="9"/>
        <v>0.3</v>
      </c>
      <c r="P51" s="4">
        <f t="shared" si="10"/>
        <v>16.81</v>
      </c>
    </row>
    <row r="52" ht="15.75" customHeight="1">
      <c r="A52" s="4">
        <v>2017.0</v>
      </c>
      <c r="B52" s="4">
        <v>21.0</v>
      </c>
      <c r="C52" s="4">
        <v>10.98</v>
      </c>
      <c r="D52" s="4">
        <v>23.14</v>
      </c>
      <c r="E52" s="4">
        <f t="shared" si="1"/>
        <v>1</v>
      </c>
      <c r="F52" s="4">
        <f t="shared" si="2"/>
        <v>0</v>
      </c>
      <c r="G52" s="4">
        <f t="shared" si="3"/>
        <v>35.5675</v>
      </c>
      <c r="H52" s="4">
        <f t="shared" si="4"/>
        <v>34.18015</v>
      </c>
      <c r="I52" s="4" t="str">
        <f t="shared" si="5"/>
        <v> </v>
      </c>
      <c r="J52" s="4">
        <v>7.6</v>
      </c>
      <c r="K52" s="4">
        <v>17.09</v>
      </c>
      <c r="L52" s="4">
        <f t="shared" si="6"/>
        <v>8</v>
      </c>
      <c r="M52" s="4">
        <f t="shared" si="7"/>
        <v>1</v>
      </c>
      <c r="N52" s="4">
        <f t="shared" si="8"/>
        <v>3.66163</v>
      </c>
      <c r="O52" s="4">
        <f t="shared" si="9"/>
        <v>7.6</v>
      </c>
      <c r="P52" s="4">
        <f t="shared" si="10"/>
        <v>17.09</v>
      </c>
    </row>
    <row r="53" ht="15.75" customHeight="1">
      <c r="A53" s="4">
        <v>2017.0</v>
      </c>
      <c r="B53" s="4">
        <v>22.0</v>
      </c>
      <c r="C53" s="4">
        <v>8.48</v>
      </c>
      <c r="D53" s="4">
        <v>21.92</v>
      </c>
      <c r="E53" s="4">
        <f t="shared" si="1"/>
        <v>1</v>
      </c>
      <c r="F53" s="4">
        <f t="shared" si="2"/>
        <v>0</v>
      </c>
      <c r="G53" s="4">
        <f t="shared" si="3"/>
        <v>35.4554</v>
      </c>
      <c r="H53" s="4">
        <f t="shared" si="4"/>
        <v>34.25185</v>
      </c>
      <c r="I53" s="4" t="str">
        <f t="shared" si="5"/>
        <v> </v>
      </c>
      <c r="J53" s="4">
        <v>0.1</v>
      </c>
      <c r="K53" s="4">
        <v>15.31</v>
      </c>
      <c r="L53" s="4">
        <f t="shared" si="6"/>
        <v>8</v>
      </c>
      <c r="M53" s="4">
        <f t="shared" si="7"/>
        <v>0</v>
      </c>
      <c r="N53" s="4">
        <f t="shared" si="8"/>
        <v>-6.14123</v>
      </c>
      <c r="O53" s="4">
        <f t="shared" si="9"/>
        <v>0.1</v>
      </c>
      <c r="P53" s="4">
        <f t="shared" si="10"/>
        <v>15.31</v>
      </c>
    </row>
    <row r="54" ht="15.75" customHeight="1">
      <c r="A54" s="4">
        <v>2017.0</v>
      </c>
      <c r="B54" s="4">
        <v>23.0</v>
      </c>
      <c r="C54" s="4">
        <v>8.95</v>
      </c>
      <c r="D54" s="4">
        <v>22.15</v>
      </c>
      <c r="E54" s="4">
        <f t="shared" si="1"/>
        <v>0</v>
      </c>
      <c r="F54" s="4">
        <f t="shared" si="2"/>
        <v>0</v>
      </c>
      <c r="G54" s="4">
        <f t="shared" si="3"/>
        <v>36.6303</v>
      </c>
      <c r="H54" s="4">
        <f t="shared" si="4"/>
        <v>32.46835</v>
      </c>
      <c r="I54" s="4" t="str">
        <f t="shared" si="5"/>
        <v> </v>
      </c>
      <c r="J54" s="4">
        <v>0.0</v>
      </c>
      <c r="K54" s="4">
        <v>15.76</v>
      </c>
      <c r="L54" s="4">
        <f t="shared" si="6"/>
        <v>3</v>
      </c>
      <c r="M54" s="4">
        <f t="shared" si="7"/>
        <v>0</v>
      </c>
      <c r="N54" s="4">
        <f t="shared" si="8"/>
        <v>-8.92272</v>
      </c>
      <c r="O54" s="4">
        <f t="shared" si="9"/>
        <v>0</v>
      </c>
      <c r="P54" s="4">
        <f t="shared" si="10"/>
        <v>15.76</v>
      </c>
    </row>
    <row r="55" ht="15.75" customHeight="1">
      <c r="A55" s="4">
        <v>2017.0</v>
      </c>
      <c r="B55" s="4">
        <v>24.0</v>
      </c>
      <c r="C55" s="4">
        <v>8.25</v>
      </c>
      <c r="D55" s="4">
        <v>24.07</v>
      </c>
      <c r="E55" s="4">
        <f t="shared" si="1"/>
        <v>0</v>
      </c>
      <c r="F55" s="4">
        <f t="shared" si="2"/>
        <v>0</v>
      </c>
      <c r="G55" s="4">
        <f t="shared" si="3"/>
        <v>38.7951</v>
      </c>
      <c r="H55" s="4">
        <f t="shared" si="4"/>
        <v>34.17675</v>
      </c>
      <c r="I55" s="4" t="str">
        <f t="shared" si="5"/>
        <v> </v>
      </c>
      <c r="J55" s="4">
        <v>0.0</v>
      </c>
      <c r="K55" s="4">
        <v>16.42</v>
      </c>
      <c r="L55" s="4">
        <f t="shared" si="6"/>
        <v>3</v>
      </c>
      <c r="M55" s="4">
        <f t="shared" si="7"/>
        <v>0</v>
      </c>
      <c r="N55" s="4">
        <f t="shared" si="8"/>
        <v>-4.7187</v>
      </c>
      <c r="O55" s="4">
        <f t="shared" si="9"/>
        <v>0</v>
      </c>
      <c r="P55" s="4">
        <f t="shared" si="10"/>
        <v>16.42</v>
      </c>
    </row>
    <row r="56" ht="15.75" customHeight="1">
      <c r="A56" s="4">
        <v>2017.0</v>
      </c>
      <c r="B56" s="4">
        <v>25.0</v>
      </c>
      <c r="C56" s="4">
        <v>10.35</v>
      </c>
      <c r="D56" s="4">
        <v>26.2</v>
      </c>
      <c r="E56" s="4">
        <f t="shared" si="1"/>
        <v>0</v>
      </c>
      <c r="F56" s="4">
        <f t="shared" si="2"/>
        <v>0</v>
      </c>
      <c r="G56" s="4">
        <f t="shared" si="3"/>
        <v>43.5582</v>
      </c>
      <c r="H56" s="4">
        <f t="shared" si="4"/>
        <v>39.61525</v>
      </c>
      <c r="I56" s="4" t="str">
        <f t="shared" si="5"/>
        <v> </v>
      </c>
      <c r="J56" s="4">
        <v>0.0</v>
      </c>
      <c r="K56" s="4">
        <v>18.36</v>
      </c>
      <c r="L56" s="4">
        <f t="shared" si="6"/>
        <v>3</v>
      </c>
      <c r="M56" s="4">
        <f t="shared" si="7"/>
        <v>1</v>
      </c>
      <c r="N56" s="4">
        <f t="shared" si="8"/>
        <v>1.12981</v>
      </c>
      <c r="O56" s="4">
        <f t="shared" si="9"/>
        <v>0</v>
      </c>
      <c r="P56" s="4">
        <f t="shared" si="10"/>
        <v>18.36</v>
      </c>
    </row>
    <row r="57" ht="15.75" customHeight="1">
      <c r="A57" s="4">
        <v>2017.0</v>
      </c>
      <c r="B57" s="4">
        <v>26.0</v>
      </c>
      <c r="C57" s="4">
        <v>12.01</v>
      </c>
      <c r="D57" s="4">
        <v>27.99</v>
      </c>
      <c r="E57" s="4">
        <f t="shared" si="1"/>
        <v>1</v>
      </c>
      <c r="F57" s="4">
        <f t="shared" si="2"/>
        <v>0</v>
      </c>
      <c r="G57" s="4">
        <f t="shared" si="3"/>
        <v>42.8249</v>
      </c>
      <c r="H57" s="4">
        <f t="shared" si="4"/>
        <v>40.34605</v>
      </c>
      <c r="I57" s="4" t="str">
        <f t="shared" si="5"/>
        <v> </v>
      </c>
      <c r="J57" s="4">
        <v>1.0</v>
      </c>
      <c r="K57" s="4">
        <v>21.24</v>
      </c>
      <c r="L57" s="4">
        <f t="shared" si="6"/>
        <v>8</v>
      </c>
      <c r="M57" s="4">
        <f t="shared" si="7"/>
        <v>0</v>
      </c>
      <c r="N57" s="4">
        <f t="shared" si="8"/>
        <v>-7.22738</v>
      </c>
      <c r="O57" s="4">
        <f t="shared" si="9"/>
        <v>1</v>
      </c>
      <c r="P57" s="4">
        <f t="shared" si="10"/>
        <v>21.24</v>
      </c>
    </row>
    <row r="58" ht="15.75" customHeight="1">
      <c r="A58" s="4">
        <v>2017.0</v>
      </c>
      <c r="B58" s="4">
        <v>27.0</v>
      </c>
      <c r="C58" s="4">
        <v>15.67</v>
      </c>
      <c r="D58" s="4">
        <v>28.65</v>
      </c>
      <c r="E58" s="4">
        <f t="shared" si="1"/>
        <v>0</v>
      </c>
      <c r="F58" s="4">
        <f t="shared" si="2"/>
        <v>0</v>
      </c>
      <c r="G58" s="4">
        <f t="shared" si="3"/>
        <v>42.9223</v>
      </c>
      <c r="H58" s="4">
        <f t="shared" si="4"/>
        <v>39.2475</v>
      </c>
      <c r="I58" s="4" t="str">
        <f t="shared" si="5"/>
        <v> </v>
      </c>
      <c r="J58" s="4">
        <v>0.0</v>
      </c>
      <c r="K58" s="4">
        <v>22.58</v>
      </c>
      <c r="L58" s="4">
        <f t="shared" si="6"/>
        <v>3</v>
      </c>
      <c r="M58" s="4">
        <f t="shared" si="7"/>
        <v>0</v>
      </c>
      <c r="N58" s="4">
        <f t="shared" si="8"/>
        <v>-8.12361</v>
      </c>
      <c r="O58" s="4">
        <f t="shared" si="9"/>
        <v>0</v>
      </c>
      <c r="P58" s="4">
        <f t="shared" si="10"/>
        <v>22.58</v>
      </c>
    </row>
    <row r="59" ht="15.75" customHeight="1">
      <c r="A59" s="4">
        <v>2017.0</v>
      </c>
      <c r="B59" s="4">
        <v>28.0</v>
      </c>
      <c r="C59" s="4">
        <v>13.05</v>
      </c>
      <c r="D59" s="4">
        <v>27.54</v>
      </c>
      <c r="E59" s="4">
        <f t="shared" si="1"/>
        <v>0</v>
      </c>
      <c r="F59" s="4">
        <f t="shared" si="2"/>
        <v>0</v>
      </c>
      <c r="G59" s="4">
        <f t="shared" si="3"/>
        <v>42.7791</v>
      </c>
      <c r="H59" s="4">
        <f t="shared" si="4"/>
        <v>39.88355</v>
      </c>
      <c r="I59" s="4" t="str">
        <f t="shared" si="5"/>
        <v> </v>
      </c>
      <c r="J59" s="4">
        <v>0.0</v>
      </c>
      <c r="K59" s="4">
        <v>20.0</v>
      </c>
      <c r="L59" s="4">
        <f t="shared" si="6"/>
        <v>3</v>
      </c>
      <c r="M59" s="4">
        <f t="shared" si="7"/>
        <v>0</v>
      </c>
      <c r="N59" s="4">
        <f t="shared" si="8"/>
        <v>-3.73455</v>
      </c>
      <c r="O59" s="4">
        <f t="shared" si="9"/>
        <v>0</v>
      </c>
      <c r="P59" s="4">
        <f t="shared" si="10"/>
        <v>20</v>
      </c>
    </row>
    <row r="60" ht="15.75" customHeight="1">
      <c r="A60" s="4">
        <v>2017.0</v>
      </c>
      <c r="B60" s="4">
        <v>29.0</v>
      </c>
      <c r="C60" s="4">
        <v>17.11</v>
      </c>
      <c r="D60" s="4">
        <v>31.12</v>
      </c>
      <c r="E60" s="4">
        <f t="shared" si="1"/>
        <v>0</v>
      </c>
      <c r="F60" s="4">
        <f t="shared" si="2"/>
        <v>0</v>
      </c>
      <c r="G60" s="4">
        <f t="shared" si="3"/>
        <v>48.5431</v>
      </c>
      <c r="H60" s="4">
        <f t="shared" si="4"/>
        <v>46.66485</v>
      </c>
      <c r="I60" s="4" t="str">
        <f t="shared" si="5"/>
        <v> </v>
      </c>
      <c r="J60" s="4">
        <v>0.0</v>
      </c>
      <c r="K60" s="4">
        <v>23.93</v>
      </c>
      <c r="L60" s="4">
        <f t="shared" si="6"/>
        <v>3</v>
      </c>
      <c r="M60" s="4">
        <f t="shared" si="7"/>
        <v>1</v>
      </c>
      <c r="N60" s="4">
        <f t="shared" si="8"/>
        <v>5.27593</v>
      </c>
      <c r="O60" s="4">
        <f t="shared" si="9"/>
        <v>0</v>
      </c>
      <c r="P60" s="4">
        <f t="shared" si="10"/>
        <v>23.93</v>
      </c>
    </row>
    <row r="61" ht="15.75" customHeight="1">
      <c r="A61" s="4">
        <v>2017.0</v>
      </c>
      <c r="B61" s="4">
        <v>30.0</v>
      </c>
      <c r="C61" s="4">
        <v>17.34</v>
      </c>
      <c r="D61" s="4">
        <v>24.1</v>
      </c>
      <c r="E61" s="4">
        <f t="shared" si="1"/>
        <v>1</v>
      </c>
      <c r="F61" s="4">
        <f t="shared" si="2"/>
        <v>1</v>
      </c>
      <c r="G61" s="4">
        <f t="shared" si="3"/>
        <v>45.1901</v>
      </c>
      <c r="H61" s="4">
        <f t="shared" si="4"/>
        <v>45.25455</v>
      </c>
      <c r="I61" s="4">
        <f t="shared" si="5"/>
        <v>0.06445</v>
      </c>
      <c r="J61" s="4">
        <v>0.1</v>
      </c>
      <c r="K61" s="4">
        <v>19.96</v>
      </c>
      <c r="L61" s="4">
        <f t="shared" si="6"/>
        <v>8</v>
      </c>
      <c r="M61" s="4">
        <f t="shared" si="7"/>
        <v>1</v>
      </c>
      <c r="N61" s="4">
        <f t="shared" si="8"/>
        <v>9.09411</v>
      </c>
      <c r="O61" s="4">
        <f t="shared" si="9"/>
        <v>0.1</v>
      </c>
      <c r="P61" s="4">
        <f t="shared" si="10"/>
        <v>19.96</v>
      </c>
    </row>
    <row r="62" ht="15.75" customHeight="1">
      <c r="A62" s="4">
        <v>2017.0</v>
      </c>
      <c r="B62" s="4">
        <v>31.0</v>
      </c>
      <c r="C62" s="4">
        <v>16.31</v>
      </c>
      <c r="D62" s="4">
        <v>25.37</v>
      </c>
      <c r="E62" s="4">
        <f t="shared" si="1"/>
        <v>1</v>
      </c>
      <c r="F62" s="4">
        <f t="shared" si="2"/>
        <v>1</v>
      </c>
      <c r="G62" s="4">
        <f t="shared" si="3"/>
        <v>45.9735</v>
      </c>
      <c r="H62" s="4">
        <f t="shared" si="4"/>
        <v>46.6178</v>
      </c>
      <c r="I62" s="4">
        <f t="shared" si="5"/>
        <v>0.6443</v>
      </c>
      <c r="J62" s="4">
        <v>3.7</v>
      </c>
      <c r="K62" s="4">
        <v>20.08</v>
      </c>
      <c r="L62" s="4">
        <f t="shared" si="6"/>
        <v>8</v>
      </c>
      <c r="M62" s="4">
        <f t="shared" si="7"/>
        <v>1</v>
      </c>
      <c r="N62" s="4">
        <f t="shared" si="8"/>
        <v>7.28056</v>
      </c>
      <c r="O62" s="4">
        <f t="shared" si="9"/>
        <v>3.7</v>
      </c>
      <c r="P62" s="4">
        <f t="shared" si="10"/>
        <v>20.08</v>
      </c>
    </row>
    <row r="63" ht="15.75" customHeight="1">
      <c r="A63" s="4">
        <v>2017.0</v>
      </c>
      <c r="B63" s="4">
        <v>1.0</v>
      </c>
      <c r="C63" s="4">
        <v>14.67</v>
      </c>
      <c r="D63" s="4">
        <v>26.67</v>
      </c>
      <c r="E63" s="4">
        <f t="shared" si="1"/>
        <v>1</v>
      </c>
      <c r="F63" s="4">
        <f t="shared" si="2"/>
        <v>1</v>
      </c>
      <c r="G63" s="4">
        <f t="shared" si="3"/>
        <v>44.6724</v>
      </c>
      <c r="H63" s="4">
        <f t="shared" si="4"/>
        <v>44.897</v>
      </c>
      <c r="I63" s="4">
        <f t="shared" si="5"/>
        <v>0.2246</v>
      </c>
      <c r="J63" s="4">
        <v>3.1</v>
      </c>
      <c r="K63" s="4">
        <v>20.94</v>
      </c>
      <c r="L63" s="4">
        <f t="shared" si="6"/>
        <v>8</v>
      </c>
      <c r="M63" s="4">
        <f t="shared" si="7"/>
        <v>1</v>
      </c>
      <c r="N63" s="4">
        <f t="shared" si="8"/>
        <v>3.94839</v>
      </c>
      <c r="O63" s="4">
        <f t="shared" si="9"/>
        <v>3.1</v>
      </c>
      <c r="P63" s="4">
        <f t="shared" si="10"/>
        <v>20.94</v>
      </c>
    </row>
    <row r="64" ht="15.75" customHeight="1">
      <c r="A64" s="4">
        <v>2017.0</v>
      </c>
      <c r="B64" s="4">
        <v>2.0</v>
      </c>
      <c r="C64" s="4">
        <v>12.65</v>
      </c>
      <c r="D64" s="4">
        <v>29.18</v>
      </c>
      <c r="E64" s="4">
        <f t="shared" si="1"/>
        <v>1</v>
      </c>
      <c r="F64" s="4">
        <f t="shared" si="2"/>
        <v>0</v>
      </c>
      <c r="G64" s="4">
        <f t="shared" si="3"/>
        <v>44.559</v>
      </c>
      <c r="H64" s="4">
        <f t="shared" si="4"/>
        <v>44.11265</v>
      </c>
      <c r="I64" s="4" t="str">
        <f t="shared" si="5"/>
        <v> </v>
      </c>
      <c r="J64" s="4">
        <v>1.0</v>
      </c>
      <c r="K64" s="4">
        <v>21.8</v>
      </c>
      <c r="L64" s="4">
        <f t="shared" si="6"/>
        <v>8</v>
      </c>
      <c r="M64" s="4">
        <f t="shared" si="7"/>
        <v>0</v>
      </c>
      <c r="N64" s="4">
        <f t="shared" si="8"/>
        <v>-2.14761</v>
      </c>
      <c r="O64" s="4">
        <f t="shared" si="9"/>
        <v>1</v>
      </c>
      <c r="P64" s="4">
        <f t="shared" si="10"/>
        <v>21.8</v>
      </c>
    </row>
    <row r="65" ht="15.75" customHeight="1">
      <c r="A65" s="4">
        <v>2017.0</v>
      </c>
      <c r="B65" s="4">
        <v>3.0</v>
      </c>
      <c r="C65" s="4">
        <v>14.64</v>
      </c>
      <c r="D65" s="4">
        <v>25.84</v>
      </c>
      <c r="E65" s="4">
        <f t="shared" si="1"/>
        <v>0</v>
      </c>
      <c r="F65" s="4">
        <f t="shared" si="2"/>
        <v>1</v>
      </c>
      <c r="G65" s="4">
        <f t="shared" si="3"/>
        <v>40.5957</v>
      </c>
      <c r="H65" s="4">
        <f t="shared" si="4"/>
        <v>40.67695</v>
      </c>
      <c r="I65" s="4">
        <f t="shared" si="5"/>
        <v>0.08125</v>
      </c>
      <c r="J65" s="4">
        <v>0.0</v>
      </c>
      <c r="K65" s="4">
        <v>20.64</v>
      </c>
      <c r="L65" s="4">
        <f t="shared" si="6"/>
        <v>3</v>
      </c>
      <c r="M65" s="4">
        <f t="shared" si="7"/>
        <v>1</v>
      </c>
      <c r="N65" s="4">
        <f t="shared" si="8"/>
        <v>5.59883</v>
      </c>
      <c r="O65" s="4">
        <f t="shared" si="9"/>
        <v>0</v>
      </c>
      <c r="P65" s="4">
        <f t="shared" si="10"/>
        <v>20.64</v>
      </c>
    </row>
    <row r="66" ht="15.75" customHeight="1">
      <c r="A66" s="4">
        <v>2017.0</v>
      </c>
      <c r="B66" s="4">
        <v>4.0</v>
      </c>
      <c r="C66" s="4">
        <v>12.88</v>
      </c>
      <c r="D66" s="4">
        <v>26.11</v>
      </c>
      <c r="E66" s="4">
        <f t="shared" si="1"/>
        <v>1</v>
      </c>
      <c r="F66" s="4">
        <f t="shared" si="2"/>
        <v>0</v>
      </c>
      <c r="G66" s="4">
        <f t="shared" si="3"/>
        <v>42.1827</v>
      </c>
      <c r="H66" s="4">
        <f t="shared" si="4"/>
        <v>41.5626</v>
      </c>
      <c r="I66" s="4" t="str">
        <f t="shared" si="5"/>
        <v> </v>
      </c>
      <c r="J66" s="4">
        <v>0.1</v>
      </c>
      <c r="K66" s="4">
        <v>18.92</v>
      </c>
      <c r="L66" s="4">
        <f t="shared" si="6"/>
        <v>8</v>
      </c>
      <c r="M66" s="4">
        <f t="shared" si="7"/>
        <v>1</v>
      </c>
      <c r="N66" s="4">
        <f t="shared" si="8"/>
        <v>8.08043</v>
      </c>
      <c r="O66" s="4">
        <f t="shared" si="9"/>
        <v>0.1</v>
      </c>
      <c r="P66" s="4">
        <f t="shared" si="10"/>
        <v>18.92</v>
      </c>
    </row>
    <row r="67" ht="15.75" customHeight="1">
      <c r="A67" s="4">
        <v>2017.0</v>
      </c>
      <c r="B67" s="4">
        <v>5.0</v>
      </c>
      <c r="C67" s="4">
        <v>14.29</v>
      </c>
      <c r="D67" s="4">
        <v>24.68</v>
      </c>
      <c r="E67" s="4">
        <f t="shared" si="1"/>
        <v>1</v>
      </c>
      <c r="F67" s="4">
        <f t="shared" si="2"/>
        <v>0</v>
      </c>
      <c r="G67" s="4">
        <f t="shared" si="3"/>
        <v>39.4514</v>
      </c>
      <c r="H67" s="4">
        <f t="shared" si="4"/>
        <v>38.5245</v>
      </c>
      <c r="I67" s="4" t="str">
        <f t="shared" si="5"/>
        <v> </v>
      </c>
      <c r="J67" s="4">
        <v>0.1</v>
      </c>
      <c r="K67" s="4">
        <v>19.7</v>
      </c>
      <c r="L67" s="4">
        <f t="shared" si="6"/>
        <v>8</v>
      </c>
      <c r="M67" s="4">
        <f t="shared" si="7"/>
        <v>1</v>
      </c>
      <c r="N67" s="4">
        <f t="shared" si="8"/>
        <v>10.65126</v>
      </c>
      <c r="O67" s="4">
        <f t="shared" si="9"/>
        <v>0.1</v>
      </c>
      <c r="P67" s="4">
        <f t="shared" si="10"/>
        <v>19.7</v>
      </c>
    </row>
    <row r="68" ht="15.75" customHeight="1">
      <c r="A68" s="4">
        <v>2017.0</v>
      </c>
      <c r="B68" s="4">
        <v>6.0</v>
      </c>
      <c r="C68" s="4">
        <v>12.65</v>
      </c>
      <c r="D68" s="4">
        <v>24.74</v>
      </c>
      <c r="E68" s="4">
        <f t="shared" si="1"/>
        <v>1</v>
      </c>
      <c r="F68" s="4">
        <f t="shared" si="2"/>
        <v>0</v>
      </c>
      <c r="G68" s="4">
        <f t="shared" si="3"/>
        <v>37.9413</v>
      </c>
      <c r="H68" s="4">
        <f t="shared" si="4"/>
        <v>35.9605</v>
      </c>
      <c r="I68" s="4" t="str">
        <f t="shared" si="5"/>
        <v> </v>
      </c>
      <c r="J68" s="4">
        <v>0.4</v>
      </c>
      <c r="K68" s="4">
        <v>18.67</v>
      </c>
      <c r="L68" s="4">
        <f t="shared" si="6"/>
        <v>8</v>
      </c>
      <c r="M68" s="4">
        <f t="shared" si="7"/>
        <v>1</v>
      </c>
      <c r="N68" s="4">
        <f t="shared" si="8"/>
        <v>3.36643</v>
      </c>
      <c r="O68" s="4">
        <f t="shared" si="9"/>
        <v>0.4</v>
      </c>
      <c r="P68" s="4">
        <f t="shared" si="10"/>
        <v>18.67</v>
      </c>
    </row>
    <row r="69" ht="15.75" customHeight="1">
      <c r="A69" s="4">
        <v>2017.0</v>
      </c>
      <c r="B69" s="4">
        <v>7.0</v>
      </c>
      <c r="C69" s="4">
        <v>15.68</v>
      </c>
      <c r="D69" s="4">
        <v>24.03</v>
      </c>
      <c r="E69" s="4">
        <f t="shared" si="1"/>
        <v>1</v>
      </c>
      <c r="F69" s="4">
        <f t="shared" si="2"/>
        <v>0</v>
      </c>
      <c r="G69" s="4">
        <f t="shared" si="3"/>
        <v>37.4301</v>
      </c>
      <c r="H69" s="4">
        <f t="shared" si="4"/>
        <v>34.67965</v>
      </c>
      <c r="I69" s="4" t="str">
        <f t="shared" si="5"/>
        <v> </v>
      </c>
      <c r="J69" s="4">
        <v>4.6</v>
      </c>
      <c r="K69" s="4">
        <v>19.31</v>
      </c>
      <c r="L69" s="4">
        <f t="shared" si="6"/>
        <v>8</v>
      </c>
      <c r="M69" s="4">
        <f t="shared" si="7"/>
        <v>0</v>
      </c>
      <c r="N69" s="4">
        <f t="shared" si="8"/>
        <v>-6.48899</v>
      </c>
      <c r="O69" s="4">
        <f t="shared" si="9"/>
        <v>4.6</v>
      </c>
      <c r="P69" s="4">
        <f t="shared" si="10"/>
        <v>19.31</v>
      </c>
    </row>
    <row r="70" ht="15.75" customHeight="1">
      <c r="A70" s="4">
        <v>2017.0</v>
      </c>
      <c r="B70" s="4">
        <v>8.0</v>
      </c>
      <c r="C70" s="4">
        <v>11.98</v>
      </c>
      <c r="D70" s="4">
        <v>24.04</v>
      </c>
      <c r="E70" s="4">
        <f t="shared" si="1"/>
        <v>0</v>
      </c>
      <c r="F70" s="4">
        <f t="shared" si="2"/>
        <v>0</v>
      </c>
      <c r="G70" s="4">
        <f t="shared" si="3"/>
        <v>36.4242</v>
      </c>
      <c r="H70" s="4">
        <f t="shared" si="4"/>
        <v>30.1446</v>
      </c>
      <c r="I70" s="4" t="str">
        <f t="shared" si="5"/>
        <v> </v>
      </c>
      <c r="J70" s="4">
        <v>0.0</v>
      </c>
      <c r="K70" s="4">
        <v>17.57</v>
      </c>
      <c r="L70" s="4">
        <f t="shared" si="6"/>
        <v>3</v>
      </c>
      <c r="M70" s="4">
        <f t="shared" si="7"/>
        <v>0</v>
      </c>
      <c r="N70" s="4">
        <f t="shared" si="8"/>
        <v>-10.33354</v>
      </c>
      <c r="O70" s="4">
        <f t="shared" si="9"/>
        <v>0</v>
      </c>
      <c r="P70" s="4">
        <f t="shared" si="10"/>
        <v>17.57</v>
      </c>
    </row>
    <row r="71" ht="15.75" customHeight="1">
      <c r="A71" s="4">
        <v>2017.0</v>
      </c>
      <c r="B71" s="4">
        <v>9.0</v>
      </c>
      <c r="C71" s="4">
        <v>9.92</v>
      </c>
      <c r="D71" s="4">
        <v>24.83</v>
      </c>
      <c r="E71" s="4">
        <f t="shared" si="1"/>
        <v>0</v>
      </c>
      <c r="F71" s="4">
        <f t="shared" si="2"/>
        <v>0</v>
      </c>
      <c r="G71" s="4">
        <f t="shared" si="3"/>
        <v>36.8213</v>
      </c>
      <c r="H71" s="4">
        <f t="shared" si="4"/>
        <v>30.98215</v>
      </c>
      <c r="I71" s="4" t="str">
        <f t="shared" si="5"/>
        <v> </v>
      </c>
      <c r="J71" s="4">
        <v>0.0</v>
      </c>
      <c r="K71" s="4">
        <v>17.25</v>
      </c>
      <c r="L71" s="4">
        <f t="shared" si="6"/>
        <v>3</v>
      </c>
      <c r="M71" s="4">
        <f t="shared" si="7"/>
        <v>0</v>
      </c>
      <c r="N71" s="4">
        <f t="shared" si="8"/>
        <v>-6.92567</v>
      </c>
      <c r="O71" s="4">
        <f t="shared" si="9"/>
        <v>0</v>
      </c>
      <c r="P71" s="4">
        <f t="shared" si="10"/>
        <v>17.25</v>
      </c>
    </row>
    <row r="72" ht="15.75" customHeight="1">
      <c r="A72" s="4">
        <v>2017.0</v>
      </c>
      <c r="B72" s="4">
        <v>10.0</v>
      </c>
      <c r="C72" s="4">
        <v>9.35</v>
      </c>
      <c r="D72" s="4">
        <v>25.83</v>
      </c>
      <c r="E72" s="4">
        <f t="shared" si="1"/>
        <v>0</v>
      </c>
      <c r="F72" s="4">
        <f t="shared" si="2"/>
        <v>0</v>
      </c>
      <c r="G72" s="4">
        <f t="shared" si="3"/>
        <v>37.8015</v>
      </c>
      <c r="H72" s="4">
        <f t="shared" si="4"/>
        <v>32.7366</v>
      </c>
      <c r="I72" s="4" t="str">
        <f t="shared" si="5"/>
        <v> </v>
      </c>
      <c r="J72" s="4">
        <v>0.0</v>
      </c>
      <c r="K72" s="4">
        <v>18.15</v>
      </c>
      <c r="L72" s="4">
        <f t="shared" si="6"/>
        <v>3</v>
      </c>
      <c r="M72" s="4">
        <f t="shared" si="7"/>
        <v>0</v>
      </c>
      <c r="N72" s="4">
        <f t="shared" si="8"/>
        <v>-10.3293</v>
      </c>
      <c r="O72" s="4">
        <f t="shared" si="9"/>
        <v>0</v>
      </c>
      <c r="P72" s="4">
        <f t="shared" si="10"/>
        <v>18.15</v>
      </c>
    </row>
    <row r="73" ht="15.75" customHeight="1">
      <c r="A73" s="4">
        <v>2017.0</v>
      </c>
      <c r="B73" s="4">
        <v>11.0</v>
      </c>
      <c r="C73" s="4">
        <v>15.18</v>
      </c>
      <c r="D73" s="4">
        <v>25.67</v>
      </c>
      <c r="E73" s="4">
        <f t="shared" si="1"/>
        <v>0</v>
      </c>
      <c r="F73" s="4">
        <f t="shared" si="2"/>
        <v>0</v>
      </c>
      <c r="G73" s="4">
        <f t="shared" si="3"/>
        <v>39.6362</v>
      </c>
      <c r="H73" s="4">
        <f t="shared" si="4"/>
        <v>34.7491</v>
      </c>
      <c r="I73" s="4" t="str">
        <f t="shared" si="5"/>
        <v> </v>
      </c>
      <c r="J73" s="4">
        <v>0.0</v>
      </c>
      <c r="K73" s="4">
        <v>19.39</v>
      </c>
      <c r="L73" s="4">
        <f t="shared" si="6"/>
        <v>3</v>
      </c>
      <c r="M73" s="4">
        <f t="shared" si="7"/>
        <v>0</v>
      </c>
      <c r="N73" s="4">
        <f t="shared" si="8"/>
        <v>-10.31842</v>
      </c>
      <c r="O73" s="4">
        <f t="shared" si="9"/>
        <v>0</v>
      </c>
      <c r="P73" s="4">
        <f t="shared" si="10"/>
        <v>19.39</v>
      </c>
    </row>
    <row r="74" ht="15.75" customHeight="1">
      <c r="A74" s="4">
        <v>2017.0</v>
      </c>
      <c r="B74" s="4">
        <v>12.0</v>
      </c>
      <c r="C74" s="4">
        <v>12.09</v>
      </c>
      <c r="D74" s="4">
        <v>28.01</v>
      </c>
      <c r="E74" s="4">
        <f t="shared" si="1"/>
        <v>0</v>
      </c>
      <c r="F74" s="4">
        <f t="shared" si="2"/>
        <v>0</v>
      </c>
      <c r="G74" s="4">
        <f t="shared" si="3"/>
        <v>40.2886</v>
      </c>
      <c r="H74" s="4">
        <f t="shared" si="4"/>
        <v>34.7132</v>
      </c>
      <c r="I74" s="4" t="str">
        <f t="shared" si="5"/>
        <v> </v>
      </c>
      <c r="J74" s="4">
        <v>0.0</v>
      </c>
      <c r="K74" s="4">
        <v>19.68</v>
      </c>
      <c r="L74" s="4">
        <f t="shared" si="6"/>
        <v>3</v>
      </c>
      <c r="M74" s="4">
        <f t="shared" si="7"/>
        <v>0</v>
      </c>
      <c r="N74" s="4">
        <f t="shared" si="8"/>
        <v>-8.30559</v>
      </c>
      <c r="O74" s="4">
        <f t="shared" si="9"/>
        <v>0</v>
      </c>
      <c r="P74" s="4">
        <f t="shared" si="10"/>
        <v>19.68</v>
      </c>
    </row>
    <row r="75" ht="15.75" customHeight="1">
      <c r="A75" s="4">
        <v>2017.0</v>
      </c>
      <c r="B75" s="4">
        <v>13.0</v>
      </c>
      <c r="C75" s="4">
        <v>12.02</v>
      </c>
      <c r="D75" s="4">
        <v>28.72</v>
      </c>
      <c r="E75" s="4">
        <f t="shared" si="1"/>
        <v>0</v>
      </c>
      <c r="F75" s="4">
        <f t="shared" si="2"/>
        <v>0</v>
      </c>
      <c r="G75" s="4">
        <f t="shared" si="3"/>
        <v>41.2902</v>
      </c>
      <c r="H75" s="4">
        <f t="shared" si="4"/>
        <v>37.20825</v>
      </c>
      <c r="I75" s="4" t="str">
        <f t="shared" si="5"/>
        <v> </v>
      </c>
      <c r="J75" s="4">
        <v>0.0</v>
      </c>
      <c r="K75" s="4">
        <v>20.66</v>
      </c>
      <c r="L75" s="4">
        <f t="shared" si="6"/>
        <v>3</v>
      </c>
      <c r="M75" s="4">
        <f t="shared" si="7"/>
        <v>0</v>
      </c>
      <c r="N75" s="4">
        <f t="shared" si="8"/>
        <v>-7.07092</v>
      </c>
      <c r="O75" s="4">
        <f t="shared" si="9"/>
        <v>0</v>
      </c>
      <c r="P75" s="4">
        <f t="shared" si="10"/>
        <v>20.66</v>
      </c>
    </row>
    <row r="76" ht="15.75" customHeight="1">
      <c r="A76" s="4">
        <v>2017.0</v>
      </c>
      <c r="B76" s="4">
        <v>14.0</v>
      </c>
      <c r="C76" s="4">
        <v>16.04</v>
      </c>
      <c r="D76" s="4">
        <v>27.63</v>
      </c>
      <c r="E76" s="4">
        <f t="shared" si="1"/>
        <v>0</v>
      </c>
      <c r="F76" s="4">
        <f t="shared" si="2"/>
        <v>0</v>
      </c>
      <c r="G76" s="4">
        <f t="shared" si="3"/>
        <v>43.9743</v>
      </c>
      <c r="H76" s="4">
        <f t="shared" si="4"/>
        <v>39.03215</v>
      </c>
      <c r="I76" s="4" t="str">
        <f t="shared" si="5"/>
        <v> </v>
      </c>
      <c r="J76" s="4">
        <v>0.0</v>
      </c>
      <c r="K76" s="4">
        <v>21.12</v>
      </c>
      <c r="L76" s="4">
        <f t="shared" si="6"/>
        <v>3</v>
      </c>
      <c r="M76" s="4">
        <f t="shared" si="7"/>
        <v>0</v>
      </c>
      <c r="N76" s="4">
        <f t="shared" si="8"/>
        <v>-3.00582</v>
      </c>
      <c r="O76" s="4">
        <f t="shared" si="9"/>
        <v>0</v>
      </c>
      <c r="P76" s="4">
        <f t="shared" si="10"/>
        <v>21.12</v>
      </c>
    </row>
    <row r="77" ht="15.75" customHeight="1">
      <c r="A77" s="4">
        <v>2017.0</v>
      </c>
      <c r="B77" s="4">
        <v>15.0</v>
      </c>
      <c r="C77" s="4">
        <v>11.32</v>
      </c>
      <c r="D77" s="4">
        <v>25.33</v>
      </c>
      <c r="E77" s="4">
        <f t="shared" si="1"/>
        <v>1</v>
      </c>
      <c r="F77" s="4">
        <f t="shared" si="2"/>
        <v>0</v>
      </c>
      <c r="G77" s="4">
        <f t="shared" si="3"/>
        <v>44.2335</v>
      </c>
      <c r="H77" s="4">
        <f t="shared" si="4"/>
        <v>40.1848</v>
      </c>
      <c r="I77" s="4" t="str">
        <f t="shared" si="5"/>
        <v> </v>
      </c>
      <c r="J77" s="4">
        <v>0.1</v>
      </c>
      <c r="K77" s="4">
        <v>18.62</v>
      </c>
      <c r="L77" s="4">
        <f t="shared" si="6"/>
        <v>8</v>
      </c>
      <c r="M77" s="4">
        <f t="shared" si="7"/>
        <v>0</v>
      </c>
      <c r="N77" s="4">
        <f t="shared" si="8"/>
        <v>-5.27508</v>
      </c>
      <c r="O77" s="4">
        <f t="shared" si="9"/>
        <v>0.1</v>
      </c>
      <c r="P77" s="4">
        <f t="shared" si="10"/>
        <v>18.62</v>
      </c>
    </row>
    <row r="78" ht="15.75" customHeight="1">
      <c r="A78" s="4">
        <v>2017.0</v>
      </c>
      <c r="B78" s="4">
        <v>16.0</v>
      </c>
      <c r="C78" s="4">
        <v>7.99</v>
      </c>
      <c r="D78" s="4">
        <v>25.73</v>
      </c>
      <c r="E78" s="4">
        <f t="shared" si="1"/>
        <v>0</v>
      </c>
      <c r="F78" s="4">
        <f t="shared" si="2"/>
        <v>0</v>
      </c>
      <c r="G78" s="4">
        <f t="shared" si="3"/>
        <v>42.7634</v>
      </c>
      <c r="H78" s="4">
        <f t="shared" si="4"/>
        <v>36.66025</v>
      </c>
      <c r="I78" s="4" t="str">
        <f t="shared" si="5"/>
        <v> </v>
      </c>
      <c r="J78" s="4">
        <v>0.0</v>
      </c>
      <c r="K78" s="4">
        <v>17.11</v>
      </c>
      <c r="L78" s="4">
        <f t="shared" si="6"/>
        <v>3</v>
      </c>
      <c r="M78" s="4">
        <f t="shared" si="7"/>
        <v>0</v>
      </c>
      <c r="N78" s="4">
        <f t="shared" si="8"/>
        <v>-9.8003</v>
      </c>
      <c r="O78" s="4">
        <f t="shared" si="9"/>
        <v>0</v>
      </c>
      <c r="P78" s="4">
        <f t="shared" si="10"/>
        <v>17.11</v>
      </c>
    </row>
    <row r="79" ht="15.75" customHeight="1">
      <c r="A79" s="4">
        <v>2017.0</v>
      </c>
      <c r="B79" s="4">
        <v>17.0</v>
      </c>
      <c r="C79" s="4">
        <v>12.25</v>
      </c>
      <c r="D79" s="4">
        <v>27.44</v>
      </c>
      <c r="E79" s="4">
        <f t="shared" si="1"/>
        <v>0</v>
      </c>
      <c r="F79" s="4">
        <f t="shared" si="2"/>
        <v>0</v>
      </c>
      <c r="G79" s="4">
        <f t="shared" si="3"/>
        <v>45.7703</v>
      </c>
      <c r="H79" s="4">
        <f t="shared" si="4"/>
        <v>39.08365</v>
      </c>
      <c r="I79" s="4" t="str">
        <f t="shared" si="5"/>
        <v> </v>
      </c>
      <c r="J79" s="4">
        <v>0.0</v>
      </c>
      <c r="K79" s="4">
        <v>19.66</v>
      </c>
      <c r="L79" s="4">
        <f t="shared" si="6"/>
        <v>3</v>
      </c>
      <c r="M79" s="4">
        <f t="shared" si="7"/>
        <v>0</v>
      </c>
      <c r="N79" s="4">
        <f t="shared" si="8"/>
        <v>-10.05505</v>
      </c>
      <c r="O79" s="4">
        <f t="shared" si="9"/>
        <v>0</v>
      </c>
      <c r="P79" s="4">
        <f t="shared" si="10"/>
        <v>19.66</v>
      </c>
    </row>
    <row r="80" ht="15.75" customHeight="1">
      <c r="A80" s="4">
        <v>2017.0</v>
      </c>
      <c r="B80" s="4">
        <v>18.0</v>
      </c>
      <c r="C80" s="4">
        <v>12.92</v>
      </c>
      <c r="D80" s="4">
        <v>29.45</v>
      </c>
      <c r="E80" s="4">
        <f t="shared" si="1"/>
        <v>0</v>
      </c>
      <c r="F80" s="4">
        <f t="shared" si="2"/>
        <v>0</v>
      </c>
      <c r="G80" s="4">
        <f t="shared" si="3"/>
        <v>47.6625</v>
      </c>
      <c r="H80" s="4">
        <f t="shared" si="4"/>
        <v>41.68155</v>
      </c>
      <c r="I80" s="4" t="str">
        <f t="shared" si="5"/>
        <v> </v>
      </c>
      <c r="J80" s="4">
        <v>0.0</v>
      </c>
      <c r="K80" s="4">
        <v>20.88</v>
      </c>
      <c r="L80" s="4">
        <f t="shared" si="6"/>
        <v>3</v>
      </c>
      <c r="M80" s="4">
        <f t="shared" si="7"/>
        <v>0</v>
      </c>
      <c r="N80" s="4">
        <f t="shared" si="8"/>
        <v>-10.90498</v>
      </c>
      <c r="O80" s="4">
        <f t="shared" si="9"/>
        <v>0</v>
      </c>
      <c r="P80" s="4">
        <f t="shared" si="10"/>
        <v>20.88</v>
      </c>
    </row>
    <row r="81" ht="15.75" customHeight="1">
      <c r="A81" s="4">
        <v>2017.0</v>
      </c>
      <c r="B81" s="4">
        <v>19.0</v>
      </c>
      <c r="C81" s="4">
        <v>14.25</v>
      </c>
      <c r="D81" s="4">
        <v>31.46</v>
      </c>
      <c r="E81" s="4">
        <f t="shared" si="1"/>
        <v>0</v>
      </c>
      <c r="F81" s="4">
        <f t="shared" si="2"/>
        <v>0</v>
      </c>
      <c r="G81" s="4">
        <f t="shared" si="3"/>
        <v>45.1253</v>
      </c>
      <c r="H81" s="4">
        <f t="shared" si="4"/>
        <v>38.41145</v>
      </c>
      <c r="I81" s="4" t="str">
        <f t="shared" si="5"/>
        <v> </v>
      </c>
      <c r="J81" s="4">
        <v>0.0</v>
      </c>
      <c r="K81" s="4">
        <v>22.4</v>
      </c>
      <c r="L81" s="4">
        <f t="shared" si="6"/>
        <v>3</v>
      </c>
      <c r="M81" s="4">
        <f t="shared" si="7"/>
        <v>0</v>
      </c>
      <c r="N81" s="4">
        <f t="shared" si="8"/>
        <v>-12.45247</v>
      </c>
      <c r="O81" s="4">
        <f t="shared" si="9"/>
        <v>0</v>
      </c>
      <c r="P81" s="4">
        <f t="shared" si="10"/>
        <v>22.4</v>
      </c>
    </row>
    <row r="82" ht="15.75" customHeight="1">
      <c r="A82" s="4">
        <v>2017.0</v>
      </c>
      <c r="B82" s="4">
        <v>20.0</v>
      </c>
      <c r="C82" s="4">
        <v>14.65</v>
      </c>
      <c r="D82" s="4">
        <v>31.95</v>
      </c>
      <c r="E82" s="4">
        <f t="shared" si="1"/>
        <v>0</v>
      </c>
      <c r="F82" s="4">
        <f t="shared" si="2"/>
        <v>0</v>
      </c>
      <c r="G82" s="4">
        <f t="shared" si="3"/>
        <v>39.2892</v>
      </c>
      <c r="H82" s="4">
        <f t="shared" si="4"/>
        <v>32.66715</v>
      </c>
      <c r="I82" s="4" t="str">
        <f t="shared" si="5"/>
        <v> </v>
      </c>
      <c r="J82" s="4">
        <v>0.0</v>
      </c>
      <c r="K82" s="4">
        <v>22.32</v>
      </c>
      <c r="L82" s="4">
        <f t="shared" si="6"/>
        <v>3</v>
      </c>
      <c r="M82" s="4">
        <f t="shared" si="7"/>
        <v>0</v>
      </c>
      <c r="N82" s="4">
        <f t="shared" si="8"/>
        <v>-9.42235</v>
      </c>
      <c r="O82" s="4">
        <f t="shared" si="9"/>
        <v>0</v>
      </c>
      <c r="P82" s="4">
        <f t="shared" si="10"/>
        <v>22.32</v>
      </c>
    </row>
    <row r="83" ht="15.75" customHeight="1">
      <c r="A83" s="4">
        <v>2017.0</v>
      </c>
      <c r="B83" s="4">
        <v>21.0</v>
      </c>
      <c r="C83" s="4">
        <v>12.85</v>
      </c>
      <c r="D83" s="4">
        <v>30.49</v>
      </c>
      <c r="E83" s="4">
        <f t="shared" si="1"/>
        <v>0</v>
      </c>
      <c r="F83" s="4">
        <f t="shared" si="2"/>
        <v>0</v>
      </c>
      <c r="G83" s="4">
        <f t="shared" si="3"/>
        <v>32.325</v>
      </c>
      <c r="H83" s="4">
        <f t="shared" si="4"/>
        <v>26.5486</v>
      </c>
      <c r="I83" s="4" t="str">
        <f t="shared" si="5"/>
        <v> </v>
      </c>
      <c r="J83" s="4">
        <v>0.0</v>
      </c>
      <c r="K83" s="4">
        <v>21.8</v>
      </c>
      <c r="L83" s="4">
        <f t="shared" si="6"/>
        <v>3</v>
      </c>
      <c r="M83" s="4">
        <f t="shared" si="7"/>
        <v>0</v>
      </c>
      <c r="N83" s="4">
        <f t="shared" si="8"/>
        <v>-9.19916</v>
      </c>
      <c r="O83" s="4">
        <f t="shared" si="9"/>
        <v>0</v>
      </c>
      <c r="P83" s="4">
        <f t="shared" si="10"/>
        <v>21.8</v>
      </c>
    </row>
    <row r="84" ht="15.75" customHeight="1">
      <c r="A84" s="4">
        <v>2017.0</v>
      </c>
      <c r="B84" s="4">
        <v>22.0</v>
      </c>
      <c r="C84" s="4">
        <v>16.85</v>
      </c>
      <c r="D84" s="4">
        <v>30.19</v>
      </c>
      <c r="E84" s="4">
        <f t="shared" si="1"/>
        <v>0</v>
      </c>
      <c r="F84" s="4">
        <f t="shared" si="2"/>
        <v>0</v>
      </c>
      <c r="G84" s="4">
        <f t="shared" si="3"/>
        <v>30.9797</v>
      </c>
      <c r="H84" s="4">
        <f t="shared" si="4"/>
        <v>24.9341</v>
      </c>
      <c r="I84" s="4" t="str">
        <f t="shared" si="5"/>
        <v> </v>
      </c>
      <c r="J84" s="4">
        <v>0.0</v>
      </c>
      <c r="K84" s="4">
        <v>22.8</v>
      </c>
      <c r="L84" s="4">
        <f t="shared" si="6"/>
        <v>3</v>
      </c>
      <c r="M84" s="4">
        <f t="shared" si="7"/>
        <v>0</v>
      </c>
      <c r="N84" s="4">
        <f t="shared" si="8"/>
        <v>-10.29274</v>
      </c>
      <c r="O84" s="4">
        <f t="shared" si="9"/>
        <v>0</v>
      </c>
      <c r="P84" s="4">
        <f t="shared" si="10"/>
        <v>22.8</v>
      </c>
    </row>
    <row r="85" ht="15.75" customHeight="1">
      <c r="A85" s="4">
        <v>2017.0</v>
      </c>
      <c r="B85" s="4">
        <v>23.0</v>
      </c>
      <c r="C85" s="4">
        <v>16.57</v>
      </c>
      <c r="D85" s="4">
        <v>24.16</v>
      </c>
      <c r="E85" s="4">
        <f t="shared" si="1"/>
        <v>0</v>
      </c>
      <c r="F85" s="4">
        <f t="shared" si="2"/>
        <v>0</v>
      </c>
      <c r="G85" s="4">
        <f t="shared" si="3"/>
        <v>24.102</v>
      </c>
      <c r="H85" s="4">
        <f t="shared" si="4"/>
        <v>18.84325</v>
      </c>
      <c r="I85" s="4" t="str">
        <f t="shared" si="5"/>
        <v> </v>
      </c>
      <c r="J85" s="4">
        <v>0.0</v>
      </c>
      <c r="K85" s="4">
        <v>19.63</v>
      </c>
      <c r="L85" s="4">
        <f t="shared" si="6"/>
        <v>3</v>
      </c>
      <c r="M85" s="4">
        <f t="shared" si="7"/>
        <v>0</v>
      </c>
      <c r="N85" s="4">
        <f t="shared" si="8"/>
        <v>-8.32036</v>
      </c>
      <c r="O85" s="4">
        <f t="shared" si="9"/>
        <v>0</v>
      </c>
      <c r="P85" s="4">
        <f t="shared" si="10"/>
        <v>19.63</v>
      </c>
    </row>
    <row r="86" ht="15.75" customHeight="1">
      <c r="A86" s="4">
        <v>2017.0</v>
      </c>
      <c r="B86" s="4">
        <v>24.0</v>
      </c>
      <c r="C86" s="4">
        <v>11.92</v>
      </c>
      <c r="D86" s="4">
        <v>19.57</v>
      </c>
      <c r="E86" s="4">
        <f t="shared" si="1"/>
        <v>0</v>
      </c>
      <c r="F86" s="4">
        <f t="shared" si="2"/>
        <v>0</v>
      </c>
      <c r="G86" s="4">
        <f t="shared" si="3"/>
        <v>14.4805</v>
      </c>
      <c r="H86" s="4">
        <f t="shared" si="4"/>
        <v>11.3663</v>
      </c>
      <c r="I86" s="4" t="str">
        <f t="shared" si="5"/>
        <v> </v>
      </c>
      <c r="J86" s="4">
        <v>0.0</v>
      </c>
      <c r="K86" s="4">
        <v>14.97</v>
      </c>
      <c r="L86" s="4">
        <f t="shared" si="6"/>
        <v>3</v>
      </c>
      <c r="M86" s="4">
        <f t="shared" si="7"/>
        <v>0</v>
      </c>
      <c r="N86" s="4">
        <f t="shared" si="8"/>
        <v>-7.52267</v>
      </c>
      <c r="O86" s="4">
        <f t="shared" si="9"/>
        <v>0</v>
      </c>
      <c r="P86" s="4">
        <f t="shared" si="10"/>
        <v>14.97</v>
      </c>
    </row>
    <row r="87" ht="15.75" customHeight="1">
      <c r="A87" s="4">
        <v>2017.0</v>
      </c>
      <c r="B87" s="4">
        <v>25.0</v>
      </c>
      <c r="C87" s="4">
        <v>10.08</v>
      </c>
      <c r="D87" s="4">
        <v>18.27</v>
      </c>
      <c r="E87" s="4">
        <f t="shared" si="1"/>
        <v>0</v>
      </c>
      <c r="F87" s="4">
        <f t="shared" si="2"/>
        <v>0</v>
      </c>
      <c r="G87" s="4">
        <f t="shared" si="3"/>
        <v>13.6561</v>
      </c>
      <c r="H87" s="4">
        <f t="shared" si="4"/>
        <v>10.2975</v>
      </c>
      <c r="I87" s="4" t="str">
        <f t="shared" si="5"/>
        <v> </v>
      </c>
      <c r="J87" s="4">
        <v>0.0</v>
      </c>
      <c r="K87" s="4">
        <v>12.83</v>
      </c>
      <c r="L87" s="4">
        <f t="shared" si="6"/>
        <v>3</v>
      </c>
      <c r="M87" s="4">
        <f t="shared" si="7"/>
        <v>0</v>
      </c>
      <c r="N87" s="4">
        <f t="shared" si="8"/>
        <v>-7.94944</v>
      </c>
      <c r="O87" s="4">
        <f t="shared" si="9"/>
        <v>0</v>
      </c>
      <c r="P87" s="4">
        <f t="shared" si="10"/>
        <v>12.83</v>
      </c>
    </row>
    <row r="88" ht="15.75" customHeight="1">
      <c r="A88" s="4">
        <v>2017.0</v>
      </c>
      <c r="B88" s="4">
        <v>26.0</v>
      </c>
      <c r="C88" s="4">
        <v>9.35</v>
      </c>
      <c r="D88" s="4">
        <v>20.62</v>
      </c>
      <c r="E88" s="4">
        <f t="shared" si="1"/>
        <v>0</v>
      </c>
      <c r="J88" s="4">
        <v>0.0</v>
      </c>
      <c r="K88" s="4">
        <v>13.79</v>
      </c>
      <c r="L88" s="4">
        <f t="shared" si="6"/>
        <v>3</v>
      </c>
      <c r="O88" s="4">
        <f t="shared" si="9"/>
        <v>0</v>
      </c>
      <c r="P88" s="4">
        <f t="shared" si="10"/>
        <v>13.79</v>
      </c>
    </row>
    <row r="89" ht="15.75" customHeight="1">
      <c r="A89" s="4">
        <v>2017.0</v>
      </c>
      <c r="B89" s="4">
        <v>27.0</v>
      </c>
      <c r="C89" s="4">
        <v>8.48</v>
      </c>
      <c r="D89" s="4">
        <v>19.19</v>
      </c>
      <c r="E89" s="4">
        <f t="shared" si="1"/>
        <v>0</v>
      </c>
      <c r="J89" s="4">
        <v>0.0</v>
      </c>
      <c r="K89" s="4">
        <v>13.36</v>
      </c>
      <c r="L89" s="4">
        <f t="shared" si="6"/>
        <v>3</v>
      </c>
      <c r="O89" s="4">
        <f t="shared" si="9"/>
        <v>0</v>
      </c>
      <c r="P89" s="4">
        <f t="shared" si="10"/>
        <v>13.36</v>
      </c>
    </row>
    <row r="90" ht="15.75" customHeight="1">
      <c r="A90" s="4">
        <v>2017.0</v>
      </c>
      <c r="B90" s="4">
        <v>28.0</v>
      </c>
      <c r="C90" s="4">
        <v>10.24</v>
      </c>
      <c r="D90" s="4">
        <v>12.38</v>
      </c>
      <c r="E90" s="4">
        <f t="shared" si="1"/>
        <v>0</v>
      </c>
      <c r="J90" s="4">
        <v>0.0</v>
      </c>
      <c r="K90" s="4">
        <v>10.79</v>
      </c>
      <c r="L90" s="4">
        <f t="shared" si="6"/>
        <v>3</v>
      </c>
      <c r="O90" s="4">
        <f t="shared" si="9"/>
        <v>0</v>
      </c>
      <c r="P90" s="4">
        <f t="shared" si="10"/>
        <v>10.79</v>
      </c>
    </row>
    <row r="91" ht="15.75" customHeight="1">
      <c r="A91" s="4">
        <v>2017.0</v>
      </c>
      <c r="B91" s="4">
        <v>29.0</v>
      </c>
      <c r="C91" s="4">
        <v>9.84</v>
      </c>
      <c r="D91" s="4">
        <v>14.91</v>
      </c>
      <c r="E91" s="4">
        <f t="shared" si="1"/>
        <v>0</v>
      </c>
      <c r="J91" s="4">
        <v>0.0</v>
      </c>
      <c r="K91" s="4">
        <v>11.54</v>
      </c>
      <c r="L91" s="4">
        <f t="shared" si="6"/>
        <v>3</v>
      </c>
      <c r="O91" s="4">
        <f t="shared" si="9"/>
        <v>0</v>
      </c>
      <c r="P91" s="4">
        <f t="shared" si="10"/>
        <v>11.54</v>
      </c>
    </row>
    <row r="92" ht="15.75" customHeight="1">
      <c r="A92" s="4">
        <v>2017.0</v>
      </c>
      <c r="B92" s="4">
        <v>30.0</v>
      </c>
      <c r="C92" s="4">
        <v>5.65</v>
      </c>
      <c r="D92" s="4">
        <v>15.27</v>
      </c>
      <c r="E92" s="4">
        <f t="shared" si="1"/>
        <v>0</v>
      </c>
      <c r="J92" s="4">
        <v>0.0</v>
      </c>
      <c r="K92" s="4">
        <v>11.39</v>
      </c>
      <c r="L92" s="4">
        <f t="shared" si="6"/>
        <v>3</v>
      </c>
      <c r="O92" s="4">
        <f t="shared" si="9"/>
        <v>0</v>
      </c>
      <c r="P92" s="4">
        <f t="shared" si="10"/>
        <v>11.39</v>
      </c>
    </row>
    <row r="93" ht="15.75" customHeight="1">
      <c r="A93" s="4">
        <v>2017.0</v>
      </c>
      <c r="B93" s="4">
        <v>31.0</v>
      </c>
      <c r="C93" s="4">
        <v>3.211</v>
      </c>
      <c r="D93" s="4">
        <v>21.1</v>
      </c>
      <c r="E93" s="4">
        <f t="shared" si="1"/>
        <v>1</v>
      </c>
      <c r="J93" s="4">
        <v>0.2</v>
      </c>
      <c r="K93" s="4">
        <v>11.8</v>
      </c>
      <c r="L93" s="4">
        <f t="shared" si="6"/>
        <v>8</v>
      </c>
      <c r="O93" s="4">
        <f t="shared" si="9"/>
        <v>0.2</v>
      </c>
      <c r="P93" s="4">
        <f t="shared" si="10"/>
        <v>11.8</v>
      </c>
    </row>
    <row r="94" ht="15.75" customHeight="1"/>
    <row r="95" ht="15.75" customHeight="1"/>
    <row r="96" ht="15.75" customHeight="1">
      <c r="O96" s="4">
        <f>SUM(O2:O93)</f>
        <v>228.2</v>
      </c>
      <c r="P96" s="4">
        <f>SUMIF(P2:P93,"&gt;0")/10</f>
        <v>147.889</v>
      </c>
    </row>
    <row r="97" ht="15.75" customHeight="1"/>
    <row r="98" ht="15.75" customHeight="1">
      <c r="I98" s="4">
        <f>SUM(I2:I87)</f>
        <v>61.75573</v>
      </c>
      <c r="O98" s="4" t="s">
        <v>15</v>
      </c>
      <c r="P98" s="4">
        <f>O96/P96</f>
        <v>1.543049179</v>
      </c>
    </row>
    <row r="99" ht="15.75" customHeight="1">
      <c r="I99" s="4">
        <f>SUM(I2:I31)</f>
        <v>31.32128</v>
      </c>
      <c r="O99" s="4" t="s">
        <v>16</v>
      </c>
      <c r="P99" s="4">
        <f>SUM(O2:O31)/(SUM(P2:P31)/10)</f>
        <v>2.092320409</v>
      </c>
    </row>
    <row r="100" ht="15.75" customHeight="1">
      <c r="I100" s="4">
        <f>SUM(I32:I62)</f>
        <v>30.1286</v>
      </c>
      <c r="O100" s="4" t="s">
        <v>17</v>
      </c>
      <c r="P100" s="4">
        <f>SUM(O33:O62)/(SUM(P33:P62)/10)</f>
        <v>2.525921884</v>
      </c>
    </row>
    <row r="101" ht="15.75" customHeight="1">
      <c r="I101" s="4">
        <f>SUM(I63:I93)</f>
        <v>0.30585</v>
      </c>
      <c r="O101" s="4" t="s">
        <v>18</v>
      </c>
      <c r="P101" s="4">
        <f>SUM(O63:O93)/(SUM(P63:P93)/10)</f>
        <v>0.1715848362</v>
      </c>
    </row>
    <row r="102" ht="15.75" customHeight="1">
      <c r="I102" s="4">
        <f>SUMIF(I2:I87,"&gt;0")</f>
        <v>61.75573</v>
      </c>
    </row>
    <row r="103" ht="15.75" customHeight="1">
      <c r="I103" s="4">
        <f>SUMIF(I2:I31,"&gt;0")</f>
        <v>31.32128</v>
      </c>
    </row>
    <row r="104" ht="15.75" customHeight="1">
      <c r="I104" s="4">
        <f>SUMIF(I32:I62,"&gt;0")</f>
        <v>30.1286</v>
      </c>
      <c r="P104" s="4">
        <f>SUM(O16:O35)/(SUM(P16:P35)/10)</f>
        <v>3.870836993</v>
      </c>
    </row>
    <row r="105" ht="15.75" customHeight="1">
      <c r="I105" s="4">
        <f>SUMIF(I63:I87,"&gt;0")</f>
        <v>0.30585</v>
      </c>
      <c r="P105" s="4">
        <f>SUM(O36:O55)/(SUM(P36:P55)/10)</f>
        <v>2.381696568</v>
      </c>
    </row>
    <row r="106" ht="15.75" customHeight="1">
      <c r="P106" s="4">
        <f>SUM(O56:O77)/(SUM(P56:P77)/10)</f>
        <v>0.3237795563</v>
      </c>
    </row>
    <row r="107" ht="15.75" customHeight="1">
      <c r="P107" s="4">
        <f>SUM(O16:O77)/(SUM(P16:P77)/10)</f>
        <v>1.943920271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57"/>
    <col customWidth="1" min="2" max="3" width="4.86"/>
    <col customWidth="1" min="4" max="4" width="5.0"/>
    <col customWidth="1" min="5" max="5" width="4.86"/>
    <col customWidth="1" min="6" max="6" width="5.14"/>
    <col customWidth="1" min="7" max="7" width="4.71"/>
    <col customWidth="1" min="8" max="8" width="5.14"/>
    <col customWidth="1" min="9" max="9" width="5.29"/>
    <col customWidth="1" min="10" max="10" width="5.0"/>
    <col customWidth="1" min="11" max="11" width="4.71"/>
    <col customWidth="1" min="12" max="13" width="5.14"/>
    <col customWidth="1" min="14" max="14" width="5.29"/>
    <col customWidth="1" min="15" max="15" width="5.14"/>
    <col customWidth="1" min="16" max="16" width="5.29"/>
    <col customWidth="1" min="17" max="17" width="5.0"/>
    <col customWidth="1" min="18" max="18" width="5.29"/>
    <col customWidth="1" min="19" max="19" width="5.14"/>
    <col customWidth="1" min="20" max="20" width="4.86"/>
    <col customWidth="1" min="21" max="21" width="5.43"/>
    <col customWidth="1" min="22" max="22" width="5.14"/>
    <col customWidth="1" min="23" max="23" width="5.29"/>
    <col customWidth="1" min="24" max="24" width="5.14"/>
    <col customWidth="1" min="25" max="25" width="4.86"/>
    <col customWidth="1" min="26" max="26" width="4.71"/>
    <col customWidth="1" min="27" max="27" width="5.14"/>
    <col customWidth="1" min="28" max="28" width="5.29"/>
    <col customWidth="1" min="29" max="29" width="4.71"/>
    <col customWidth="1" min="30" max="30" width="5.57"/>
  </cols>
  <sheetData>
    <row r="1">
      <c r="A1" s="5" t="s">
        <v>22</v>
      </c>
      <c r="B1" s="5">
        <v>1972.0</v>
      </c>
      <c r="C1" s="5">
        <v>1973.0</v>
      </c>
      <c r="D1" s="5">
        <v>1977.0</v>
      </c>
      <c r="E1" s="5">
        <v>1982.0</v>
      </c>
      <c r="F1" s="5">
        <v>1983.0</v>
      </c>
      <c r="G1" s="5">
        <v>1984.0</v>
      </c>
      <c r="H1" s="5">
        <v>1987.0</v>
      </c>
      <c r="I1" s="5">
        <v>1991.0</v>
      </c>
      <c r="J1" s="5">
        <v>1992.0</v>
      </c>
      <c r="K1" s="5">
        <v>1993.0</v>
      </c>
      <c r="L1" s="5">
        <v>1994.0</v>
      </c>
      <c r="M1" s="5">
        <v>1995.0</v>
      </c>
      <c r="N1" s="5">
        <v>1996.0</v>
      </c>
      <c r="O1" s="5">
        <v>1997.0</v>
      </c>
      <c r="P1" s="5">
        <v>1998.0</v>
      </c>
      <c r="Q1" s="5">
        <v>2004.0</v>
      </c>
      <c r="R1" s="5">
        <v>2005.0</v>
      </c>
      <c r="S1" s="5">
        <v>2006.0</v>
      </c>
      <c r="T1" s="5">
        <v>2007.0</v>
      </c>
      <c r="U1" s="5">
        <v>2008.0</v>
      </c>
      <c r="V1" s="5">
        <v>2009.0</v>
      </c>
      <c r="W1" s="5">
        <v>2010.0</v>
      </c>
      <c r="X1" s="5">
        <v>2011.0</v>
      </c>
      <c r="Y1" s="5">
        <v>2012.0</v>
      </c>
      <c r="Z1" s="5">
        <v>2013.0</v>
      </c>
      <c r="AA1" s="5">
        <v>2014.0</v>
      </c>
      <c r="AB1" s="5">
        <v>2015.0</v>
      </c>
      <c r="AC1" s="5">
        <v>2016.0</v>
      </c>
      <c r="AD1" s="5">
        <v>2017.0</v>
      </c>
    </row>
    <row r="2">
      <c r="A2" s="13">
        <v>37043.0</v>
      </c>
      <c r="B2" s="5">
        <v>1.0</v>
      </c>
      <c r="C2" s="5">
        <v>0.0</v>
      </c>
      <c r="D2" s="5">
        <v>1.0</v>
      </c>
      <c r="E2" s="5">
        <v>0.0</v>
      </c>
      <c r="F2" s="5">
        <v>0.0</v>
      </c>
      <c r="G2" s="5">
        <v>0.0</v>
      </c>
      <c r="H2" s="5">
        <v>0.0</v>
      </c>
      <c r="I2" s="5">
        <v>1.0</v>
      </c>
      <c r="J2" s="5">
        <v>0.0</v>
      </c>
      <c r="K2" s="5">
        <v>0.0</v>
      </c>
      <c r="L2" s="5">
        <v>1.0</v>
      </c>
      <c r="M2" s="5">
        <v>0.0</v>
      </c>
      <c r="N2" s="5">
        <v>0.0</v>
      </c>
      <c r="O2" s="5">
        <v>1.0</v>
      </c>
      <c r="P2" s="5">
        <v>0.0</v>
      </c>
      <c r="Q2" s="5">
        <v>0.0</v>
      </c>
      <c r="R2" s="5">
        <v>0.0</v>
      </c>
      <c r="S2" s="5">
        <v>0.0</v>
      </c>
      <c r="T2" s="5">
        <v>0.0</v>
      </c>
      <c r="U2" s="5">
        <v>1.0</v>
      </c>
      <c r="V2" s="5">
        <v>0.0</v>
      </c>
      <c r="W2" s="5">
        <v>1.0</v>
      </c>
      <c r="X2" s="5">
        <v>0.0</v>
      </c>
      <c r="Y2" s="5">
        <v>0.0</v>
      </c>
      <c r="Z2" s="5">
        <v>0.0</v>
      </c>
      <c r="AA2" s="5">
        <v>0.0</v>
      </c>
      <c r="AB2" s="5">
        <v>0.0</v>
      </c>
      <c r="AC2" s="5">
        <v>0.0</v>
      </c>
      <c r="AD2" s="5">
        <v>1.0</v>
      </c>
    </row>
    <row r="3">
      <c r="A3" s="5">
        <v>2.0</v>
      </c>
      <c r="B3" s="5">
        <v>1.0</v>
      </c>
      <c r="C3" s="5">
        <v>0.0</v>
      </c>
      <c r="D3" s="5">
        <v>1.0</v>
      </c>
      <c r="E3" s="5">
        <v>0.0</v>
      </c>
      <c r="F3" s="5">
        <v>0.0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5">
        <v>1.0</v>
      </c>
      <c r="M3" s="5">
        <v>0.0</v>
      </c>
      <c r="N3" s="5">
        <v>0.0</v>
      </c>
      <c r="O3" s="5">
        <v>1.0</v>
      </c>
      <c r="P3" s="5">
        <v>0.0</v>
      </c>
      <c r="Q3" s="5">
        <v>0.0</v>
      </c>
      <c r="R3" s="5">
        <v>0.0</v>
      </c>
      <c r="S3" s="5">
        <v>0.0</v>
      </c>
      <c r="T3" s="5">
        <v>0.0</v>
      </c>
      <c r="U3" s="5">
        <v>0.0</v>
      </c>
      <c r="V3" s="5">
        <v>1.0</v>
      </c>
      <c r="W3" s="5">
        <v>0.0</v>
      </c>
      <c r="X3" s="5">
        <v>0.0</v>
      </c>
      <c r="Y3" s="5">
        <v>1.0</v>
      </c>
      <c r="Z3" s="5">
        <v>0.0</v>
      </c>
      <c r="AA3" s="5">
        <v>0.0</v>
      </c>
      <c r="AB3" s="5">
        <v>0.0</v>
      </c>
      <c r="AC3" s="5">
        <v>1.0</v>
      </c>
      <c r="AD3" s="5">
        <v>1.0</v>
      </c>
    </row>
    <row r="4">
      <c r="A4" s="5">
        <v>3.0</v>
      </c>
      <c r="B4" s="5">
        <v>0.0</v>
      </c>
      <c r="C4" s="5">
        <v>0.0</v>
      </c>
      <c r="D4" s="5">
        <v>0.0</v>
      </c>
      <c r="E4" s="5">
        <v>0.0</v>
      </c>
      <c r="F4" s="5">
        <v>0.0</v>
      </c>
      <c r="G4" s="5">
        <v>0.0</v>
      </c>
      <c r="H4" s="5">
        <v>0.0</v>
      </c>
      <c r="I4" s="5">
        <v>1.0</v>
      </c>
      <c r="J4" s="5">
        <v>0.0</v>
      </c>
      <c r="K4" s="5">
        <v>0.0</v>
      </c>
      <c r="L4" s="5">
        <v>1.0</v>
      </c>
      <c r="M4" s="5">
        <v>0.0</v>
      </c>
      <c r="N4" s="5">
        <v>0.0</v>
      </c>
      <c r="O4" s="5">
        <v>1.0</v>
      </c>
      <c r="P4" s="5">
        <v>0.0</v>
      </c>
      <c r="Q4" s="5">
        <v>0.0</v>
      </c>
      <c r="R4" s="5">
        <v>0.0</v>
      </c>
      <c r="S4" s="5">
        <v>1.0</v>
      </c>
      <c r="T4" s="5">
        <v>0.0</v>
      </c>
      <c r="U4" s="5">
        <v>1.0</v>
      </c>
      <c r="V4" s="5">
        <v>1.0</v>
      </c>
      <c r="W4" s="5">
        <v>0.0</v>
      </c>
      <c r="X4" s="5">
        <v>0.0</v>
      </c>
      <c r="Y4" s="5">
        <v>1.0</v>
      </c>
      <c r="Z4" s="5">
        <v>0.0</v>
      </c>
      <c r="AA4" s="5">
        <v>0.0</v>
      </c>
      <c r="AB4" s="5">
        <v>0.0</v>
      </c>
      <c r="AC4" s="5">
        <v>1.0</v>
      </c>
      <c r="AD4" s="5">
        <v>0.0</v>
      </c>
    </row>
    <row r="5">
      <c r="A5" s="5">
        <v>4.0</v>
      </c>
      <c r="B5" s="5">
        <v>0.0</v>
      </c>
      <c r="C5" s="5">
        <v>0.0</v>
      </c>
      <c r="D5" s="5">
        <v>1.0</v>
      </c>
      <c r="E5" s="5">
        <v>0.0</v>
      </c>
      <c r="F5" s="5">
        <v>1.0</v>
      </c>
      <c r="G5" s="5">
        <v>0.0</v>
      </c>
      <c r="H5" s="5">
        <v>0.0</v>
      </c>
      <c r="I5" s="5">
        <v>0.0</v>
      </c>
      <c r="J5" s="5">
        <v>0.0</v>
      </c>
      <c r="K5" s="5">
        <v>1.0</v>
      </c>
      <c r="L5" s="5">
        <v>1.0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v>1.0</v>
      </c>
      <c r="T5" s="5">
        <v>0.0</v>
      </c>
      <c r="U5" s="5">
        <v>0.0</v>
      </c>
      <c r="V5" s="5">
        <v>1.0</v>
      </c>
      <c r="W5" s="5">
        <v>0.0</v>
      </c>
      <c r="X5" s="5">
        <v>0.0</v>
      </c>
      <c r="Y5" s="5">
        <v>1.0</v>
      </c>
      <c r="Z5" s="5">
        <v>0.0</v>
      </c>
      <c r="AA5" s="5">
        <v>0.0</v>
      </c>
      <c r="AB5" s="5">
        <v>0.0</v>
      </c>
      <c r="AC5" s="5">
        <v>1.0</v>
      </c>
      <c r="AD5" s="5">
        <v>0.0</v>
      </c>
    </row>
    <row r="6">
      <c r="A6" s="5">
        <v>5.0</v>
      </c>
      <c r="B6" s="5">
        <v>0.0</v>
      </c>
      <c r="C6" s="5">
        <v>0.0</v>
      </c>
      <c r="D6" s="5">
        <v>0.0</v>
      </c>
      <c r="E6" s="5">
        <v>1.0</v>
      </c>
      <c r="F6" s="5">
        <v>1.0</v>
      </c>
      <c r="G6" s="5">
        <v>0.0</v>
      </c>
      <c r="H6" s="5">
        <v>0.0</v>
      </c>
      <c r="I6" s="5">
        <v>0.0</v>
      </c>
      <c r="J6" s="5">
        <v>0.0</v>
      </c>
      <c r="K6" s="5">
        <v>1.0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5">
        <v>0.0</v>
      </c>
      <c r="R6" s="5">
        <v>0.0</v>
      </c>
      <c r="S6" s="5">
        <v>1.0</v>
      </c>
      <c r="T6" s="5">
        <v>0.0</v>
      </c>
      <c r="U6" s="5">
        <v>0.0</v>
      </c>
      <c r="V6" s="5">
        <v>1.0</v>
      </c>
      <c r="W6" s="5">
        <v>1.0</v>
      </c>
      <c r="X6" s="5">
        <v>0.0</v>
      </c>
      <c r="Y6" s="5">
        <v>1.0</v>
      </c>
      <c r="Z6" s="5">
        <v>0.0</v>
      </c>
      <c r="AA6" s="5">
        <v>0.0</v>
      </c>
      <c r="AB6" s="5">
        <v>0.0</v>
      </c>
      <c r="AC6" s="5">
        <v>1.0</v>
      </c>
      <c r="AD6" s="5">
        <v>0.0</v>
      </c>
    </row>
    <row r="7">
      <c r="A7" s="5">
        <v>6.0</v>
      </c>
      <c r="B7" s="5">
        <v>0.0</v>
      </c>
      <c r="C7" s="5">
        <v>0.0</v>
      </c>
      <c r="D7" s="5">
        <v>0.0</v>
      </c>
      <c r="E7" s="5">
        <v>1.0</v>
      </c>
      <c r="F7" s="5">
        <v>1.0</v>
      </c>
      <c r="G7" s="5">
        <v>1.0</v>
      </c>
      <c r="H7" s="5">
        <v>0.0</v>
      </c>
      <c r="I7" s="5">
        <v>0.0</v>
      </c>
      <c r="J7" s="5">
        <v>1.0</v>
      </c>
      <c r="K7" s="5">
        <v>1.0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  <c r="S7" s="5">
        <v>1.0</v>
      </c>
      <c r="T7" s="5">
        <v>1.0</v>
      </c>
      <c r="U7" s="5">
        <v>0.0</v>
      </c>
      <c r="V7" s="5">
        <v>1.0</v>
      </c>
      <c r="W7" s="5">
        <v>0.0</v>
      </c>
      <c r="X7" s="5">
        <v>0.0</v>
      </c>
      <c r="Y7" s="5">
        <v>1.0</v>
      </c>
      <c r="Z7" s="5">
        <v>0.0</v>
      </c>
      <c r="AA7" s="5">
        <v>0.0</v>
      </c>
      <c r="AB7" s="5">
        <v>0.0</v>
      </c>
      <c r="AC7" s="5">
        <v>0.0</v>
      </c>
      <c r="AD7" s="5">
        <v>0.0</v>
      </c>
    </row>
    <row r="8">
      <c r="A8" s="5">
        <v>7.0</v>
      </c>
      <c r="B8" s="5">
        <v>0.0</v>
      </c>
      <c r="C8" s="5">
        <v>0.0</v>
      </c>
      <c r="D8" s="5">
        <v>0.0</v>
      </c>
      <c r="E8" s="5">
        <v>1.0</v>
      </c>
      <c r="F8" s="5">
        <v>1.0</v>
      </c>
      <c r="G8" s="5">
        <v>1.0</v>
      </c>
      <c r="H8" s="5">
        <v>0.0</v>
      </c>
      <c r="I8" s="5">
        <v>0.0</v>
      </c>
      <c r="J8" s="5">
        <v>0.0</v>
      </c>
      <c r="K8" s="5">
        <v>1.0</v>
      </c>
      <c r="L8" s="5">
        <v>1.0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v>0.0</v>
      </c>
      <c r="T8" s="5">
        <v>1.0</v>
      </c>
      <c r="U8" s="5">
        <v>0.0</v>
      </c>
      <c r="V8" s="5">
        <v>1.0</v>
      </c>
      <c r="W8" s="5">
        <v>1.0</v>
      </c>
      <c r="X8" s="5">
        <v>0.0</v>
      </c>
      <c r="Y8" s="5">
        <v>1.0</v>
      </c>
      <c r="Z8" s="5">
        <v>1.0</v>
      </c>
      <c r="AA8" s="5">
        <v>0.0</v>
      </c>
      <c r="AB8" s="5">
        <v>0.0</v>
      </c>
      <c r="AC8" s="5">
        <v>1.0</v>
      </c>
      <c r="AD8" s="5">
        <v>0.0</v>
      </c>
    </row>
    <row r="9">
      <c r="A9" s="5">
        <v>8.0</v>
      </c>
      <c r="B9" s="5">
        <v>0.0</v>
      </c>
      <c r="C9" s="5">
        <v>0.0</v>
      </c>
      <c r="D9" s="5">
        <v>0.0</v>
      </c>
      <c r="E9" s="5">
        <v>1.0</v>
      </c>
      <c r="F9" s="5">
        <v>1.0</v>
      </c>
      <c r="G9" s="5">
        <v>1.0</v>
      </c>
      <c r="H9" s="5">
        <v>0.0</v>
      </c>
      <c r="I9" s="5">
        <v>0.0</v>
      </c>
      <c r="J9" s="5">
        <v>1.0</v>
      </c>
      <c r="K9" s="5">
        <v>1.0</v>
      </c>
      <c r="L9" s="5">
        <v>1.0</v>
      </c>
      <c r="M9" s="5">
        <v>0.0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v>0.0</v>
      </c>
      <c r="T9" s="5">
        <v>0.0</v>
      </c>
      <c r="U9" s="5">
        <v>0.0</v>
      </c>
      <c r="V9" s="5">
        <v>1.0</v>
      </c>
      <c r="W9" s="5">
        <v>1.0</v>
      </c>
      <c r="X9" s="5">
        <v>0.0</v>
      </c>
      <c r="Y9" s="5">
        <v>1.0</v>
      </c>
      <c r="Z9" s="5">
        <v>0.0</v>
      </c>
      <c r="AA9" s="5">
        <v>0.0</v>
      </c>
      <c r="AB9" s="5">
        <v>0.0</v>
      </c>
      <c r="AC9" s="5">
        <v>1.0</v>
      </c>
      <c r="AD9" s="5">
        <v>0.0</v>
      </c>
    </row>
    <row r="10">
      <c r="A10" s="5">
        <v>9.0</v>
      </c>
      <c r="B10" s="5">
        <v>0.0</v>
      </c>
      <c r="C10" s="5">
        <v>0.0</v>
      </c>
      <c r="D10" s="5">
        <v>0.0</v>
      </c>
      <c r="E10" s="5">
        <v>1.0</v>
      </c>
      <c r="F10" s="5">
        <v>1.0</v>
      </c>
      <c r="G10" s="5">
        <v>1.0</v>
      </c>
      <c r="H10" s="5">
        <v>0.0</v>
      </c>
      <c r="I10" s="5">
        <v>0.0</v>
      </c>
      <c r="J10" s="5">
        <v>1.0</v>
      </c>
      <c r="K10" s="5">
        <v>0.0</v>
      </c>
      <c r="L10" s="5">
        <v>1.0</v>
      </c>
      <c r="M10" s="5">
        <v>0.0</v>
      </c>
      <c r="N10" s="5">
        <v>0.0</v>
      </c>
      <c r="O10" s="5">
        <v>0.0</v>
      </c>
      <c r="P10" s="5">
        <v>0.0</v>
      </c>
      <c r="Q10" s="5">
        <v>1.0</v>
      </c>
      <c r="R10" s="5">
        <v>0.0</v>
      </c>
      <c r="S10" s="5">
        <v>0.0</v>
      </c>
      <c r="T10" s="5">
        <v>0.0</v>
      </c>
      <c r="U10" s="5">
        <v>0.0</v>
      </c>
      <c r="V10" s="5">
        <v>1.0</v>
      </c>
      <c r="W10" s="5">
        <v>0.0</v>
      </c>
      <c r="X10" s="5">
        <v>0.0</v>
      </c>
      <c r="Y10" s="5">
        <v>1.0</v>
      </c>
      <c r="Z10" s="5">
        <v>0.0</v>
      </c>
      <c r="AA10" s="5">
        <v>1.0</v>
      </c>
      <c r="AB10" s="5">
        <v>0.0</v>
      </c>
      <c r="AC10" s="5">
        <v>1.0</v>
      </c>
      <c r="AD10" s="5">
        <v>0.0</v>
      </c>
    </row>
    <row r="11">
      <c r="A11" s="5">
        <v>10.0</v>
      </c>
      <c r="B11" s="5">
        <v>0.0</v>
      </c>
      <c r="C11" s="5">
        <v>0.0</v>
      </c>
      <c r="D11" s="5">
        <v>1.0</v>
      </c>
      <c r="E11" s="5">
        <v>1.0</v>
      </c>
      <c r="F11" s="5">
        <v>0.0</v>
      </c>
      <c r="G11" s="5">
        <v>1.0</v>
      </c>
      <c r="H11" s="5">
        <v>0.0</v>
      </c>
      <c r="I11" s="5">
        <v>0.0</v>
      </c>
      <c r="J11" s="5">
        <v>0.0</v>
      </c>
      <c r="K11" s="5">
        <v>1.0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0.0</v>
      </c>
      <c r="R11" s="5">
        <v>0.0</v>
      </c>
      <c r="S11" s="5">
        <v>0.0</v>
      </c>
      <c r="T11" s="5">
        <v>0.0</v>
      </c>
      <c r="U11" s="5">
        <v>0.0</v>
      </c>
      <c r="V11" s="5">
        <v>1.0</v>
      </c>
      <c r="W11" s="5">
        <v>1.0</v>
      </c>
      <c r="X11" s="5">
        <v>0.0</v>
      </c>
      <c r="Y11" s="5">
        <v>1.0</v>
      </c>
      <c r="Z11" s="5">
        <v>0.0</v>
      </c>
      <c r="AA11" s="5">
        <v>1.0</v>
      </c>
      <c r="AB11" s="5">
        <v>0.0</v>
      </c>
      <c r="AC11" s="5">
        <v>0.0</v>
      </c>
      <c r="AD11" s="5">
        <v>0.0</v>
      </c>
    </row>
    <row r="12">
      <c r="A12" s="5">
        <v>11.0</v>
      </c>
      <c r="B12" s="5">
        <v>0.0</v>
      </c>
      <c r="C12" s="5">
        <v>0.0</v>
      </c>
      <c r="D12" s="5">
        <v>0.0</v>
      </c>
      <c r="E12" s="5">
        <v>1.0</v>
      </c>
      <c r="F12" s="5">
        <v>0.0</v>
      </c>
      <c r="G12" s="5">
        <v>1.0</v>
      </c>
      <c r="H12" s="5">
        <v>0.0</v>
      </c>
      <c r="I12" s="5">
        <v>0.0</v>
      </c>
      <c r="J12" s="5">
        <v>0.0</v>
      </c>
      <c r="K12" s="5">
        <v>1.0</v>
      </c>
      <c r="L12" s="5">
        <v>1.0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v>0.0</v>
      </c>
      <c r="T12" s="5">
        <v>0.0</v>
      </c>
      <c r="U12" s="5">
        <v>0.0</v>
      </c>
      <c r="V12" s="5">
        <v>0.0</v>
      </c>
      <c r="W12" s="5">
        <v>1.0</v>
      </c>
      <c r="X12" s="5">
        <v>0.0</v>
      </c>
      <c r="Y12" s="5">
        <v>1.0</v>
      </c>
      <c r="Z12" s="5">
        <v>0.0</v>
      </c>
      <c r="AA12" s="5">
        <v>1.0</v>
      </c>
      <c r="AB12" s="5">
        <v>0.0</v>
      </c>
      <c r="AC12" s="5">
        <v>1.0</v>
      </c>
      <c r="AD12" s="5">
        <v>1.0</v>
      </c>
    </row>
    <row r="13">
      <c r="A13" s="5">
        <v>12.0</v>
      </c>
      <c r="B13" s="5">
        <v>0.0</v>
      </c>
      <c r="C13" s="5">
        <v>0.0</v>
      </c>
      <c r="D13" s="5">
        <v>0.0</v>
      </c>
      <c r="E13" s="5">
        <v>1.0</v>
      </c>
      <c r="F13" s="5">
        <v>1.0</v>
      </c>
      <c r="G13" s="5">
        <v>1.0</v>
      </c>
      <c r="H13" s="5">
        <v>0.0</v>
      </c>
      <c r="I13" s="5">
        <v>1.0</v>
      </c>
      <c r="J13" s="5">
        <v>0.0</v>
      </c>
      <c r="K13" s="5">
        <v>0.0</v>
      </c>
      <c r="L13" s="5">
        <v>1.0</v>
      </c>
      <c r="M13" s="5">
        <v>0.0</v>
      </c>
      <c r="N13" s="5">
        <v>1.0</v>
      </c>
      <c r="O13" s="5">
        <v>0.0</v>
      </c>
      <c r="P13" s="5">
        <v>0.0</v>
      </c>
      <c r="Q13" s="5">
        <v>1.0</v>
      </c>
      <c r="R13" s="5">
        <v>0.0</v>
      </c>
      <c r="S13" s="5">
        <v>0.0</v>
      </c>
      <c r="T13" s="5">
        <v>0.0</v>
      </c>
      <c r="U13" s="5">
        <v>0.0</v>
      </c>
      <c r="V13" s="5">
        <v>0.0</v>
      </c>
      <c r="W13" s="5">
        <v>1.0</v>
      </c>
      <c r="X13" s="5">
        <v>0.0</v>
      </c>
      <c r="Y13" s="5">
        <v>1.0</v>
      </c>
      <c r="Z13" s="5">
        <v>0.0</v>
      </c>
      <c r="AA13" s="5">
        <v>1.0</v>
      </c>
      <c r="AB13" s="5">
        <v>0.0</v>
      </c>
      <c r="AC13" s="5">
        <v>1.0</v>
      </c>
      <c r="AD13" s="5">
        <v>1.0</v>
      </c>
    </row>
    <row r="14">
      <c r="A14" s="5">
        <v>13.0</v>
      </c>
      <c r="B14" s="5">
        <v>0.0</v>
      </c>
      <c r="C14" s="5">
        <v>0.0</v>
      </c>
      <c r="D14" s="5">
        <v>0.0</v>
      </c>
      <c r="E14" s="5">
        <v>1.0</v>
      </c>
      <c r="F14" s="5">
        <v>0.0</v>
      </c>
      <c r="G14" s="5">
        <v>1.0</v>
      </c>
      <c r="H14" s="5">
        <v>0.0</v>
      </c>
      <c r="I14" s="5">
        <v>1.0</v>
      </c>
      <c r="J14" s="5">
        <v>0.0</v>
      </c>
      <c r="K14" s="5">
        <v>0.0</v>
      </c>
      <c r="L14" s="5">
        <v>1.0</v>
      </c>
      <c r="M14" s="5">
        <v>0.0</v>
      </c>
      <c r="N14" s="5">
        <v>1.0</v>
      </c>
      <c r="O14" s="5">
        <v>1.0</v>
      </c>
      <c r="P14" s="5">
        <v>0.0</v>
      </c>
      <c r="Q14" s="5">
        <v>1.0</v>
      </c>
      <c r="R14" s="5">
        <v>1.0</v>
      </c>
      <c r="S14" s="5">
        <v>0.0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5">
        <v>0.0</v>
      </c>
      <c r="AA14" s="5">
        <v>1.0</v>
      </c>
      <c r="AB14" s="5">
        <v>0.0</v>
      </c>
      <c r="AC14" s="5">
        <v>0.0</v>
      </c>
      <c r="AD14" s="5">
        <v>1.0</v>
      </c>
    </row>
    <row r="15">
      <c r="A15" s="5">
        <v>14.0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1.0</v>
      </c>
      <c r="H15" s="5">
        <v>0.0</v>
      </c>
      <c r="I15" s="5">
        <v>1.0</v>
      </c>
      <c r="J15" s="5">
        <v>0.0</v>
      </c>
      <c r="K15" s="5">
        <v>0.0</v>
      </c>
      <c r="L15" s="5">
        <v>0.0</v>
      </c>
      <c r="M15" s="5">
        <v>0.0</v>
      </c>
      <c r="N15" s="5">
        <v>1.0</v>
      </c>
      <c r="O15" s="5">
        <v>1.0</v>
      </c>
      <c r="P15" s="5">
        <v>0.0</v>
      </c>
      <c r="Q15" s="5">
        <v>1.0</v>
      </c>
      <c r="R15" s="5">
        <v>1.0</v>
      </c>
      <c r="S15" s="5">
        <v>0.0</v>
      </c>
      <c r="T15" s="5">
        <v>0.0</v>
      </c>
      <c r="U15" s="5">
        <v>0.0</v>
      </c>
      <c r="V15" s="5">
        <v>0.0</v>
      </c>
      <c r="W15" s="5">
        <v>1.0</v>
      </c>
      <c r="X15" s="5">
        <v>1.0</v>
      </c>
      <c r="Y15" s="5">
        <v>0.0</v>
      </c>
      <c r="Z15" s="5">
        <v>0.0</v>
      </c>
      <c r="AA15" s="5">
        <v>1.0</v>
      </c>
      <c r="AB15" s="5">
        <v>0.0</v>
      </c>
      <c r="AC15" s="5">
        <v>0.0</v>
      </c>
      <c r="AD15" s="5">
        <v>1.0</v>
      </c>
    </row>
    <row r="16">
      <c r="A16" s="5">
        <v>15.0</v>
      </c>
      <c r="B16" s="5">
        <v>1.0</v>
      </c>
      <c r="C16" s="5">
        <v>0.0</v>
      </c>
      <c r="D16" s="5">
        <v>0.0</v>
      </c>
      <c r="E16" s="5">
        <v>1.0</v>
      </c>
      <c r="F16" s="5">
        <v>1.0</v>
      </c>
      <c r="G16" s="5">
        <v>1.0</v>
      </c>
      <c r="H16" s="5">
        <v>0.0</v>
      </c>
      <c r="I16" s="5">
        <v>0.0</v>
      </c>
      <c r="J16" s="5">
        <v>0.0</v>
      </c>
      <c r="K16" s="5">
        <v>1.0</v>
      </c>
      <c r="L16" s="5">
        <v>1.0</v>
      </c>
      <c r="M16" s="5">
        <v>1.0</v>
      </c>
      <c r="N16" s="5">
        <v>1.0</v>
      </c>
      <c r="O16" s="5">
        <v>0.0</v>
      </c>
      <c r="P16" s="5">
        <v>0.0</v>
      </c>
      <c r="Q16" s="5">
        <v>1.0</v>
      </c>
      <c r="R16" s="5">
        <v>0.0</v>
      </c>
      <c r="S16" s="5">
        <v>0.0</v>
      </c>
      <c r="T16" s="5">
        <v>0.0</v>
      </c>
      <c r="U16" s="5">
        <v>0.0</v>
      </c>
      <c r="V16" s="5">
        <v>0.0</v>
      </c>
      <c r="W16" s="5">
        <v>1.0</v>
      </c>
      <c r="X16" s="5">
        <v>1.0</v>
      </c>
      <c r="Y16" s="5">
        <v>0.0</v>
      </c>
      <c r="Z16" s="5">
        <v>0.0</v>
      </c>
      <c r="AA16" s="5">
        <v>1.0</v>
      </c>
      <c r="AB16" s="5">
        <v>0.0</v>
      </c>
      <c r="AC16" s="5">
        <v>0.0</v>
      </c>
      <c r="AD16" s="5">
        <v>1.0</v>
      </c>
    </row>
    <row r="17">
      <c r="A17" s="5">
        <v>16.0</v>
      </c>
      <c r="B17" s="5">
        <v>1.0</v>
      </c>
      <c r="C17" s="5">
        <v>1.0</v>
      </c>
      <c r="D17" s="5">
        <v>0.0</v>
      </c>
      <c r="E17" s="5">
        <v>1.0</v>
      </c>
      <c r="F17" s="5">
        <v>0.0</v>
      </c>
      <c r="G17" s="5">
        <v>1.0</v>
      </c>
      <c r="H17" s="5">
        <v>0.0</v>
      </c>
      <c r="I17" s="5">
        <v>0.0</v>
      </c>
      <c r="J17" s="5">
        <v>0.0</v>
      </c>
      <c r="K17" s="5">
        <v>0.0</v>
      </c>
      <c r="L17" s="5">
        <v>1.0</v>
      </c>
      <c r="M17" s="5">
        <v>1.0</v>
      </c>
      <c r="N17" s="5">
        <v>1.0</v>
      </c>
      <c r="O17" s="5">
        <v>0.0</v>
      </c>
      <c r="P17" s="5">
        <v>0.0</v>
      </c>
      <c r="Q17" s="5">
        <v>1.0</v>
      </c>
      <c r="R17" s="5">
        <v>0.0</v>
      </c>
      <c r="S17" s="5">
        <v>0.0</v>
      </c>
      <c r="T17" s="5">
        <v>0.0</v>
      </c>
      <c r="U17" s="5">
        <v>0.0</v>
      </c>
      <c r="V17" s="5">
        <v>1.0</v>
      </c>
      <c r="W17" s="5">
        <v>0.0</v>
      </c>
      <c r="X17" s="5">
        <v>1.0</v>
      </c>
      <c r="Y17" s="5">
        <v>0.0</v>
      </c>
      <c r="Z17" s="5">
        <v>0.0</v>
      </c>
      <c r="AA17" s="5">
        <v>1.0</v>
      </c>
      <c r="AB17" s="5">
        <v>1.0</v>
      </c>
      <c r="AC17" s="5">
        <v>0.0</v>
      </c>
      <c r="AD17" s="5">
        <v>1.0</v>
      </c>
    </row>
    <row r="18">
      <c r="A18" s="5">
        <v>17.0</v>
      </c>
      <c r="B18" s="5">
        <v>1.0</v>
      </c>
      <c r="C18" s="5">
        <v>0.0</v>
      </c>
      <c r="D18" s="5">
        <v>0.0</v>
      </c>
      <c r="E18" s="5">
        <v>1.0</v>
      </c>
      <c r="F18" s="5">
        <v>0.0</v>
      </c>
      <c r="G18" s="5">
        <v>1.0</v>
      </c>
      <c r="H18" s="5">
        <v>0.0</v>
      </c>
      <c r="I18" s="5">
        <v>0.0</v>
      </c>
      <c r="J18" s="5">
        <v>0.0</v>
      </c>
      <c r="K18" s="5">
        <v>0.0</v>
      </c>
      <c r="L18" s="5">
        <v>1.0</v>
      </c>
      <c r="M18" s="5">
        <v>1.0</v>
      </c>
      <c r="N18" s="5">
        <v>1.0</v>
      </c>
      <c r="O18" s="5">
        <v>0.0</v>
      </c>
      <c r="P18" s="5">
        <v>0.0</v>
      </c>
      <c r="Q18" s="5">
        <v>1.0</v>
      </c>
      <c r="R18" s="5">
        <v>1.0</v>
      </c>
      <c r="S18" s="5">
        <v>0.0</v>
      </c>
      <c r="T18" s="5">
        <v>0.0</v>
      </c>
      <c r="U18" s="5">
        <v>0.0</v>
      </c>
      <c r="V18" s="5">
        <v>1.0</v>
      </c>
      <c r="W18" s="5">
        <v>0.0</v>
      </c>
      <c r="X18" s="5">
        <v>1.0</v>
      </c>
      <c r="Y18" s="5">
        <v>0.0</v>
      </c>
      <c r="Z18" s="5">
        <v>0.0</v>
      </c>
      <c r="AA18" s="5">
        <v>1.0</v>
      </c>
      <c r="AB18" s="5">
        <v>0.0</v>
      </c>
      <c r="AC18" s="5">
        <v>0.0</v>
      </c>
      <c r="AD18" s="5">
        <v>0.0</v>
      </c>
    </row>
    <row r="19">
      <c r="A19" s="5">
        <v>18.0</v>
      </c>
      <c r="B19" s="5">
        <v>0.0</v>
      </c>
      <c r="C19" s="5">
        <v>0.0</v>
      </c>
      <c r="D19" s="5">
        <v>0.0</v>
      </c>
      <c r="E19" s="5">
        <v>0.0</v>
      </c>
      <c r="F19" s="5">
        <v>1.0</v>
      </c>
      <c r="G19" s="5">
        <v>1.0</v>
      </c>
      <c r="H19" s="5">
        <v>1.0</v>
      </c>
      <c r="I19" s="5">
        <v>0.0</v>
      </c>
      <c r="J19" s="5">
        <v>0.0</v>
      </c>
      <c r="K19" s="5">
        <v>0.0</v>
      </c>
      <c r="L19" s="5">
        <v>0.0</v>
      </c>
      <c r="M19" s="5">
        <v>1.0</v>
      </c>
      <c r="N19" s="5">
        <v>1.0</v>
      </c>
      <c r="O19" s="5">
        <v>1.0</v>
      </c>
      <c r="P19" s="5">
        <v>0.0</v>
      </c>
      <c r="Q19" s="5">
        <v>1.0</v>
      </c>
      <c r="R19" s="5">
        <v>1.0</v>
      </c>
      <c r="S19" s="5">
        <v>0.0</v>
      </c>
      <c r="T19" s="5">
        <v>0.0</v>
      </c>
      <c r="U19" s="5">
        <v>0.0</v>
      </c>
      <c r="V19" s="5">
        <v>0.0</v>
      </c>
      <c r="W19" s="5">
        <v>0.0</v>
      </c>
      <c r="X19" s="5">
        <v>1.0</v>
      </c>
      <c r="Y19" s="5">
        <v>0.0</v>
      </c>
      <c r="Z19" s="5">
        <v>0.0</v>
      </c>
      <c r="AA19" s="5">
        <v>1.0</v>
      </c>
      <c r="AB19" s="5">
        <v>0.0</v>
      </c>
      <c r="AC19" s="5">
        <v>1.0</v>
      </c>
      <c r="AD19" s="5">
        <v>1.0</v>
      </c>
    </row>
    <row r="20">
      <c r="A20" s="5">
        <v>19.0</v>
      </c>
      <c r="B20" s="5">
        <v>1.0</v>
      </c>
      <c r="C20" s="5">
        <v>0.0</v>
      </c>
      <c r="D20" s="5">
        <v>0.0</v>
      </c>
      <c r="E20" s="5">
        <v>1.0</v>
      </c>
      <c r="F20" s="5">
        <v>1.0</v>
      </c>
      <c r="G20" s="5">
        <v>0.0</v>
      </c>
      <c r="H20" s="5">
        <v>1.0</v>
      </c>
      <c r="I20" s="5">
        <v>0.0</v>
      </c>
      <c r="J20" s="5">
        <v>0.0</v>
      </c>
      <c r="K20" s="5">
        <v>0.0</v>
      </c>
      <c r="L20" s="5">
        <v>1.0</v>
      </c>
      <c r="M20" s="5">
        <v>1.0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5">
        <v>0.0</v>
      </c>
      <c r="T20" s="5">
        <v>0.0</v>
      </c>
      <c r="U20" s="5">
        <v>0.0</v>
      </c>
      <c r="V20" s="5">
        <v>1.0</v>
      </c>
      <c r="W20" s="5">
        <v>0.0</v>
      </c>
      <c r="X20" s="5">
        <v>1.0</v>
      </c>
      <c r="Y20" s="5">
        <v>0.0</v>
      </c>
      <c r="Z20" s="5">
        <v>0.0</v>
      </c>
      <c r="AA20" s="5">
        <v>1.0</v>
      </c>
      <c r="AB20" s="5">
        <v>0.0</v>
      </c>
      <c r="AC20" s="5">
        <v>0.0</v>
      </c>
      <c r="AD20" s="5">
        <v>1.0</v>
      </c>
    </row>
    <row r="21" ht="15.75" customHeight="1">
      <c r="A21" s="5">
        <v>20.0</v>
      </c>
      <c r="B21" s="5">
        <v>1.0</v>
      </c>
      <c r="C21" s="5">
        <v>0.0</v>
      </c>
      <c r="D21" s="5">
        <v>1.0</v>
      </c>
      <c r="E21" s="5">
        <v>0.0</v>
      </c>
      <c r="F21" s="5">
        <v>1.0</v>
      </c>
      <c r="G21" s="5">
        <v>1.0</v>
      </c>
      <c r="H21" s="5">
        <v>1.0</v>
      </c>
      <c r="I21" s="5">
        <v>0.0</v>
      </c>
      <c r="J21" s="5">
        <v>0.0</v>
      </c>
      <c r="K21" s="5">
        <v>0.0</v>
      </c>
      <c r="L21" s="5">
        <v>1.0</v>
      </c>
      <c r="M21" s="5">
        <v>1.0</v>
      </c>
      <c r="N21" s="5">
        <v>0.0</v>
      </c>
      <c r="O21" s="5">
        <v>0.0</v>
      </c>
      <c r="P21" s="5">
        <v>1.0</v>
      </c>
      <c r="Q21" s="5">
        <v>0.0</v>
      </c>
      <c r="R21" s="5">
        <v>1.0</v>
      </c>
      <c r="S21" s="5">
        <v>0.0</v>
      </c>
      <c r="T21" s="5">
        <v>0.0</v>
      </c>
      <c r="U21" s="5">
        <v>0.0</v>
      </c>
      <c r="V21" s="5">
        <v>1.0</v>
      </c>
      <c r="W21" s="5">
        <v>0.0</v>
      </c>
      <c r="X21" s="5">
        <v>1.0</v>
      </c>
      <c r="Y21" s="5">
        <v>0.0</v>
      </c>
      <c r="Z21" s="5">
        <v>0.0</v>
      </c>
      <c r="AA21" s="5">
        <v>1.0</v>
      </c>
      <c r="AB21" s="5">
        <v>0.0</v>
      </c>
      <c r="AC21" s="5">
        <v>0.0</v>
      </c>
      <c r="AD21" s="5">
        <v>1.0</v>
      </c>
    </row>
    <row r="22" ht="15.75" customHeight="1">
      <c r="A22" s="5">
        <v>21.0</v>
      </c>
      <c r="B22" s="5">
        <v>0.0</v>
      </c>
      <c r="C22" s="5">
        <v>0.0</v>
      </c>
      <c r="D22" s="5">
        <v>1.0</v>
      </c>
      <c r="E22" s="5">
        <v>0.0</v>
      </c>
      <c r="F22" s="5">
        <v>1.0</v>
      </c>
      <c r="G22" s="5">
        <v>1.0</v>
      </c>
      <c r="H22" s="5">
        <v>1.0</v>
      </c>
      <c r="I22" s="5">
        <v>0.0</v>
      </c>
      <c r="J22" s="5">
        <v>0.0</v>
      </c>
      <c r="K22" s="5">
        <v>0.0</v>
      </c>
      <c r="L22" s="5">
        <v>1.0</v>
      </c>
      <c r="M22" s="5">
        <v>1.0</v>
      </c>
      <c r="N22" s="5">
        <v>0.0</v>
      </c>
      <c r="O22" s="5">
        <v>0.0</v>
      </c>
      <c r="P22" s="5">
        <v>1.0</v>
      </c>
      <c r="Q22" s="5">
        <v>0.0</v>
      </c>
      <c r="R22" s="5">
        <v>0.0</v>
      </c>
      <c r="S22" s="5">
        <v>0.0</v>
      </c>
      <c r="T22" s="5">
        <v>0.0</v>
      </c>
      <c r="U22" s="5">
        <v>1.0</v>
      </c>
      <c r="V22" s="5">
        <v>1.0</v>
      </c>
      <c r="W22" s="5">
        <v>0.0</v>
      </c>
      <c r="X22" s="5">
        <v>1.0</v>
      </c>
      <c r="Y22" s="5">
        <v>0.0</v>
      </c>
      <c r="Z22" s="5">
        <v>0.0</v>
      </c>
      <c r="AA22" s="5">
        <v>1.0</v>
      </c>
      <c r="AB22" s="5">
        <v>0.0</v>
      </c>
      <c r="AC22" s="5">
        <v>0.0</v>
      </c>
      <c r="AD22" s="5">
        <v>1.0</v>
      </c>
    </row>
    <row r="23" ht="15.75" customHeight="1">
      <c r="A23" s="5">
        <v>22.0</v>
      </c>
      <c r="B23" s="5">
        <v>0.0</v>
      </c>
      <c r="C23" s="5">
        <v>0.0</v>
      </c>
      <c r="D23" s="5">
        <v>0.0</v>
      </c>
      <c r="E23" s="5">
        <v>0.0</v>
      </c>
      <c r="F23" s="5">
        <v>1.0</v>
      </c>
      <c r="G23" s="5">
        <v>1.0</v>
      </c>
      <c r="H23" s="5">
        <v>1.0</v>
      </c>
      <c r="I23" s="5">
        <v>0.0</v>
      </c>
      <c r="J23" s="5">
        <v>0.0</v>
      </c>
      <c r="K23" s="5">
        <v>1.0</v>
      </c>
      <c r="L23" s="5">
        <v>1.0</v>
      </c>
      <c r="M23" s="5">
        <v>0.0</v>
      </c>
      <c r="N23" s="5">
        <v>0.0</v>
      </c>
      <c r="O23" s="5">
        <v>0.0</v>
      </c>
      <c r="P23" s="5">
        <v>1.0</v>
      </c>
      <c r="Q23" s="5">
        <v>0.0</v>
      </c>
      <c r="R23" s="5">
        <v>0.0</v>
      </c>
      <c r="S23" s="5">
        <v>0.0</v>
      </c>
      <c r="T23" s="5">
        <v>0.0</v>
      </c>
      <c r="U23" s="5">
        <v>1.0</v>
      </c>
      <c r="V23" s="5">
        <v>0.0</v>
      </c>
      <c r="W23" s="5">
        <v>0.0</v>
      </c>
      <c r="X23" s="5">
        <v>1.0</v>
      </c>
      <c r="Y23" s="5">
        <v>0.0</v>
      </c>
      <c r="Z23" s="5">
        <v>0.0</v>
      </c>
      <c r="AA23" s="5">
        <v>1.0</v>
      </c>
      <c r="AB23" s="5">
        <v>0.0</v>
      </c>
      <c r="AC23" s="5">
        <v>0.0</v>
      </c>
      <c r="AD23" s="5">
        <v>1.0</v>
      </c>
    </row>
    <row r="24" ht="15.75" customHeight="1">
      <c r="A24" s="5">
        <v>23.0</v>
      </c>
      <c r="B24" s="5">
        <v>0.0</v>
      </c>
      <c r="C24" s="5">
        <v>0.0</v>
      </c>
      <c r="D24" s="5">
        <v>1.0</v>
      </c>
      <c r="E24" s="5">
        <v>0.0</v>
      </c>
      <c r="F24" s="5">
        <v>1.0</v>
      </c>
      <c r="G24" s="5">
        <v>0.0</v>
      </c>
      <c r="H24" s="5">
        <v>1.0</v>
      </c>
      <c r="I24" s="5">
        <v>0.0</v>
      </c>
      <c r="J24" s="5">
        <v>0.0</v>
      </c>
      <c r="K24" s="5">
        <v>1.0</v>
      </c>
      <c r="L24" s="5">
        <v>1.0</v>
      </c>
      <c r="M24" s="5">
        <v>0.0</v>
      </c>
      <c r="N24" s="5">
        <v>0.0</v>
      </c>
      <c r="O24" s="5">
        <v>0.0</v>
      </c>
      <c r="P24" s="5">
        <v>1.0</v>
      </c>
      <c r="Q24" s="5">
        <v>0.0</v>
      </c>
      <c r="R24" s="5">
        <v>0.0</v>
      </c>
      <c r="S24" s="5">
        <v>0.0</v>
      </c>
      <c r="T24" s="5">
        <v>0.0</v>
      </c>
      <c r="U24" s="5">
        <v>0.0</v>
      </c>
      <c r="V24" s="5">
        <v>0.0</v>
      </c>
      <c r="W24" s="5">
        <v>0.0</v>
      </c>
      <c r="X24" s="5">
        <v>0.0</v>
      </c>
      <c r="Y24" s="5">
        <v>0.0</v>
      </c>
      <c r="Z24" s="5">
        <v>0.0</v>
      </c>
      <c r="AA24" s="5">
        <v>1.0</v>
      </c>
      <c r="AB24" s="5">
        <v>0.0</v>
      </c>
      <c r="AC24" s="5">
        <v>0.0</v>
      </c>
      <c r="AD24" s="5">
        <v>1.0</v>
      </c>
    </row>
    <row r="25" ht="15.75" customHeight="1">
      <c r="A25" s="5">
        <v>24.0</v>
      </c>
      <c r="B25" s="5">
        <v>0.0</v>
      </c>
      <c r="C25" s="5">
        <v>0.0</v>
      </c>
      <c r="D25" s="5">
        <v>1.0</v>
      </c>
      <c r="E25" s="5">
        <v>0.0</v>
      </c>
      <c r="F25" s="5">
        <v>1.0</v>
      </c>
      <c r="G25" s="5">
        <v>1.0</v>
      </c>
      <c r="H25" s="5">
        <v>1.0</v>
      </c>
      <c r="I25" s="5">
        <v>0.0</v>
      </c>
      <c r="J25" s="5">
        <v>0.0</v>
      </c>
      <c r="K25" s="5">
        <v>1.0</v>
      </c>
      <c r="L25" s="5">
        <v>1.0</v>
      </c>
      <c r="M25" s="5">
        <v>0.0</v>
      </c>
      <c r="N25" s="5">
        <v>1.0</v>
      </c>
      <c r="O25" s="5">
        <v>0.0</v>
      </c>
      <c r="P25" s="5">
        <v>1.0</v>
      </c>
      <c r="Q25" s="5">
        <v>0.0</v>
      </c>
      <c r="R25" s="5">
        <v>0.0</v>
      </c>
      <c r="S25" s="5">
        <v>0.0</v>
      </c>
      <c r="T25" s="5">
        <v>0.0</v>
      </c>
      <c r="U25" s="5">
        <v>1.0</v>
      </c>
      <c r="V25" s="5">
        <v>1.0</v>
      </c>
      <c r="W25" s="5">
        <v>0.0</v>
      </c>
      <c r="X25" s="5">
        <v>0.0</v>
      </c>
      <c r="Y25" s="5">
        <v>1.0</v>
      </c>
      <c r="Z25" s="5">
        <v>0.0</v>
      </c>
      <c r="AA25" s="5">
        <v>1.0</v>
      </c>
      <c r="AB25" s="5">
        <v>0.0</v>
      </c>
      <c r="AC25" s="5">
        <v>0.0</v>
      </c>
      <c r="AD25" s="5">
        <v>0.0</v>
      </c>
    </row>
    <row r="26" ht="15.75" customHeight="1">
      <c r="A26" s="5">
        <v>25.0</v>
      </c>
      <c r="B26" s="5">
        <v>0.0</v>
      </c>
      <c r="C26" s="5">
        <v>0.0</v>
      </c>
      <c r="D26" s="5">
        <v>0.0</v>
      </c>
      <c r="E26" s="5">
        <v>1.0</v>
      </c>
      <c r="F26" s="5">
        <v>1.0</v>
      </c>
      <c r="G26" s="5">
        <v>0.0</v>
      </c>
      <c r="H26" s="5">
        <v>1.0</v>
      </c>
      <c r="I26" s="5">
        <v>0.0</v>
      </c>
      <c r="J26" s="5">
        <v>0.0</v>
      </c>
      <c r="K26" s="5">
        <v>1.0</v>
      </c>
      <c r="L26" s="5">
        <v>1.0</v>
      </c>
      <c r="M26" s="5">
        <v>0.0</v>
      </c>
      <c r="N26" s="5">
        <v>1.0</v>
      </c>
      <c r="O26" s="5">
        <v>0.0</v>
      </c>
      <c r="P26" s="5">
        <v>1.0</v>
      </c>
      <c r="Q26" s="5">
        <v>0.0</v>
      </c>
      <c r="R26" s="5">
        <v>0.0</v>
      </c>
      <c r="S26" s="5">
        <v>0.0</v>
      </c>
      <c r="T26" s="5">
        <v>0.0</v>
      </c>
      <c r="U26" s="5">
        <v>1.0</v>
      </c>
      <c r="V26" s="5">
        <v>0.0</v>
      </c>
      <c r="W26" s="5">
        <v>0.0</v>
      </c>
      <c r="X26" s="5">
        <v>0.0</v>
      </c>
      <c r="Y26" s="5">
        <v>0.0</v>
      </c>
      <c r="Z26" s="5">
        <v>0.0</v>
      </c>
      <c r="AA26" s="5">
        <v>1.0</v>
      </c>
      <c r="AB26" s="5">
        <v>0.0</v>
      </c>
      <c r="AC26" s="5">
        <v>0.0</v>
      </c>
      <c r="AD26" s="5">
        <v>0.0</v>
      </c>
    </row>
    <row r="27" ht="15.75" customHeight="1">
      <c r="A27" s="5">
        <v>26.0</v>
      </c>
      <c r="B27" s="5">
        <v>0.0</v>
      </c>
      <c r="C27" s="5">
        <v>0.0</v>
      </c>
      <c r="D27" s="5">
        <v>0.0</v>
      </c>
      <c r="E27" s="5">
        <v>1.0</v>
      </c>
      <c r="F27" s="5">
        <v>1.0</v>
      </c>
      <c r="G27" s="5">
        <v>1.0</v>
      </c>
      <c r="H27" s="5">
        <v>1.0</v>
      </c>
      <c r="I27" s="5">
        <v>0.0</v>
      </c>
      <c r="J27" s="5">
        <v>0.0</v>
      </c>
      <c r="K27" s="5">
        <v>1.0</v>
      </c>
      <c r="L27" s="5">
        <v>0.0</v>
      </c>
      <c r="M27" s="5">
        <v>0.0</v>
      </c>
      <c r="N27" s="5">
        <v>0.0</v>
      </c>
      <c r="O27" s="5">
        <v>0.0</v>
      </c>
      <c r="P27" s="5">
        <v>1.0</v>
      </c>
      <c r="Q27" s="5">
        <v>0.0</v>
      </c>
      <c r="R27" s="5">
        <v>1.0</v>
      </c>
      <c r="S27" s="5">
        <v>0.0</v>
      </c>
      <c r="T27" s="5">
        <v>0.0</v>
      </c>
      <c r="U27" s="5">
        <v>1.0</v>
      </c>
      <c r="V27" s="5">
        <v>0.0</v>
      </c>
      <c r="W27" s="5">
        <v>0.0</v>
      </c>
      <c r="X27" s="5">
        <v>0.0</v>
      </c>
      <c r="Y27" s="5">
        <v>0.0</v>
      </c>
      <c r="Z27" s="5">
        <v>0.0</v>
      </c>
      <c r="AA27" s="5">
        <v>0.0</v>
      </c>
      <c r="AB27" s="5">
        <v>1.0</v>
      </c>
      <c r="AC27" s="5">
        <v>0.0</v>
      </c>
      <c r="AD27" s="5">
        <v>1.0</v>
      </c>
    </row>
    <row r="28" ht="15.75" customHeight="1">
      <c r="A28" s="5">
        <v>27.0</v>
      </c>
      <c r="B28" s="5">
        <v>0.0</v>
      </c>
      <c r="C28" s="5">
        <v>0.0</v>
      </c>
      <c r="D28" s="5">
        <v>0.0</v>
      </c>
      <c r="E28" s="5">
        <v>0.0</v>
      </c>
      <c r="F28" s="5">
        <v>0.0</v>
      </c>
      <c r="G28" s="5">
        <v>1.0</v>
      </c>
      <c r="H28" s="5">
        <v>0.0</v>
      </c>
      <c r="I28" s="5">
        <v>0.0</v>
      </c>
      <c r="J28" s="5">
        <v>0.0</v>
      </c>
      <c r="K28" s="5">
        <v>1.0</v>
      </c>
      <c r="L28" s="5">
        <v>0.0</v>
      </c>
      <c r="M28" s="5">
        <v>0.0</v>
      </c>
      <c r="N28" s="5">
        <v>1.0</v>
      </c>
      <c r="O28" s="5">
        <v>0.0</v>
      </c>
      <c r="P28" s="5">
        <v>0.0</v>
      </c>
      <c r="Q28" s="5">
        <v>0.0</v>
      </c>
      <c r="R28" s="5">
        <v>1.0</v>
      </c>
      <c r="S28" s="5">
        <v>0.0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5">
        <v>0.0</v>
      </c>
      <c r="AA28" s="5">
        <v>0.0</v>
      </c>
      <c r="AB28" s="5">
        <v>1.0</v>
      </c>
      <c r="AC28" s="5">
        <v>0.0</v>
      </c>
      <c r="AD28" s="5">
        <v>0.0</v>
      </c>
    </row>
    <row r="29" ht="15.75" customHeight="1">
      <c r="A29" s="5">
        <v>28.0</v>
      </c>
      <c r="B29" s="5">
        <v>0.0</v>
      </c>
      <c r="C29" s="5">
        <v>0.0</v>
      </c>
      <c r="D29" s="5">
        <v>0.0</v>
      </c>
      <c r="E29" s="5">
        <v>1.0</v>
      </c>
      <c r="F29" s="5">
        <v>0.0</v>
      </c>
      <c r="G29" s="5">
        <v>0.0</v>
      </c>
      <c r="H29" s="5">
        <v>1.0</v>
      </c>
      <c r="I29" s="5">
        <v>0.0</v>
      </c>
      <c r="J29" s="5">
        <v>0.0</v>
      </c>
      <c r="K29" s="5">
        <v>1.0</v>
      </c>
      <c r="L29" s="5">
        <v>0.0</v>
      </c>
      <c r="M29" s="5">
        <v>0.0</v>
      </c>
      <c r="N29" s="5">
        <v>1.0</v>
      </c>
      <c r="O29" s="5">
        <v>0.0</v>
      </c>
      <c r="P29" s="5">
        <v>0.0</v>
      </c>
      <c r="Q29" s="5">
        <v>0.0</v>
      </c>
      <c r="R29" s="5">
        <v>1.0</v>
      </c>
      <c r="S29" s="5">
        <v>0.0</v>
      </c>
      <c r="T29" s="5">
        <v>0.0</v>
      </c>
      <c r="U29" s="5">
        <v>1.0</v>
      </c>
      <c r="V29" s="5">
        <v>0.0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  <c r="AB29" s="5">
        <v>1.0</v>
      </c>
      <c r="AC29" s="5">
        <v>0.0</v>
      </c>
      <c r="AD29" s="5">
        <v>0.0</v>
      </c>
    </row>
    <row r="30" ht="15.75" customHeight="1">
      <c r="A30" s="5">
        <v>29.0</v>
      </c>
      <c r="B30" s="5">
        <v>0.0</v>
      </c>
      <c r="C30" s="5">
        <v>0.0</v>
      </c>
      <c r="D30" s="5">
        <v>0.0</v>
      </c>
      <c r="E30" s="5">
        <v>1.0</v>
      </c>
      <c r="F30" s="5">
        <v>0.0</v>
      </c>
      <c r="G30" s="5">
        <v>1.0</v>
      </c>
      <c r="H30" s="5">
        <v>0.0</v>
      </c>
      <c r="I30" s="5">
        <v>0.0</v>
      </c>
      <c r="J30" s="5">
        <v>0.0</v>
      </c>
      <c r="K30" s="5">
        <v>1.0</v>
      </c>
      <c r="L30" s="5">
        <v>0.0</v>
      </c>
      <c r="M30" s="5">
        <v>0.0</v>
      </c>
      <c r="N30" s="5">
        <v>1.0</v>
      </c>
      <c r="O30" s="5">
        <v>0.0</v>
      </c>
      <c r="P30" s="5">
        <v>0.0</v>
      </c>
      <c r="Q30" s="5">
        <v>0.0</v>
      </c>
      <c r="R30" s="5">
        <v>1.0</v>
      </c>
      <c r="S30" s="5">
        <v>0.0</v>
      </c>
      <c r="T30" s="5">
        <v>0.0</v>
      </c>
      <c r="U30" s="5">
        <v>1.0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  <c r="AC30" s="5">
        <v>0.0</v>
      </c>
      <c r="AD30" s="5">
        <v>1.0</v>
      </c>
    </row>
    <row r="31" ht="15.75" customHeight="1">
      <c r="A31" s="5">
        <v>30.0</v>
      </c>
      <c r="B31" s="5">
        <v>0.0</v>
      </c>
      <c r="C31" s="5">
        <v>0.0</v>
      </c>
      <c r="D31" s="5">
        <v>0.0</v>
      </c>
      <c r="E31" s="5">
        <v>1.0</v>
      </c>
      <c r="F31" s="5">
        <v>0.0</v>
      </c>
      <c r="G31" s="5">
        <v>1.0</v>
      </c>
      <c r="H31" s="5">
        <v>0.0</v>
      </c>
      <c r="I31" s="5">
        <v>0.0</v>
      </c>
      <c r="J31" s="5">
        <v>1.0</v>
      </c>
      <c r="K31" s="5">
        <v>1.0</v>
      </c>
      <c r="L31" s="5">
        <v>0.0</v>
      </c>
      <c r="M31" s="5">
        <v>0.0</v>
      </c>
      <c r="N31" s="5">
        <v>0.0</v>
      </c>
      <c r="O31" s="5">
        <v>0.0</v>
      </c>
      <c r="P31" s="5">
        <v>1.0</v>
      </c>
      <c r="Q31" s="5">
        <v>0.0</v>
      </c>
      <c r="R31" s="5">
        <v>1.0</v>
      </c>
      <c r="S31" s="5">
        <v>0.0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5">
        <v>0.0</v>
      </c>
      <c r="AA31" s="5">
        <v>0.0</v>
      </c>
      <c r="AB31" s="5">
        <v>1.0</v>
      </c>
      <c r="AC31" s="5">
        <v>0.0</v>
      </c>
      <c r="AD31" s="5">
        <v>1.0</v>
      </c>
    </row>
    <row r="32" ht="15.75" customHeight="1">
      <c r="A32" s="13">
        <v>37073.0</v>
      </c>
      <c r="B32" s="5">
        <v>0.0</v>
      </c>
      <c r="C32" s="5">
        <v>0.0</v>
      </c>
      <c r="D32" s="5">
        <v>0.0</v>
      </c>
      <c r="E32" s="5">
        <v>0.0</v>
      </c>
      <c r="F32" s="5">
        <v>0.0</v>
      </c>
      <c r="G32" s="5">
        <v>1.0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1.0</v>
      </c>
      <c r="O32" s="5">
        <v>0.0</v>
      </c>
      <c r="P32" s="5">
        <v>1.0</v>
      </c>
      <c r="Q32" s="5">
        <v>0.0</v>
      </c>
      <c r="R32" s="5">
        <v>1.0</v>
      </c>
      <c r="S32" s="5">
        <v>0.0</v>
      </c>
      <c r="T32" s="5">
        <v>0.0</v>
      </c>
      <c r="U32" s="5">
        <v>0.0</v>
      </c>
      <c r="V32" s="5">
        <v>1.0</v>
      </c>
      <c r="W32" s="5">
        <v>0.0</v>
      </c>
      <c r="X32" s="5">
        <v>0.0</v>
      </c>
      <c r="Y32" s="5">
        <v>0.0</v>
      </c>
      <c r="Z32" s="5">
        <v>0.0</v>
      </c>
      <c r="AA32" s="5">
        <v>0.0</v>
      </c>
      <c r="AB32" s="5">
        <v>0.0</v>
      </c>
      <c r="AC32" s="5">
        <v>0.0</v>
      </c>
      <c r="AD32" s="5">
        <v>1.0</v>
      </c>
    </row>
    <row r="33" ht="15.75" customHeight="1">
      <c r="A33" s="5">
        <v>2.0</v>
      </c>
      <c r="B33" s="5">
        <v>1.0</v>
      </c>
      <c r="C33" s="5">
        <v>0.0</v>
      </c>
      <c r="D33" s="5">
        <v>0.0</v>
      </c>
      <c r="E33" s="5">
        <v>1.0</v>
      </c>
      <c r="F33" s="5">
        <v>0.0</v>
      </c>
      <c r="G33" s="5">
        <v>1.0</v>
      </c>
      <c r="H33" s="5">
        <v>0.0</v>
      </c>
      <c r="I33" s="5">
        <v>0.0</v>
      </c>
      <c r="J33" s="5">
        <v>0.0</v>
      </c>
      <c r="K33" s="5">
        <v>0.0</v>
      </c>
      <c r="L33" s="5">
        <v>1.0</v>
      </c>
      <c r="M33" s="5">
        <v>1.0</v>
      </c>
      <c r="N33" s="5">
        <v>1.0</v>
      </c>
      <c r="O33" s="5">
        <v>0.0</v>
      </c>
      <c r="P33" s="5">
        <v>1.0</v>
      </c>
      <c r="Q33" s="5">
        <v>1.0</v>
      </c>
      <c r="R33" s="5">
        <v>0.0</v>
      </c>
      <c r="S33" s="5">
        <v>0.0</v>
      </c>
      <c r="T33" s="5">
        <v>0.0</v>
      </c>
      <c r="U33" s="5">
        <v>1.0</v>
      </c>
      <c r="V33" s="5">
        <v>1.0</v>
      </c>
      <c r="W33" s="5">
        <v>0.0</v>
      </c>
      <c r="X33" s="5">
        <v>0.0</v>
      </c>
      <c r="Y33" s="5">
        <v>0.0</v>
      </c>
      <c r="Z33" s="5">
        <v>0.0</v>
      </c>
      <c r="AA33" s="5">
        <v>0.0</v>
      </c>
      <c r="AB33" s="5">
        <v>0.0</v>
      </c>
      <c r="AC33" s="5">
        <v>0.0</v>
      </c>
      <c r="AD33" s="5">
        <v>1.0</v>
      </c>
    </row>
    <row r="34" ht="15.75" customHeight="1">
      <c r="A34" s="5">
        <v>3.0</v>
      </c>
      <c r="B34" s="5">
        <v>0.0</v>
      </c>
      <c r="C34" s="5">
        <v>0.0</v>
      </c>
      <c r="D34" s="5">
        <v>0.0</v>
      </c>
      <c r="E34" s="5">
        <v>1.0</v>
      </c>
      <c r="F34" s="5">
        <v>1.0</v>
      </c>
      <c r="G34" s="5">
        <v>1.0</v>
      </c>
      <c r="H34" s="5">
        <v>0.0</v>
      </c>
      <c r="I34" s="5">
        <v>0.0</v>
      </c>
      <c r="J34" s="5">
        <v>0.0</v>
      </c>
      <c r="K34" s="5">
        <v>0.0</v>
      </c>
      <c r="L34" s="5">
        <v>1.0</v>
      </c>
      <c r="M34" s="5">
        <v>0.0</v>
      </c>
      <c r="N34" s="5">
        <v>0.0</v>
      </c>
      <c r="O34" s="5">
        <v>0.0</v>
      </c>
      <c r="P34" s="5">
        <v>1.0</v>
      </c>
      <c r="Q34" s="5">
        <v>1.0</v>
      </c>
      <c r="R34" s="5">
        <v>0.0</v>
      </c>
      <c r="S34" s="5">
        <v>0.0</v>
      </c>
      <c r="T34" s="5">
        <v>0.0</v>
      </c>
      <c r="U34" s="5">
        <v>1.0</v>
      </c>
      <c r="V34" s="5">
        <v>1.0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  <c r="AB34" s="5">
        <v>0.0</v>
      </c>
      <c r="AC34" s="5">
        <v>1.0</v>
      </c>
      <c r="AD34" s="5">
        <v>1.0</v>
      </c>
    </row>
    <row r="35" ht="15.75" customHeight="1">
      <c r="A35" s="5">
        <v>4.0</v>
      </c>
      <c r="B35" s="5">
        <v>0.0</v>
      </c>
      <c r="C35" s="5">
        <v>0.0</v>
      </c>
      <c r="D35" s="5">
        <v>0.0</v>
      </c>
      <c r="E35" s="5">
        <v>1.0</v>
      </c>
      <c r="F35" s="5">
        <v>0.0</v>
      </c>
      <c r="G35" s="5">
        <v>0.0</v>
      </c>
      <c r="H35" s="5">
        <v>0.0</v>
      </c>
      <c r="I35" s="5">
        <v>0.0</v>
      </c>
      <c r="J35" s="5">
        <v>0.0</v>
      </c>
      <c r="K35" s="5">
        <v>1.0</v>
      </c>
      <c r="L35" s="5">
        <v>0.0</v>
      </c>
      <c r="M35" s="5">
        <v>0.0</v>
      </c>
      <c r="N35" s="5">
        <v>0.0</v>
      </c>
      <c r="O35" s="5">
        <v>0.0</v>
      </c>
      <c r="P35" s="5">
        <v>1.0</v>
      </c>
      <c r="Q35" s="5">
        <v>1.0</v>
      </c>
      <c r="R35" s="5">
        <v>0.0</v>
      </c>
      <c r="S35" s="5">
        <v>0.0</v>
      </c>
      <c r="T35" s="5">
        <v>0.0</v>
      </c>
      <c r="U35" s="5">
        <v>1.0</v>
      </c>
      <c r="V35" s="5">
        <v>1.0</v>
      </c>
      <c r="W35" s="5">
        <v>0.0</v>
      </c>
      <c r="X35" s="5">
        <v>0.0</v>
      </c>
      <c r="Y35" s="5">
        <v>0.0</v>
      </c>
      <c r="Z35" s="5">
        <v>0.0</v>
      </c>
      <c r="AA35" s="5">
        <v>0.0</v>
      </c>
      <c r="AB35" s="5">
        <v>0.0</v>
      </c>
      <c r="AC35" s="5">
        <v>1.0</v>
      </c>
      <c r="AD35" s="5">
        <v>1.0</v>
      </c>
    </row>
    <row r="36" ht="15.75" customHeight="1">
      <c r="A36" s="5">
        <v>5.0</v>
      </c>
      <c r="B36" s="5">
        <v>0.0</v>
      </c>
      <c r="C36" s="5">
        <v>0.0</v>
      </c>
      <c r="D36" s="5">
        <v>0.0</v>
      </c>
      <c r="E36" s="5">
        <v>0.0</v>
      </c>
      <c r="F36" s="5">
        <v>1.0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s="5">
        <v>0.0</v>
      </c>
      <c r="N36" s="5">
        <v>0.0</v>
      </c>
      <c r="O36" s="5">
        <v>0.0</v>
      </c>
      <c r="P36" s="5">
        <v>1.0</v>
      </c>
      <c r="Q36" s="5">
        <v>0.0</v>
      </c>
      <c r="R36" s="5">
        <v>0.0</v>
      </c>
      <c r="S36" s="5">
        <v>0.0</v>
      </c>
      <c r="T36" s="5">
        <v>0.0</v>
      </c>
      <c r="U36" s="5">
        <v>1.0</v>
      </c>
      <c r="V36" s="5">
        <v>1.0</v>
      </c>
      <c r="W36" s="5">
        <v>0.0</v>
      </c>
      <c r="X36" s="5">
        <v>0.0</v>
      </c>
      <c r="Y36" s="5">
        <v>0.0</v>
      </c>
      <c r="Z36" s="5">
        <v>0.0</v>
      </c>
      <c r="AA36" s="5">
        <v>0.0</v>
      </c>
      <c r="AB36" s="5">
        <v>0.0</v>
      </c>
      <c r="AC36" s="5">
        <v>1.0</v>
      </c>
      <c r="AD36" s="5">
        <v>1.0</v>
      </c>
    </row>
    <row r="37" ht="15.75" customHeight="1">
      <c r="A37" s="5">
        <v>6.0</v>
      </c>
      <c r="B37" s="5">
        <v>0.0</v>
      </c>
      <c r="C37" s="5">
        <v>0.0</v>
      </c>
      <c r="D37" s="5">
        <v>0.0</v>
      </c>
      <c r="E37" s="5">
        <v>0.0</v>
      </c>
      <c r="F37" s="5">
        <v>1.0</v>
      </c>
      <c r="G37" s="5">
        <v>1.0</v>
      </c>
      <c r="H37" s="5">
        <v>1.0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5">
        <v>0.0</v>
      </c>
      <c r="P37" s="5">
        <v>0.0</v>
      </c>
      <c r="Q37" s="5">
        <v>0.0</v>
      </c>
      <c r="R37" s="5">
        <v>0.0</v>
      </c>
      <c r="S37" s="5">
        <v>0.0</v>
      </c>
      <c r="T37" s="5">
        <v>0.0</v>
      </c>
      <c r="U37" s="5">
        <v>0.0</v>
      </c>
      <c r="V37" s="5">
        <v>1.0</v>
      </c>
      <c r="W37" s="5">
        <v>0.0</v>
      </c>
      <c r="X37" s="5">
        <v>0.0</v>
      </c>
      <c r="Y37" s="5">
        <v>0.0</v>
      </c>
      <c r="Z37" s="5">
        <v>0.0</v>
      </c>
      <c r="AA37" s="5">
        <v>0.0</v>
      </c>
      <c r="AB37" s="5">
        <v>0.0</v>
      </c>
      <c r="AC37" s="5">
        <v>0.0</v>
      </c>
      <c r="AD37" s="5">
        <v>1.0</v>
      </c>
    </row>
    <row r="38" ht="15.75" customHeight="1">
      <c r="A38" s="5">
        <v>7.0</v>
      </c>
      <c r="B38" s="5">
        <v>0.0</v>
      </c>
      <c r="C38" s="5">
        <v>0.0</v>
      </c>
      <c r="D38" s="5">
        <v>0.0</v>
      </c>
      <c r="E38" s="5">
        <v>0.0</v>
      </c>
      <c r="F38" s="5">
        <v>1.0</v>
      </c>
      <c r="G38" s="5">
        <v>0.0</v>
      </c>
      <c r="H38" s="5">
        <v>1.0</v>
      </c>
      <c r="I38" s="5">
        <v>1.0</v>
      </c>
      <c r="J38" s="5">
        <v>0.0</v>
      </c>
      <c r="K38" s="5">
        <v>1.0</v>
      </c>
      <c r="L38" s="5">
        <v>0.0</v>
      </c>
      <c r="M38" s="5">
        <v>0.0</v>
      </c>
      <c r="N38" s="5">
        <v>0.0</v>
      </c>
      <c r="O38" s="5">
        <v>0.0</v>
      </c>
      <c r="P38" s="5">
        <v>0.0</v>
      </c>
      <c r="Q38" s="5">
        <v>0.0</v>
      </c>
      <c r="R38" s="5">
        <v>0.0</v>
      </c>
      <c r="S38" s="5">
        <v>0.0</v>
      </c>
      <c r="T38" s="5">
        <v>0.0</v>
      </c>
      <c r="U38" s="5">
        <v>1.0</v>
      </c>
      <c r="V38" s="5">
        <v>0.0</v>
      </c>
      <c r="W38" s="5">
        <v>0.0</v>
      </c>
      <c r="X38" s="5">
        <v>0.0</v>
      </c>
      <c r="Y38" s="5">
        <v>0.0</v>
      </c>
      <c r="Z38" s="5">
        <v>0.0</v>
      </c>
      <c r="AA38" s="5">
        <v>0.0</v>
      </c>
      <c r="AB38" s="5">
        <v>0.0</v>
      </c>
      <c r="AC38" s="5">
        <v>0.0</v>
      </c>
      <c r="AD38" s="5">
        <v>1.0</v>
      </c>
    </row>
    <row r="39" ht="15.75" customHeight="1">
      <c r="A39" s="5">
        <v>8.0</v>
      </c>
      <c r="B39" s="5">
        <v>0.0</v>
      </c>
      <c r="C39" s="5">
        <v>0.0</v>
      </c>
      <c r="D39" s="5">
        <v>0.0</v>
      </c>
      <c r="E39" s="5">
        <v>0.0</v>
      </c>
      <c r="F39" s="5">
        <v>0.0</v>
      </c>
      <c r="G39" s="5">
        <v>0.0</v>
      </c>
      <c r="H39" s="5">
        <v>1.0</v>
      </c>
      <c r="I39" s="5">
        <v>1.0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1.0</v>
      </c>
      <c r="V39" s="5">
        <v>0.0</v>
      </c>
      <c r="W39" s="5">
        <v>0.0</v>
      </c>
      <c r="X39" s="5">
        <v>0.0</v>
      </c>
      <c r="Y39" s="5">
        <v>0.0</v>
      </c>
      <c r="Z39" s="5">
        <v>0.0</v>
      </c>
      <c r="AA39" s="5">
        <v>0.0</v>
      </c>
      <c r="AB39" s="5">
        <v>0.0</v>
      </c>
      <c r="AC39" s="5">
        <v>0.0</v>
      </c>
      <c r="AD39" s="5">
        <v>1.0</v>
      </c>
    </row>
    <row r="40" ht="15.75" customHeight="1">
      <c r="A40" s="5">
        <v>9.0</v>
      </c>
      <c r="B40" s="5">
        <v>0.0</v>
      </c>
      <c r="C40" s="5">
        <v>0.0</v>
      </c>
      <c r="D40" s="5">
        <v>0.0</v>
      </c>
      <c r="E40" s="5">
        <v>0.0</v>
      </c>
      <c r="F40" s="5">
        <v>1.0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5">
        <v>1.0</v>
      </c>
      <c r="Q40" s="5">
        <v>0.0</v>
      </c>
      <c r="R40" s="5">
        <v>0.0</v>
      </c>
      <c r="S40" s="5">
        <v>0.0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5">
        <v>0.0</v>
      </c>
      <c r="AA40" s="5">
        <v>0.0</v>
      </c>
      <c r="AB40" s="5">
        <v>1.0</v>
      </c>
      <c r="AC40" s="5">
        <v>0.0</v>
      </c>
      <c r="AD40" s="5">
        <v>1.0</v>
      </c>
    </row>
    <row r="41" ht="15.75" customHeight="1">
      <c r="A41" s="5">
        <v>10.0</v>
      </c>
      <c r="B41" s="5">
        <v>0.0</v>
      </c>
      <c r="C41" s="5">
        <v>0.0</v>
      </c>
      <c r="D41" s="5">
        <v>0.0</v>
      </c>
      <c r="E41" s="5">
        <v>0.0</v>
      </c>
      <c r="F41" s="5">
        <v>0.0</v>
      </c>
      <c r="G41" s="5">
        <v>1.0</v>
      </c>
      <c r="H41" s="5">
        <v>1.0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  <c r="S41" s="5">
        <v>0.0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5">
        <v>0.0</v>
      </c>
      <c r="AA41" s="5">
        <v>0.0</v>
      </c>
      <c r="AB41" s="5">
        <v>1.0</v>
      </c>
      <c r="AC41" s="5">
        <v>0.0</v>
      </c>
      <c r="AD41" s="5">
        <v>0.0</v>
      </c>
    </row>
    <row r="42" ht="15.75" customHeight="1">
      <c r="A42" s="5">
        <v>11.0</v>
      </c>
      <c r="B42" s="5">
        <v>0.0</v>
      </c>
      <c r="C42" s="5">
        <v>0.0</v>
      </c>
      <c r="D42" s="5">
        <v>0.0</v>
      </c>
      <c r="E42" s="5">
        <v>0.0</v>
      </c>
      <c r="F42" s="5">
        <v>0.0</v>
      </c>
      <c r="G42" s="5">
        <v>0.0</v>
      </c>
      <c r="H42" s="5">
        <v>1.0</v>
      </c>
      <c r="I42" s="5">
        <v>0.0</v>
      </c>
      <c r="J42" s="5">
        <v>0.0</v>
      </c>
      <c r="K42" s="5">
        <v>0.0</v>
      </c>
      <c r="L42" s="5">
        <v>0.0</v>
      </c>
      <c r="M42" s="5">
        <v>0.0</v>
      </c>
      <c r="N42" s="5">
        <v>0.0</v>
      </c>
      <c r="O42" s="5">
        <v>0.0</v>
      </c>
      <c r="P42" s="5">
        <v>1.0</v>
      </c>
      <c r="Q42" s="5">
        <v>0.0</v>
      </c>
      <c r="R42" s="5">
        <v>0.0</v>
      </c>
      <c r="S42" s="5">
        <v>0.0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1.0</v>
      </c>
      <c r="Z42" s="5">
        <v>0.0</v>
      </c>
      <c r="AA42" s="5">
        <v>0.0</v>
      </c>
      <c r="AB42" s="5">
        <v>1.0</v>
      </c>
      <c r="AC42" s="5">
        <v>0.0</v>
      </c>
      <c r="AD42" s="5">
        <v>0.0</v>
      </c>
    </row>
    <row r="43" ht="15.75" customHeight="1">
      <c r="A43" s="5">
        <v>12.0</v>
      </c>
      <c r="B43" s="5">
        <v>0.0</v>
      </c>
      <c r="C43" s="5">
        <v>0.0</v>
      </c>
      <c r="D43" s="5">
        <v>0.0</v>
      </c>
      <c r="E43" s="5">
        <v>0.0</v>
      </c>
      <c r="F43" s="5">
        <v>0.0</v>
      </c>
      <c r="G43" s="5">
        <v>0.0</v>
      </c>
      <c r="H43" s="5">
        <v>1.0</v>
      </c>
      <c r="I43" s="5">
        <v>1.0</v>
      </c>
      <c r="J43" s="5">
        <v>0.0</v>
      </c>
      <c r="K43" s="5">
        <v>1.0</v>
      </c>
      <c r="L43" s="5">
        <v>0.0</v>
      </c>
      <c r="M43" s="5">
        <v>0.0</v>
      </c>
      <c r="N43" s="5">
        <v>0.0</v>
      </c>
      <c r="O43" s="5">
        <v>0.0</v>
      </c>
      <c r="P43" s="5">
        <v>1.0</v>
      </c>
      <c r="Q43" s="5">
        <v>0.0</v>
      </c>
      <c r="R43" s="5">
        <v>0.0</v>
      </c>
      <c r="S43" s="5">
        <v>0.0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0.0</v>
      </c>
      <c r="Z43" s="5">
        <v>0.0</v>
      </c>
      <c r="AA43" s="5">
        <v>0.0</v>
      </c>
      <c r="AB43" s="5">
        <v>1.0</v>
      </c>
      <c r="AC43" s="5">
        <v>0.0</v>
      </c>
      <c r="AD43" s="5">
        <v>1.0</v>
      </c>
    </row>
    <row r="44" ht="15.75" customHeight="1">
      <c r="A44" s="5">
        <v>13.0</v>
      </c>
      <c r="B44" s="5">
        <v>0.0</v>
      </c>
      <c r="C44" s="5">
        <v>0.0</v>
      </c>
      <c r="D44" s="5">
        <v>1.0</v>
      </c>
      <c r="E44" s="5">
        <v>0.0</v>
      </c>
      <c r="F44" s="5">
        <v>0.0</v>
      </c>
      <c r="G44" s="5">
        <v>0.0</v>
      </c>
      <c r="H44" s="5">
        <v>1.0</v>
      </c>
      <c r="I44" s="5">
        <v>0.0</v>
      </c>
      <c r="J44" s="5">
        <v>0.0</v>
      </c>
      <c r="K44" s="5">
        <v>1.0</v>
      </c>
      <c r="L44" s="5">
        <v>0.0</v>
      </c>
      <c r="M44" s="5">
        <v>0.0</v>
      </c>
      <c r="N44" s="5">
        <v>0.0</v>
      </c>
      <c r="O44" s="5">
        <v>0.0</v>
      </c>
      <c r="P44" s="5">
        <v>1.0</v>
      </c>
      <c r="Q44" s="5">
        <v>1.0</v>
      </c>
      <c r="R44" s="5">
        <v>0.0</v>
      </c>
      <c r="S44" s="5">
        <v>0.0</v>
      </c>
      <c r="T44" s="5">
        <v>1.0</v>
      </c>
      <c r="U44" s="5">
        <v>0.0</v>
      </c>
      <c r="V44" s="5">
        <v>0.0</v>
      </c>
      <c r="W44" s="5">
        <v>0.0</v>
      </c>
      <c r="X44" s="5">
        <v>0.0</v>
      </c>
      <c r="Y44" s="5">
        <v>0.0</v>
      </c>
      <c r="Z44" s="5">
        <v>0.0</v>
      </c>
      <c r="AA44" s="5">
        <v>0.0</v>
      </c>
      <c r="AB44" s="5">
        <v>1.0</v>
      </c>
      <c r="AC44" s="5">
        <v>0.0</v>
      </c>
      <c r="AD44" s="5">
        <v>1.0</v>
      </c>
    </row>
    <row r="45" ht="15.75" customHeight="1">
      <c r="A45" s="5">
        <v>14.0</v>
      </c>
      <c r="B45" s="5">
        <v>0.0</v>
      </c>
      <c r="C45" s="5">
        <v>0.0</v>
      </c>
      <c r="D45" s="5">
        <v>0.0</v>
      </c>
      <c r="E45" s="5">
        <v>0.0</v>
      </c>
      <c r="F45" s="5">
        <v>0.0</v>
      </c>
      <c r="G45" s="5">
        <v>0.0</v>
      </c>
      <c r="H45" s="5">
        <v>1.0</v>
      </c>
      <c r="I45" s="5">
        <v>0.0</v>
      </c>
      <c r="J45" s="5">
        <v>0.0</v>
      </c>
      <c r="K45" s="5">
        <v>1.0</v>
      </c>
      <c r="L45" s="5">
        <v>0.0</v>
      </c>
      <c r="M45" s="5">
        <v>0.0</v>
      </c>
      <c r="N45" s="5">
        <v>0.0</v>
      </c>
      <c r="O45" s="5">
        <v>0.0</v>
      </c>
      <c r="P45" s="5">
        <v>1.0</v>
      </c>
      <c r="Q45" s="5">
        <v>1.0</v>
      </c>
      <c r="R45" s="5">
        <v>0.0</v>
      </c>
      <c r="S45" s="5">
        <v>0.0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1.0</v>
      </c>
      <c r="Z45" s="5">
        <v>0.0</v>
      </c>
      <c r="AA45" s="5">
        <v>0.0</v>
      </c>
      <c r="AB45" s="5">
        <v>1.0</v>
      </c>
      <c r="AC45" s="5">
        <v>0.0</v>
      </c>
      <c r="AD45" s="5">
        <v>1.0</v>
      </c>
    </row>
    <row r="46" ht="15.75" customHeight="1">
      <c r="A46" s="5">
        <v>15.0</v>
      </c>
      <c r="B46" s="5">
        <v>0.0</v>
      </c>
      <c r="C46" s="5">
        <v>0.0</v>
      </c>
      <c r="D46" s="5">
        <v>0.0</v>
      </c>
      <c r="E46" s="5">
        <v>0.0</v>
      </c>
      <c r="F46" s="5">
        <v>0.0</v>
      </c>
      <c r="G46" s="5">
        <v>1.0</v>
      </c>
      <c r="H46" s="5">
        <v>1.0</v>
      </c>
      <c r="I46" s="5">
        <v>1.0</v>
      </c>
      <c r="J46" s="5">
        <v>0.0</v>
      </c>
      <c r="K46" s="5">
        <v>1.0</v>
      </c>
      <c r="L46" s="5">
        <v>0.0</v>
      </c>
      <c r="M46" s="5">
        <v>0.0</v>
      </c>
      <c r="N46" s="5">
        <v>0.0</v>
      </c>
      <c r="O46" s="5">
        <v>0.0</v>
      </c>
      <c r="P46" s="5">
        <v>1.0</v>
      </c>
      <c r="Q46" s="5">
        <v>0.0</v>
      </c>
      <c r="R46" s="5">
        <v>0.0</v>
      </c>
      <c r="S46" s="5">
        <v>0.0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5">
        <v>1.0</v>
      </c>
      <c r="AA46" s="5">
        <v>0.0</v>
      </c>
      <c r="AB46" s="5">
        <v>0.0</v>
      </c>
      <c r="AC46" s="5">
        <v>0.0</v>
      </c>
      <c r="AD46" s="5">
        <v>1.0</v>
      </c>
    </row>
    <row r="47" ht="15.75" customHeight="1">
      <c r="A47" s="5">
        <v>16.0</v>
      </c>
      <c r="B47" s="5">
        <v>0.0</v>
      </c>
      <c r="C47" s="5">
        <v>0.0</v>
      </c>
      <c r="D47" s="5">
        <v>0.0</v>
      </c>
      <c r="E47" s="5">
        <v>0.0</v>
      </c>
      <c r="F47" s="5">
        <v>0.0</v>
      </c>
      <c r="G47" s="5">
        <v>0.0</v>
      </c>
      <c r="H47" s="5">
        <v>0.0</v>
      </c>
      <c r="I47" s="5">
        <v>0.0</v>
      </c>
      <c r="J47" s="5">
        <v>0.0</v>
      </c>
      <c r="K47" s="5">
        <v>1.0</v>
      </c>
      <c r="L47" s="5">
        <v>0.0</v>
      </c>
      <c r="M47" s="5">
        <v>0.0</v>
      </c>
      <c r="N47" s="5">
        <v>0.0</v>
      </c>
      <c r="O47" s="5">
        <v>0.0</v>
      </c>
      <c r="P47" s="5">
        <v>1.0</v>
      </c>
      <c r="Q47" s="5">
        <v>0.0</v>
      </c>
      <c r="R47" s="5">
        <v>0.0</v>
      </c>
      <c r="S47" s="5">
        <v>0.0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5">
        <v>1.0</v>
      </c>
      <c r="AA47" s="5">
        <v>0.0</v>
      </c>
      <c r="AB47" s="5">
        <v>1.0</v>
      </c>
      <c r="AC47" s="5">
        <v>0.0</v>
      </c>
      <c r="AD47" s="5">
        <v>1.0</v>
      </c>
    </row>
    <row r="48" ht="15.75" customHeight="1">
      <c r="A48" s="5">
        <v>17.0</v>
      </c>
      <c r="B48" s="5">
        <v>0.0</v>
      </c>
      <c r="C48" s="5">
        <v>0.0</v>
      </c>
      <c r="D48" s="5">
        <v>0.0</v>
      </c>
      <c r="E48" s="5">
        <v>0.0</v>
      </c>
      <c r="F48" s="5">
        <v>0.0</v>
      </c>
      <c r="G48" s="5">
        <v>0.0</v>
      </c>
      <c r="H48" s="5">
        <v>0.0</v>
      </c>
      <c r="I48" s="5">
        <v>0.0</v>
      </c>
      <c r="J48" s="5">
        <v>0.0</v>
      </c>
      <c r="K48" s="5">
        <v>1.0</v>
      </c>
      <c r="L48" s="5">
        <v>1.0</v>
      </c>
      <c r="M48" s="5">
        <v>0.0</v>
      </c>
      <c r="N48" s="5">
        <v>1.0</v>
      </c>
      <c r="O48" s="5">
        <v>0.0</v>
      </c>
      <c r="P48" s="5">
        <v>0.0</v>
      </c>
      <c r="Q48" s="5">
        <v>0.0</v>
      </c>
      <c r="R48" s="5">
        <v>1.0</v>
      </c>
      <c r="S48" s="5">
        <v>0.0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1.0</v>
      </c>
      <c r="Z48" s="5">
        <v>1.0</v>
      </c>
      <c r="AA48" s="5">
        <v>0.0</v>
      </c>
      <c r="AB48" s="5">
        <v>1.0</v>
      </c>
      <c r="AC48" s="5">
        <v>0.0</v>
      </c>
      <c r="AD48" s="5">
        <v>1.0</v>
      </c>
    </row>
    <row r="49" ht="15.75" customHeight="1">
      <c r="A49" s="5">
        <v>18.0</v>
      </c>
      <c r="B49" s="5">
        <v>0.0</v>
      </c>
      <c r="C49" s="5">
        <v>0.0</v>
      </c>
      <c r="D49" s="5">
        <v>0.0</v>
      </c>
      <c r="E49" s="5">
        <v>0.0</v>
      </c>
      <c r="F49" s="5">
        <v>0.0</v>
      </c>
      <c r="G49" s="5">
        <v>0.0</v>
      </c>
      <c r="H49" s="5">
        <v>1.0</v>
      </c>
      <c r="I49" s="5">
        <v>1.0</v>
      </c>
      <c r="J49" s="5">
        <v>0.0</v>
      </c>
      <c r="K49" s="5">
        <v>0.0</v>
      </c>
      <c r="L49" s="5">
        <v>1.0</v>
      </c>
      <c r="M49" s="5">
        <v>0.0</v>
      </c>
      <c r="N49" s="5">
        <v>1.0</v>
      </c>
      <c r="O49" s="5">
        <v>0.0</v>
      </c>
      <c r="P49" s="5">
        <v>0.0</v>
      </c>
      <c r="Q49" s="5">
        <v>0.0</v>
      </c>
      <c r="R49" s="5">
        <v>0.0</v>
      </c>
      <c r="S49" s="5">
        <v>0.0</v>
      </c>
      <c r="T49" s="5">
        <v>0.0</v>
      </c>
      <c r="U49" s="5">
        <v>1.0</v>
      </c>
      <c r="V49" s="5">
        <v>0.0</v>
      </c>
      <c r="W49" s="5">
        <v>0.0</v>
      </c>
      <c r="X49" s="5">
        <v>0.0</v>
      </c>
      <c r="Y49" s="5">
        <v>1.0</v>
      </c>
      <c r="Z49" s="5">
        <v>1.0</v>
      </c>
      <c r="AA49" s="5">
        <v>0.0</v>
      </c>
      <c r="AB49" s="5">
        <v>1.0</v>
      </c>
      <c r="AC49" s="5">
        <v>1.0</v>
      </c>
      <c r="AD49" s="5">
        <v>1.0</v>
      </c>
    </row>
    <row r="50" ht="15.75" customHeight="1">
      <c r="A50" s="5">
        <v>19.0</v>
      </c>
      <c r="B50" s="5">
        <v>0.0</v>
      </c>
      <c r="C50" s="5">
        <v>0.0</v>
      </c>
      <c r="D50" s="5">
        <v>0.0</v>
      </c>
      <c r="E50" s="5">
        <v>0.0</v>
      </c>
      <c r="F50" s="5">
        <v>0.0</v>
      </c>
      <c r="G50" s="5">
        <v>0.0</v>
      </c>
      <c r="H50" s="5">
        <v>0.0</v>
      </c>
      <c r="I50" s="5">
        <v>1.0</v>
      </c>
      <c r="J50" s="5">
        <v>0.0</v>
      </c>
      <c r="K50" s="5">
        <v>0.0</v>
      </c>
      <c r="L50" s="5">
        <v>1.0</v>
      </c>
      <c r="M50" s="5">
        <v>0.0</v>
      </c>
      <c r="N50" s="5">
        <v>1.0</v>
      </c>
      <c r="O50" s="5">
        <v>0.0</v>
      </c>
      <c r="P50" s="5">
        <v>1.0</v>
      </c>
      <c r="Q50" s="5">
        <v>0.0</v>
      </c>
      <c r="R50" s="5">
        <v>0.0</v>
      </c>
      <c r="S50" s="5">
        <v>1.0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1.0</v>
      </c>
      <c r="Z50" s="5">
        <v>1.0</v>
      </c>
      <c r="AA50" s="5">
        <v>0.0</v>
      </c>
      <c r="AB50" s="5">
        <v>0.0</v>
      </c>
      <c r="AC50" s="5">
        <v>1.0</v>
      </c>
      <c r="AD50" s="5">
        <v>1.0</v>
      </c>
    </row>
    <row r="51" ht="15.75" customHeight="1">
      <c r="A51" s="5">
        <v>20.0</v>
      </c>
      <c r="B51" s="5">
        <v>0.0</v>
      </c>
      <c r="C51" s="5">
        <v>0.0</v>
      </c>
      <c r="D51" s="5">
        <v>1.0</v>
      </c>
      <c r="E51" s="5">
        <v>1.0</v>
      </c>
      <c r="F51" s="5">
        <v>1.0</v>
      </c>
      <c r="G51" s="5">
        <v>0.0</v>
      </c>
      <c r="H51" s="5">
        <v>0.0</v>
      </c>
      <c r="I51" s="5">
        <v>1.0</v>
      </c>
      <c r="J51" s="5">
        <v>0.0</v>
      </c>
      <c r="K51" s="5">
        <v>0.0</v>
      </c>
      <c r="L51" s="5">
        <v>1.0</v>
      </c>
      <c r="M51" s="5">
        <v>0.0</v>
      </c>
      <c r="N51" s="5">
        <v>1.0</v>
      </c>
      <c r="O51" s="5">
        <v>0.0</v>
      </c>
      <c r="P51" s="5">
        <v>0.0</v>
      </c>
      <c r="Q51" s="5">
        <v>0.0</v>
      </c>
      <c r="R51" s="5">
        <v>0.0</v>
      </c>
      <c r="S51" s="5">
        <v>0.0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1.0</v>
      </c>
      <c r="Z51" s="5">
        <v>1.0</v>
      </c>
      <c r="AA51" s="5">
        <v>0.0</v>
      </c>
      <c r="AB51" s="5">
        <v>0.0</v>
      </c>
      <c r="AC51" s="5">
        <v>1.0</v>
      </c>
      <c r="AD51" s="5">
        <v>0.0</v>
      </c>
    </row>
    <row r="52" ht="15.75" customHeight="1">
      <c r="A52" s="5">
        <v>21.0</v>
      </c>
      <c r="B52" s="5">
        <v>0.0</v>
      </c>
      <c r="C52" s="5">
        <v>0.0</v>
      </c>
      <c r="D52" s="5">
        <v>0.0</v>
      </c>
      <c r="E52" s="5">
        <v>0.0</v>
      </c>
      <c r="F52" s="5">
        <v>0.0</v>
      </c>
      <c r="G52" s="5">
        <v>0.0</v>
      </c>
      <c r="H52" s="5">
        <v>0.0</v>
      </c>
      <c r="I52" s="5">
        <v>1.0</v>
      </c>
      <c r="J52" s="5">
        <v>0.0</v>
      </c>
      <c r="K52" s="5">
        <v>1.0</v>
      </c>
      <c r="L52" s="5">
        <v>0.0</v>
      </c>
      <c r="M52" s="5">
        <v>0.0</v>
      </c>
      <c r="N52" s="5">
        <v>1.0</v>
      </c>
      <c r="O52" s="5">
        <v>0.0</v>
      </c>
      <c r="P52" s="5">
        <v>0.0</v>
      </c>
      <c r="Q52" s="5">
        <v>0.0</v>
      </c>
      <c r="R52" s="5">
        <v>0.0</v>
      </c>
      <c r="S52" s="5">
        <v>0.0</v>
      </c>
      <c r="T52" s="5">
        <v>1.0</v>
      </c>
      <c r="U52" s="5">
        <v>0.0</v>
      </c>
      <c r="V52" s="5">
        <v>1.0</v>
      </c>
      <c r="W52" s="5">
        <v>0.0</v>
      </c>
      <c r="X52" s="5">
        <v>0.0</v>
      </c>
      <c r="Y52" s="5">
        <v>0.0</v>
      </c>
      <c r="Z52" s="5">
        <v>1.0</v>
      </c>
      <c r="AA52" s="5">
        <v>0.0</v>
      </c>
      <c r="AB52" s="5">
        <v>0.0</v>
      </c>
      <c r="AC52" s="5">
        <v>0.0</v>
      </c>
      <c r="AD52" s="5">
        <v>0.0</v>
      </c>
    </row>
    <row r="53" ht="15.75" customHeight="1">
      <c r="A53" s="5">
        <v>22.0</v>
      </c>
      <c r="B53" s="5">
        <v>0.0</v>
      </c>
      <c r="C53" s="5">
        <v>0.0</v>
      </c>
      <c r="D53" s="5">
        <v>0.0</v>
      </c>
      <c r="E53" s="5">
        <v>0.0</v>
      </c>
      <c r="F53" s="5">
        <v>1.0</v>
      </c>
      <c r="G53" s="5">
        <v>0.0</v>
      </c>
      <c r="H53" s="5">
        <v>0.0</v>
      </c>
      <c r="I53" s="5">
        <v>1.0</v>
      </c>
      <c r="J53" s="5">
        <v>0.0</v>
      </c>
      <c r="K53" s="5">
        <v>0.0</v>
      </c>
      <c r="L53" s="5">
        <v>0.0</v>
      </c>
      <c r="M53" s="5">
        <v>0.0</v>
      </c>
      <c r="N53" s="5">
        <v>1.0</v>
      </c>
      <c r="O53" s="5">
        <v>0.0</v>
      </c>
      <c r="P53" s="5">
        <v>0.0</v>
      </c>
      <c r="Q53" s="5">
        <v>0.0</v>
      </c>
      <c r="R53" s="5">
        <v>0.0</v>
      </c>
      <c r="S53" s="5">
        <v>0.0</v>
      </c>
      <c r="T53" s="5">
        <v>1.0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5">
        <v>1.0</v>
      </c>
      <c r="AA53" s="5">
        <v>0.0</v>
      </c>
      <c r="AB53" s="5">
        <v>0.0</v>
      </c>
      <c r="AC53" s="5">
        <v>0.0</v>
      </c>
      <c r="AD53" s="5">
        <v>0.0</v>
      </c>
    </row>
    <row r="54" ht="15.75" customHeight="1">
      <c r="A54" s="5">
        <v>23.0</v>
      </c>
      <c r="B54" s="5">
        <v>0.0</v>
      </c>
      <c r="C54" s="5">
        <v>0.0</v>
      </c>
      <c r="D54" s="5">
        <v>0.0</v>
      </c>
      <c r="E54" s="5">
        <v>0.0</v>
      </c>
      <c r="F54" s="5">
        <v>1.0</v>
      </c>
      <c r="G54" s="5">
        <v>0.0</v>
      </c>
      <c r="H54" s="5">
        <v>0.0</v>
      </c>
      <c r="I54" s="5">
        <v>1.0</v>
      </c>
      <c r="J54" s="5">
        <v>0.0</v>
      </c>
      <c r="K54" s="5">
        <v>0.0</v>
      </c>
      <c r="L54" s="5">
        <v>0.0</v>
      </c>
      <c r="M54" s="5">
        <v>0.0</v>
      </c>
      <c r="N54" s="5">
        <v>1.0</v>
      </c>
      <c r="O54" s="5">
        <v>0.0</v>
      </c>
      <c r="P54" s="5">
        <v>0.0</v>
      </c>
      <c r="Q54" s="5">
        <v>1.0</v>
      </c>
      <c r="R54" s="5">
        <v>0.0</v>
      </c>
      <c r="S54" s="5">
        <v>1.0</v>
      </c>
      <c r="T54" s="5">
        <v>1.0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5">
        <v>1.0</v>
      </c>
      <c r="AA54" s="5">
        <v>0.0</v>
      </c>
      <c r="AB54" s="5">
        <v>0.0</v>
      </c>
      <c r="AC54" s="5">
        <v>0.0</v>
      </c>
      <c r="AD54" s="5">
        <v>0.0</v>
      </c>
    </row>
    <row r="55" ht="15.75" customHeight="1">
      <c r="A55" s="5">
        <v>24.0</v>
      </c>
      <c r="B55" s="5">
        <v>0.0</v>
      </c>
      <c r="C55" s="5">
        <v>0.0</v>
      </c>
      <c r="D55" s="5">
        <v>0.0</v>
      </c>
      <c r="E55" s="5">
        <v>1.0</v>
      </c>
      <c r="F55" s="5">
        <v>0.0</v>
      </c>
      <c r="G55" s="5">
        <v>0.0</v>
      </c>
      <c r="H55" s="5">
        <v>0.0</v>
      </c>
      <c r="I55" s="5">
        <v>0.0</v>
      </c>
      <c r="J55" s="5">
        <v>0.0</v>
      </c>
      <c r="K55" s="5">
        <v>1.0</v>
      </c>
      <c r="L55" s="5">
        <v>0.0</v>
      </c>
      <c r="M55" s="5">
        <v>0.0</v>
      </c>
      <c r="N55" s="5">
        <v>1.0</v>
      </c>
      <c r="O55" s="5">
        <v>0.0</v>
      </c>
      <c r="P55" s="5">
        <v>0.0</v>
      </c>
      <c r="Q55" s="5">
        <v>0.0</v>
      </c>
      <c r="R55" s="5">
        <v>0.0</v>
      </c>
      <c r="S55" s="5">
        <v>1.0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5">
        <v>1.0</v>
      </c>
      <c r="AA55" s="5">
        <v>0.0</v>
      </c>
      <c r="AB55" s="5">
        <v>0.0</v>
      </c>
      <c r="AC55" s="5">
        <v>0.0</v>
      </c>
      <c r="AD55" s="5">
        <v>0.0</v>
      </c>
    </row>
    <row r="56" ht="15.75" customHeight="1">
      <c r="A56" s="5">
        <v>25.0</v>
      </c>
      <c r="B56" s="5">
        <v>0.0</v>
      </c>
      <c r="C56" s="5">
        <v>0.0</v>
      </c>
      <c r="D56" s="5">
        <v>0.0</v>
      </c>
      <c r="E56" s="5">
        <v>1.0</v>
      </c>
      <c r="F56" s="5">
        <v>0.0</v>
      </c>
      <c r="G56" s="5">
        <v>1.0</v>
      </c>
      <c r="H56" s="5">
        <v>0.0</v>
      </c>
      <c r="I56" s="5">
        <v>0.0</v>
      </c>
      <c r="J56" s="5">
        <v>0.0</v>
      </c>
      <c r="K56" s="5">
        <v>1.0</v>
      </c>
      <c r="L56" s="5">
        <v>0.0</v>
      </c>
      <c r="M56" s="5">
        <v>1.0</v>
      </c>
      <c r="N56" s="5">
        <v>0.0</v>
      </c>
      <c r="O56" s="5">
        <v>0.0</v>
      </c>
      <c r="P56" s="5">
        <v>0.0</v>
      </c>
      <c r="Q56" s="5">
        <v>1.0</v>
      </c>
      <c r="R56" s="5">
        <v>0.0</v>
      </c>
      <c r="S56" s="5">
        <v>0.0</v>
      </c>
      <c r="T56" s="5">
        <v>1.0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5">
        <v>1.0</v>
      </c>
      <c r="AA56" s="5">
        <v>0.0</v>
      </c>
      <c r="AB56" s="5">
        <v>0.0</v>
      </c>
      <c r="AC56" s="5">
        <v>0.0</v>
      </c>
      <c r="AD56" s="5">
        <v>0.0</v>
      </c>
    </row>
    <row r="57" ht="15.75" customHeight="1">
      <c r="A57" s="5">
        <v>26.0</v>
      </c>
      <c r="B57" s="5">
        <v>0.0</v>
      </c>
      <c r="C57" s="5">
        <v>0.0</v>
      </c>
      <c r="D57" s="5">
        <v>0.0</v>
      </c>
      <c r="E57" s="5">
        <v>0.0</v>
      </c>
      <c r="F57" s="5">
        <v>0.0</v>
      </c>
      <c r="G57" s="5">
        <v>1.0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  <c r="S57" s="5">
        <v>0.0</v>
      </c>
      <c r="T57" s="5">
        <v>1.0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5">
        <v>1.0</v>
      </c>
      <c r="AA57" s="5">
        <v>0.0</v>
      </c>
      <c r="AB57" s="5">
        <v>0.0</v>
      </c>
      <c r="AC57" s="5">
        <v>0.0</v>
      </c>
      <c r="AD57" s="5">
        <v>0.0</v>
      </c>
    </row>
    <row r="58" ht="15.75" customHeight="1">
      <c r="A58" s="5">
        <v>27.0</v>
      </c>
      <c r="B58" s="5">
        <v>0.0</v>
      </c>
      <c r="C58" s="5">
        <v>0.0</v>
      </c>
      <c r="D58" s="5">
        <v>0.0</v>
      </c>
      <c r="E58" s="5">
        <v>1.0</v>
      </c>
      <c r="F58" s="5">
        <v>0.0</v>
      </c>
      <c r="G58" s="5">
        <v>1.0</v>
      </c>
      <c r="H58" s="5">
        <v>0.0</v>
      </c>
      <c r="I58" s="5">
        <v>0.0</v>
      </c>
      <c r="J58" s="5">
        <v>0.0</v>
      </c>
      <c r="K58" s="5">
        <v>0.0</v>
      </c>
      <c r="L58" s="5">
        <v>0.0</v>
      </c>
      <c r="M58" s="5">
        <v>1.0</v>
      </c>
      <c r="N58" s="5">
        <v>1.0</v>
      </c>
      <c r="O58" s="5">
        <v>0.0</v>
      </c>
      <c r="P58" s="5">
        <v>0.0</v>
      </c>
      <c r="Q58" s="5">
        <v>0.0</v>
      </c>
      <c r="R58" s="5">
        <v>0.0</v>
      </c>
      <c r="S58" s="5">
        <v>1.0</v>
      </c>
      <c r="T58" s="5">
        <v>1.0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5">
        <v>0.0</v>
      </c>
      <c r="AA58" s="5">
        <v>0.0</v>
      </c>
      <c r="AB58" s="5">
        <v>0.0</v>
      </c>
      <c r="AC58" s="5">
        <v>0.0</v>
      </c>
      <c r="AD58" s="5">
        <v>0.0</v>
      </c>
    </row>
    <row r="59" ht="15.75" customHeight="1">
      <c r="A59" s="5">
        <v>28.0</v>
      </c>
      <c r="B59" s="5">
        <v>0.0</v>
      </c>
      <c r="C59" s="5">
        <v>0.0</v>
      </c>
      <c r="D59" s="5">
        <v>0.0</v>
      </c>
      <c r="E59" s="5">
        <v>1.0</v>
      </c>
      <c r="F59" s="5">
        <v>0.0</v>
      </c>
      <c r="G59" s="5">
        <v>1.0</v>
      </c>
      <c r="H59" s="5">
        <v>0.0</v>
      </c>
      <c r="I59" s="5">
        <v>0.0</v>
      </c>
      <c r="J59" s="5">
        <v>0.0</v>
      </c>
      <c r="K59" s="5">
        <v>1.0</v>
      </c>
      <c r="L59" s="5">
        <v>0.0</v>
      </c>
      <c r="M59" s="5">
        <v>1.0</v>
      </c>
      <c r="N59" s="5">
        <v>0.0</v>
      </c>
      <c r="O59" s="5">
        <v>0.0</v>
      </c>
      <c r="P59" s="5">
        <v>0.0</v>
      </c>
      <c r="Q59" s="5">
        <v>0.0</v>
      </c>
      <c r="R59" s="5">
        <v>0.0</v>
      </c>
      <c r="S59" s="5">
        <v>0.0</v>
      </c>
      <c r="T59" s="5">
        <v>0.0</v>
      </c>
      <c r="U59" s="5">
        <v>1.0</v>
      </c>
      <c r="V59" s="5">
        <v>0.0</v>
      </c>
      <c r="W59" s="5">
        <v>0.0</v>
      </c>
      <c r="X59" s="5">
        <v>0.0</v>
      </c>
      <c r="Y59" s="5">
        <v>0.0</v>
      </c>
      <c r="Z59" s="5">
        <v>0.0</v>
      </c>
      <c r="AA59" s="5">
        <v>0.0</v>
      </c>
      <c r="AB59" s="5">
        <v>0.0</v>
      </c>
      <c r="AC59" s="5">
        <v>0.0</v>
      </c>
      <c r="AD59" s="5">
        <v>0.0</v>
      </c>
    </row>
    <row r="60" ht="15.75" customHeight="1">
      <c r="A60" s="5">
        <v>29.0</v>
      </c>
      <c r="B60" s="5">
        <v>0.0</v>
      </c>
      <c r="C60" s="5">
        <v>0.0</v>
      </c>
      <c r="D60" s="5">
        <v>0.0</v>
      </c>
      <c r="E60" s="5">
        <v>1.0</v>
      </c>
      <c r="F60" s="5">
        <v>0.0</v>
      </c>
      <c r="G60" s="5">
        <v>1.0</v>
      </c>
      <c r="H60" s="5">
        <v>0.0</v>
      </c>
      <c r="I60" s="5">
        <v>0.0</v>
      </c>
      <c r="J60" s="5">
        <v>0.0</v>
      </c>
      <c r="K60" s="5">
        <v>1.0</v>
      </c>
      <c r="L60" s="5">
        <v>0.0</v>
      </c>
      <c r="M60" s="5">
        <v>0.0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  <c r="S60" s="5">
        <v>0.0</v>
      </c>
      <c r="T60" s="5">
        <v>1.0</v>
      </c>
      <c r="U60" s="5">
        <v>1.0</v>
      </c>
      <c r="V60" s="5">
        <v>1.0</v>
      </c>
      <c r="W60" s="5">
        <v>0.0</v>
      </c>
      <c r="X60" s="5">
        <v>0.0</v>
      </c>
      <c r="Y60" s="5">
        <v>0.0</v>
      </c>
      <c r="Z60" s="5">
        <v>0.0</v>
      </c>
      <c r="AA60" s="5">
        <v>0.0</v>
      </c>
      <c r="AB60" s="5">
        <v>0.0</v>
      </c>
      <c r="AC60" s="5">
        <v>0.0</v>
      </c>
      <c r="AD60" s="5">
        <v>0.0</v>
      </c>
    </row>
    <row r="61" ht="15.75" customHeight="1">
      <c r="A61" s="5">
        <v>30.0</v>
      </c>
      <c r="B61" s="5">
        <v>0.0</v>
      </c>
      <c r="C61" s="5">
        <v>0.0</v>
      </c>
      <c r="D61" s="5">
        <v>0.0</v>
      </c>
      <c r="E61" s="5">
        <v>1.0</v>
      </c>
      <c r="F61" s="5">
        <v>0.0</v>
      </c>
      <c r="G61" s="5">
        <v>1.0</v>
      </c>
      <c r="H61" s="5">
        <v>1.0</v>
      </c>
      <c r="I61" s="5">
        <v>0.0</v>
      </c>
      <c r="J61" s="5">
        <v>0.0</v>
      </c>
      <c r="K61" s="5">
        <v>1.0</v>
      </c>
      <c r="L61" s="5">
        <v>0.0</v>
      </c>
      <c r="M61" s="5">
        <v>0.0</v>
      </c>
      <c r="N61" s="5">
        <v>0.0</v>
      </c>
      <c r="O61" s="5">
        <v>0.0</v>
      </c>
      <c r="P61" s="5">
        <v>0.0</v>
      </c>
      <c r="Q61" s="5">
        <v>0.0</v>
      </c>
      <c r="R61" s="5">
        <v>0.0</v>
      </c>
      <c r="S61" s="5">
        <v>1.0</v>
      </c>
      <c r="T61" s="5">
        <v>1.0</v>
      </c>
      <c r="U61" s="5">
        <v>1.0</v>
      </c>
      <c r="V61" s="5">
        <v>0.0</v>
      </c>
      <c r="W61" s="5">
        <v>0.0</v>
      </c>
      <c r="X61" s="5">
        <v>0.0</v>
      </c>
      <c r="Y61" s="5">
        <v>0.0</v>
      </c>
      <c r="Z61" s="5">
        <v>0.0</v>
      </c>
      <c r="AA61" s="5">
        <v>0.0</v>
      </c>
      <c r="AB61" s="5">
        <v>0.0</v>
      </c>
      <c r="AC61" s="5">
        <v>0.0</v>
      </c>
      <c r="AD61" s="5">
        <v>1.0</v>
      </c>
    </row>
    <row r="62" ht="15.75" customHeight="1">
      <c r="A62" s="5">
        <v>31.0</v>
      </c>
      <c r="B62" s="5">
        <v>0.0</v>
      </c>
      <c r="C62" s="5">
        <v>0.0</v>
      </c>
      <c r="D62" s="5">
        <v>0.0</v>
      </c>
      <c r="E62" s="5">
        <v>1.0</v>
      </c>
      <c r="F62" s="5">
        <v>0.0</v>
      </c>
      <c r="G62" s="5">
        <v>1.0</v>
      </c>
      <c r="H62" s="5">
        <v>1.0</v>
      </c>
      <c r="I62" s="5">
        <v>0.0</v>
      </c>
      <c r="J62" s="5">
        <v>0.0</v>
      </c>
      <c r="K62" s="5">
        <v>1.0</v>
      </c>
      <c r="L62" s="5">
        <v>0.0</v>
      </c>
      <c r="M62" s="5">
        <v>0.0</v>
      </c>
      <c r="N62" s="5">
        <v>0.0</v>
      </c>
      <c r="O62" s="5">
        <v>0.0</v>
      </c>
      <c r="P62" s="5">
        <v>0.0</v>
      </c>
      <c r="Q62" s="5">
        <v>0.0</v>
      </c>
      <c r="R62" s="5">
        <v>0.0</v>
      </c>
      <c r="S62" s="5">
        <v>1.0</v>
      </c>
      <c r="T62" s="5">
        <v>1.0</v>
      </c>
      <c r="U62" s="5">
        <v>1.0</v>
      </c>
      <c r="V62" s="5">
        <v>0.0</v>
      </c>
      <c r="W62" s="5">
        <v>0.0</v>
      </c>
      <c r="X62" s="5">
        <v>0.0</v>
      </c>
      <c r="Y62" s="5">
        <v>0.0</v>
      </c>
      <c r="Z62" s="5">
        <v>0.0</v>
      </c>
      <c r="AA62" s="5">
        <v>0.0</v>
      </c>
      <c r="AB62" s="5">
        <v>0.0</v>
      </c>
      <c r="AC62" s="5">
        <v>0.0</v>
      </c>
      <c r="AD62" s="5">
        <v>1.0</v>
      </c>
    </row>
    <row r="63" ht="15.75" customHeight="1">
      <c r="A63" s="13">
        <v>37104.0</v>
      </c>
      <c r="B63" s="5">
        <v>0.0</v>
      </c>
      <c r="C63" s="5">
        <v>0.0</v>
      </c>
      <c r="D63" s="5">
        <v>0.0</v>
      </c>
      <c r="E63" s="5">
        <v>0.0</v>
      </c>
      <c r="F63" s="5">
        <v>0.0</v>
      </c>
      <c r="G63" s="5">
        <v>1.0</v>
      </c>
      <c r="H63" s="5">
        <v>0.0</v>
      </c>
      <c r="I63" s="5">
        <v>0.0</v>
      </c>
      <c r="J63" s="5">
        <v>0.0</v>
      </c>
      <c r="K63" s="5">
        <v>0.0</v>
      </c>
      <c r="L63" s="5">
        <v>0.0</v>
      </c>
      <c r="M63" s="5">
        <v>0.0</v>
      </c>
      <c r="N63" s="5">
        <v>0.0</v>
      </c>
      <c r="O63" s="5">
        <v>0.0</v>
      </c>
      <c r="P63" s="5">
        <v>0.0</v>
      </c>
      <c r="Q63" s="5">
        <v>0.0</v>
      </c>
      <c r="R63" s="5">
        <v>0.0</v>
      </c>
      <c r="S63" s="5">
        <v>1.0</v>
      </c>
      <c r="T63" s="5">
        <v>1.0</v>
      </c>
      <c r="U63" s="5">
        <v>1.0</v>
      </c>
      <c r="V63" s="5">
        <v>1.0</v>
      </c>
      <c r="W63" s="5">
        <v>0.0</v>
      </c>
      <c r="X63" s="5">
        <v>0.0</v>
      </c>
      <c r="Y63" s="5">
        <v>0.0</v>
      </c>
      <c r="Z63" s="5">
        <v>0.0</v>
      </c>
      <c r="AA63" s="5">
        <v>0.0</v>
      </c>
      <c r="AB63" s="5">
        <v>0.0</v>
      </c>
      <c r="AC63" s="5">
        <v>0.0</v>
      </c>
      <c r="AD63" s="5">
        <v>1.0</v>
      </c>
    </row>
    <row r="64" ht="15.75" customHeight="1">
      <c r="A64" s="5">
        <v>2.0</v>
      </c>
      <c r="B64" s="5">
        <v>0.0</v>
      </c>
      <c r="C64" s="5">
        <v>0.0</v>
      </c>
      <c r="D64" s="5">
        <v>0.0</v>
      </c>
      <c r="E64" s="5">
        <v>0.0</v>
      </c>
      <c r="F64" s="5">
        <v>0.0</v>
      </c>
      <c r="G64" s="5">
        <v>1.0</v>
      </c>
      <c r="H64" s="5">
        <v>0.0</v>
      </c>
      <c r="I64" s="5">
        <v>0.0</v>
      </c>
      <c r="J64" s="5">
        <v>0.0</v>
      </c>
      <c r="K64" s="5">
        <v>0.0</v>
      </c>
      <c r="L64" s="5">
        <v>0.0</v>
      </c>
      <c r="M64" s="5">
        <v>0.0</v>
      </c>
      <c r="N64" s="5">
        <v>0.0</v>
      </c>
      <c r="O64" s="5">
        <v>0.0</v>
      </c>
      <c r="P64" s="5">
        <v>0.0</v>
      </c>
      <c r="Q64" s="5">
        <v>0.0</v>
      </c>
      <c r="R64" s="5">
        <v>0.0</v>
      </c>
      <c r="S64" s="5">
        <v>1.0</v>
      </c>
      <c r="T64" s="5">
        <v>1.0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5">
        <v>0.0</v>
      </c>
      <c r="AA64" s="5">
        <v>0.0</v>
      </c>
      <c r="AB64" s="5">
        <v>0.0</v>
      </c>
      <c r="AC64" s="5">
        <v>0.0</v>
      </c>
      <c r="AD64" s="5">
        <v>0.0</v>
      </c>
    </row>
    <row r="65" ht="15.75" customHeight="1">
      <c r="A65" s="5">
        <v>3.0</v>
      </c>
      <c r="B65" s="5">
        <v>0.0</v>
      </c>
      <c r="C65" s="5">
        <v>0.0</v>
      </c>
      <c r="D65" s="5">
        <v>0.0</v>
      </c>
      <c r="E65" s="5">
        <v>0.0</v>
      </c>
      <c r="F65" s="5">
        <v>0.0</v>
      </c>
      <c r="G65" s="5">
        <v>0.0</v>
      </c>
      <c r="H65" s="5">
        <v>0.0</v>
      </c>
      <c r="I65" s="5">
        <v>0.0</v>
      </c>
      <c r="J65" s="5">
        <v>0.0</v>
      </c>
      <c r="K65" s="5">
        <v>0.0</v>
      </c>
      <c r="L65" s="5">
        <v>0.0</v>
      </c>
      <c r="M65" s="5">
        <v>0.0</v>
      </c>
      <c r="N65" s="5">
        <v>0.0</v>
      </c>
      <c r="O65" s="5">
        <v>0.0</v>
      </c>
      <c r="P65" s="5">
        <v>0.0</v>
      </c>
      <c r="Q65" s="5">
        <v>0.0</v>
      </c>
      <c r="R65" s="5">
        <v>0.0</v>
      </c>
      <c r="S65" s="5">
        <v>1.0</v>
      </c>
      <c r="T65" s="5">
        <v>1.0</v>
      </c>
      <c r="U65" s="5">
        <v>1.0</v>
      </c>
      <c r="V65" s="5">
        <v>0.0</v>
      </c>
      <c r="W65" s="5">
        <v>0.0</v>
      </c>
      <c r="X65" s="5">
        <v>0.0</v>
      </c>
      <c r="Y65" s="5">
        <v>0.0</v>
      </c>
      <c r="Z65" s="5">
        <v>0.0</v>
      </c>
      <c r="AA65" s="5">
        <v>0.0</v>
      </c>
      <c r="AB65" s="5">
        <v>0.0</v>
      </c>
      <c r="AC65" s="5">
        <v>0.0</v>
      </c>
      <c r="AD65" s="5">
        <v>1.0</v>
      </c>
    </row>
    <row r="66" ht="15.75" customHeight="1">
      <c r="A66" s="5">
        <v>4.0</v>
      </c>
      <c r="B66" s="5">
        <v>0.0</v>
      </c>
      <c r="C66" s="5">
        <v>0.0</v>
      </c>
      <c r="D66" s="5">
        <v>0.0</v>
      </c>
      <c r="E66" s="5">
        <v>0.0</v>
      </c>
      <c r="F66" s="5">
        <v>0.0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5">
        <v>0.0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  <c r="S66" s="5">
        <v>1.0</v>
      </c>
      <c r="T66" s="5">
        <v>1.0</v>
      </c>
      <c r="U66" s="5">
        <v>0.0</v>
      </c>
      <c r="V66" s="5">
        <v>1.0</v>
      </c>
      <c r="W66" s="5">
        <v>0.0</v>
      </c>
      <c r="X66" s="5">
        <v>0.0</v>
      </c>
      <c r="Y66" s="5">
        <v>0.0</v>
      </c>
      <c r="Z66" s="5">
        <v>0.0</v>
      </c>
      <c r="AA66" s="5">
        <v>0.0</v>
      </c>
      <c r="AB66" s="5">
        <v>0.0</v>
      </c>
      <c r="AC66" s="5">
        <v>0.0</v>
      </c>
      <c r="AD66" s="5">
        <v>0.0</v>
      </c>
    </row>
    <row r="67" ht="15.75" customHeight="1">
      <c r="A67" s="5">
        <v>5.0</v>
      </c>
      <c r="B67" s="5">
        <v>0.0</v>
      </c>
      <c r="C67" s="5">
        <v>0.0</v>
      </c>
      <c r="D67" s="5">
        <v>1.0</v>
      </c>
      <c r="E67" s="5">
        <v>0.0</v>
      </c>
      <c r="F67" s="5">
        <v>0.0</v>
      </c>
      <c r="G67" s="5">
        <v>0.0</v>
      </c>
      <c r="H67" s="5">
        <v>0.0</v>
      </c>
      <c r="I67" s="5">
        <v>0.0</v>
      </c>
      <c r="J67" s="5">
        <v>0.0</v>
      </c>
      <c r="K67" s="5">
        <v>0.0</v>
      </c>
      <c r="L67" s="5">
        <v>0.0</v>
      </c>
      <c r="M67" s="5">
        <v>1.0</v>
      </c>
      <c r="N67" s="5">
        <v>0.0</v>
      </c>
      <c r="O67" s="5">
        <v>0.0</v>
      </c>
      <c r="P67" s="5">
        <v>1.0</v>
      </c>
      <c r="Q67" s="5">
        <v>0.0</v>
      </c>
      <c r="R67" s="5">
        <v>0.0</v>
      </c>
      <c r="S67" s="5">
        <v>1.0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5">
        <v>0.0</v>
      </c>
      <c r="AA67" s="5">
        <v>0.0</v>
      </c>
      <c r="AB67" s="5">
        <v>0.0</v>
      </c>
      <c r="AC67" s="5">
        <v>0.0</v>
      </c>
      <c r="AD67" s="5">
        <v>0.0</v>
      </c>
    </row>
    <row r="68" ht="15.75" customHeight="1">
      <c r="A68" s="5">
        <v>6.0</v>
      </c>
      <c r="B68" s="5">
        <v>0.0</v>
      </c>
      <c r="C68" s="5">
        <v>0.0</v>
      </c>
      <c r="D68" s="5">
        <v>1.0</v>
      </c>
      <c r="E68" s="5">
        <v>0.0</v>
      </c>
      <c r="F68" s="5">
        <v>0.0</v>
      </c>
      <c r="G68" s="5">
        <v>0.0</v>
      </c>
      <c r="H68" s="5">
        <v>0.0</v>
      </c>
      <c r="I68" s="5">
        <v>1.0</v>
      </c>
      <c r="J68" s="5">
        <v>0.0</v>
      </c>
      <c r="K68" s="5">
        <v>0.0</v>
      </c>
      <c r="L68" s="5">
        <v>0.0</v>
      </c>
      <c r="M68" s="5">
        <v>1.0</v>
      </c>
      <c r="N68" s="5">
        <v>0.0</v>
      </c>
      <c r="O68" s="5">
        <v>0.0</v>
      </c>
      <c r="P68" s="5">
        <v>1.0</v>
      </c>
      <c r="Q68" s="5">
        <v>0.0</v>
      </c>
      <c r="R68" s="5">
        <v>0.0</v>
      </c>
      <c r="S68" s="5">
        <v>1.0</v>
      </c>
      <c r="T68" s="5">
        <v>0.0</v>
      </c>
      <c r="U68" s="5">
        <v>1.0</v>
      </c>
      <c r="V68" s="5">
        <v>0.0</v>
      </c>
      <c r="W68" s="5">
        <v>0.0</v>
      </c>
      <c r="X68" s="5">
        <v>0.0</v>
      </c>
      <c r="Y68" s="5">
        <v>0.0</v>
      </c>
      <c r="Z68" s="5">
        <v>0.0</v>
      </c>
      <c r="AA68" s="5">
        <v>0.0</v>
      </c>
      <c r="AB68" s="5">
        <v>0.0</v>
      </c>
      <c r="AC68" s="5">
        <v>0.0</v>
      </c>
      <c r="AD68" s="5">
        <v>0.0</v>
      </c>
    </row>
    <row r="69" ht="15.75" customHeight="1">
      <c r="A69" s="5">
        <v>7.0</v>
      </c>
      <c r="B69" s="5">
        <v>0.0</v>
      </c>
      <c r="C69" s="5">
        <v>0.0</v>
      </c>
      <c r="D69" s="5">
        <v>0.0</v>
      </c>
      <c r="E69" s="5">
        <v>0.0</v>
      </c>
      <c r="F69" s="5">
        <v>0.0</v>
      </c>
      <c r="G69" s="5">
        <v>0.0</v>
      </c>
      <c r="H69" s="5">
        <v>0.0</v>
      </c>
      <c r="I69" s="5">
        <v>1.0</v>
      </c>
      <c r="J69" s="5">
        <v>0.0</v>
      </c>
      <c r="K69" s="5">
        <v>0.0</v>
      </c>
      <c r="L69" s="5">
        <v>0.0</v>
      </c>
      <c r="M69" s="5">
        <v>1.0</v>
      </c>
      <c r="N69" s="5">
        <v>0.0</v>
      </c>
      <c r="O69" s="5">
        <v>0.0</v>
      </c>
      <c r="P69" s="5">
        <v>1.0</v>
      </c>
      <c r="Q69" s="5">
        <v>0.0</v>
      </c>
      <c r="R69" s="5">
        <v>0.0</v>
      </c>
      <c r="S69" s="5">
        <v>1.0</v>
      </c>
      <c r="T69" s="5">
        <v>0.0</v>
      </c>
      <c r="U69" s="5">
        <v>1.0</v>
      </c>
      <c r="V69" s="5">
        <v>0.0</v>
      </c>
      <c r="W69" s="5">
        <v>0.0</v>
      </c>
      <c r="X69" s="5">
        <v>0.0</v>
      </c>
      <c r="Y69" s="5">
        <v>0.0</v>
      </c>
      <c r="Z69" s="5">
        <v>0.0</v>
      </c>
      <c r="AA69" s="5">
        <v>0.0</v>
      </c>
      <c r="AB69" s="5">
        <v>0.0</v>
      </c>
      <c r="AC69" s="5">
        <v>0.0</v>
      </c>
      <c r="AD69" s="5">
        <v>0.0</v>
      </c>
    </row>
    <row r="70" ht="15.75" customHeight="1">
      <c r="A70" s="5">
        <v>8.0</v>
      </c>
      <c r="B70" s="5">
        <v>0.0</v>
      </c>
      <c r="C70" s="5">
        <v>1.0</v>
      </c>
      <c r="D70" s="5">
        <v>0.0</v>
      </c>
      <c r="E70" s="5">
        <v>1.0</v>
      </c>
      <c r="F70" s="5">
        <v>0.0</v>
      </c>
      <c r="G70" s="5">
        <v>0.0</v>
      </c>
      <c r="H70" s="5">
        <v>0.0</v>
      </c>
      <c r="I70" s="5">
        <v>1.0</v>
      </c>
      <c r="J70" s="5">
        <v>0.0</v>
      </c>
      <c r="K70" s="5">
        <v>0.0</v>
      </c>
      <c r="L70" s="5">
        <v>0.0</v>
      </c>
      <c r="M70" s="5">
        <v>1.0</v>
      </c>
      <c r="N70" s="5">
        <v>0.0</v>
      </c>
      <c r="O70" s="5">
        <v>0.0</v>
      </c>
      <c r="P70" s="5">
        <v>1.0</v>
      </c>
      <c r="Q70" s="5">
        <v>0.0</v>
      </c>
      <c r="R70" s="5">
        <v>0.0</v>
      </c>
      <c r="S70" s="5">
        <v>1.0</v>
      </c>
      <c r="T70" s="5">
        <v>0.0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5">
        <v>0.0</v>
      </c>
      <c r="AA70" s="5">
        <v>0.0</v>
      </c>
      <c r="AB70" s="5">
        <v>0.0</v>
      </c>
      <c r="AC70" s="5">
        <v>0.0</v>
      </c>
      <c r="AD70" s="5">
        <v>0.0</v>
      </c>
    </row>
    <row r="71" ht="15.75" customHeight="1">
      <c r="A71" s="5">
        <v>9.0</v>
      </c>
      <c r="B71" s="5">
        <v>0.0</v>
      </c>
      <c r="C71" s="5">
        <v>1.0</v>
      </c>
      <c r="D71" s="5">
        <v>1.0</v>
      </c>
      <c r="E71" s="5">
        <v>1.0</v>
      </c>
      <c r="F71" s="5">
        <v>0.0</v>
      </c>
      <c r="G71" s="5">
        <v>0.0</v>
      </c>
      <c r="H71" s="5">
        <v>0.0</v>
      </c>
      <c r="I71" s="5">
        <v>1.0</v>
      </c>
      <c r="J71" s="5">
        <v>0.0</v>
      </c>
      <c r="K71" s="5">
        <v>0.0</v>
      </c>
      <c r="L71" s="5">
        <v>0.0</v>
      </c>
      <c r="M71" s="5">
        <v>1.0</v>
      </c>
      <c r="N71" s="5">
        <v>0.0</v>
      </c>
      <c r="O71" s="5">
        <v>0.0</v>
      </c>
      <c r="P71" s="5">
        <v>1.0</v>
      </c>
      <c r="Q71" s="5">
        <v>0.0</v>
      </c>
      <c r="R71" s="5">
        <v>0.0</v>
      </c>
      <c r="S71" s="5">
        <v>1.0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0.0</v>
      </c>
      <c r="AA71" s="5">
        <v>0.0</v>
      </c>
      <c r="AB71" s="5">
        <v>0.0</v>
      </c>
      <c r="AC71" s="5">
        <v>0.0</v>
      </c>
      <c r="AD71" s="5">
        <v>0.0</v>
      </c>
    </row>
    <row r="72" ht="15.75" customHeight="1">
      <c r="A72" s="5">
        <v>10.0</v>
      </c>
      <c r="B72" s="5">
        <v>0.0</v>
      </c>
      <c r="C72" s="5">
        <v>0.0</v>
      </c>
      <c r="D72" s="5">
        <v>1.0</v>
      </c>
      <c r="E72" s="5">
        <v>0.0</v>
      </c>
      <c r="F72" s="5">
        <v>0.0</v>
      </c>
      <c r="G72" s="5">
        <v>0.0</v>
      </c>
      <c r="H72" s="5">
        <v>0.0</v>
      </c>
      <c r="I72" s="5">
        <v>1.0</v>
      </c>
      <c r="J72" s="5">
        <v>0.0</v>
      </c>
      <c r="K72" s="5">
        <v>0.0</v>
      </c>
      <c r="L72" s="5">
        <v>0.0</v>
      </c>
      <c r="M72" s="5">
        <v>1.0</v>
      </c>
      <c r="N72" s="5">
        <v>0.0</v>
      </c>
      <c r="O72" s="5">
        <v>0.0</v>
      </c>
      <c r="P72" s="5">
        <v>1.0</v>
      </c>
      <c r="Q72" s="5">
        <v>1.0</v>
      </c>
      <c r="R72" s="5">
        <v>0.0</v>
      </c>
      <c r="S72" s="5">
        <v>0.0</v>
      </c>
      <c r="T72" s="5">
        <v>0.0</v>
      </c>
      <c r="U72" s="5">
        <v>1.0</v>
      </c>
      <c r="V72" s="5">
        <v>0.0</v>
      </c>
      <c r="W72" s="5">
        <v>0.0</v>
      </c>
      <c r="X72" s="5">
        <v>0.0</v>
      </c>
      <c r="Y72" s="5">
        <v>1.0</v>
      </c>
      <c r="Z72" s="5">
        <v>0.0</v>
      </c>
      <c r="AA72" s="5">
        <v>0.0</v>
      </c>
      <c r="AB72" s="5">
        <v>0.0</v>
      </c>
      <c r="AC72" s="5">
        <v>0.0</v>
      </c>
      <c r="AD72" s="5">
        <v>0.0</v>
      </c>
    </row>
    <row r="73" ht="15.75" customHeight="1">
      <c r="A73" s="5">
        <v>11.0</v>
      </c>
      <c r="B73" s="5">
        <v>0.0</v>
      </c>
      <c r="C73" s="5">
        <v>0.0</v>
      </c>
      <c r="D73" s="5">
        <v>1.0</v>
      </c>
      <c r="E73" s="5">
        <v>1.0</v>
      </c>
      <c r="F73" s="5">
        <v>0.0</v>
      </c>
      <c r="G73" s="5">
        <v>0.0</v>
      </c>
      <c r="H73" s="5">
        <v>1.0</v>
      </c>
      <c r="I73" s="5">
        <v>1.0</v>
      </c>
      <c r="J73" s="5">
        <v>0.0</v>
      </c>
      <c r="K73" s="5">
        <v>0.0</v>
      </c>
      <c r="L73" s="5">
        <v>1.0</v>
      </c>
      <c r="M73" s="5">
        <v>1.0</v>
      </c>
      <c r="N73" s="5">
        <v>0.0</v>
      </c>
      <c r="O73" s="5">
        <v>0.0</v>
      </c>
      <c r="P73" s="5">
        <v>1.0</v>
      </c>
      <c r="Q73" s="5">
        <v>1.0</v>
      </c>
      <c r="R73" s="5">
        <v>1.0</v>
      </c>
      <c r="S73" s="5">
        <v>0.0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1.0</v>
      </c>
      <c r="Z73" s="5">
        <v>0.0</v>
      </c>
      <c r="AA73" s="5">
        <v>0.0</v>
      </c>
      <c r="AB73" s="5">
        <v>0.0</v>
      </c>
      <c r="AC73" s="5">
        <v>1.0</v>
      </c>
      <c r="AD73" s="5">
        <v>0.0</v>
      </c>
    </row>
    <row r="74" ht="15.75" customHeight="1">
      <c r="A74" s="5">
        <v>12.0</v>
      </c>
      <c r="B74" s="5">
        <v>0.0</v>
      </c>
      <c r="C74" s="5">
        <v>0.0</v>
      </c>
      <c r="D74" s="5">
        <v>1.0</v>
      </c>
      <c r="E74" s="5">
        <v>1.0</v>
      </c>
      <c r="F74" s="5">
        <v>0.0</v>
      </c>
      <c r="G74" s="5">
        <v>1.0</v>
      </c>
      <c r="H74" s="5">
        <v>1.0</v>
      </c>
      <c r="I74" s="5">
        <v>1.0</v>
      </c>
      <c r="J74" s="5">
        <v>0.0</v>
      </c>
      <c r="K74" s="5">
        <v>0.0</v>
      </c>
      <c r="L74" s="5">
        <v>1.0</v>
      </c>
      <c r="M74" s="5">
        <v>0.0</v>
      </c>
      <c r="N74" s="5">
        <v>0.0</v>
      </c>
      <c r="O74" s="5">
        <v>1.0</v>
      </c>
      <c r="P74" s="5">
        <v>0.0</v>
      </c>
      <c r="Q74" s="5">
        <v>1.0</v>
      </c>
      <c r="R74" s="5">
        <v>0.0</v>
      </c>
      <c r="S74" s="5">
        <v>0.0</v>
      </c>
      <c r="T74" s="5">
        <v>0.0</v>
      </c>
      <c r="U74" s="5">
        <v>0.0</v>
      </c>
      <c r="V74" s="5">
        <v>0.0</v>
      </c>
      <c r="W74" s="5">
        <v>0.0</v>
      </c>
      <c r="X74" s="5">
        <v>0.0</v>
      </c>
      <c r="Y74" s="5">
        <v>0.0</v>
      </c>
      <c r="Z74" s="5">
        <v>0.0</v>
      </c>
      <c r="AA74" s="5">
        <v>1.0</v>
      </c>
      <c r="AB74" s="5">
        <v>0.0</v>
      </c>
      <c r="AC74" s="5">
        <v>1.0</v>
      </c>
      <c r="AD74" s="5">
        <v>0.0</v>
      </c>
    </row>
    <row r="75" ht="15.75" customHeight="1">
      <c r="A75" s="5">
        <v>13.0</v>
      </c>
      <c r="B75" s="5">
        <v>0.0</v>
      </c>
      <c r="C75" s="5">
        <v>0.0</v>
      </c>
      <c r="D75" s="5">
        <v>0.0</v>
      </c>
      <c r="E75" s="5">
        <v>0.0</v>
      </c>
      <c r="F75" s="5">
        <v>1.0</v>
      </c>
      <c r="G75" s="5">
        <v>0.0</v>
      </c>
      <c r="H75" s="5">
        <v>0.0</v>
      </c>
      <c r="I75" s="5">
        <v>1.0</v>
      </c>
      <c r="J75" s="5">
        <v>0.0</v>
      </c>
      <c r="K75" s="5">
        <v>0.0</v>
      </c>
      <c r="L75" s="5">
        <v>1.0</v>
      </c>
      <c r="M75" s="5">
        <v>0.0</v>
      </c>
      <c r="N75" s="5">
        <v>0.0</v>
      </c>
      <c r="O75" s="5">
        <v>1.0</v>
      </c>
      <c r="P75" s="5">
        <v>0.0</v>
      </c>
      <c r="Q75" s="5">
        <v>1.0</v>
      </c>
      <c r="R75" s="5">
        <v>0.0</v>
      </c>
      <c r="S75" s="5">
        <v>0.0</v>
      </c>
      <c r="T75" s="5">
        <v>0.0</v>
      </c>
      <c r="U75" s="5">
        <v>0.0</v>
      </c>
      <c r="V75" s="5">
        <v>1.0</v>
      </c>
      <c r="W75" s="5">
        <v>0.0</v>
      </c>
      <c r="X75" s="5">
        <v>0.0</v>
      </c>
      <c r="Y75" s="5">
        <v>0.0</v>
      </c>
      <c r="Z75" s="5">
        <v>0.0</v>
      </c>
      <c r="AA75" s="5">
        <v>1.0</v>
      </c>
      <c r="AB75" s="5">
        <v>0.0</v>
      </c>
      <c r="AC75" s="5">
        <v>1.0</v>
      </c>
      <c r="AD75" s="5">
        <v>0.0</v>
      </c>
    </row>
    <row r="76" ht="15.75" customHeight="1">
      <c r="A76" s="5">
        <v>14.0</v>
      </c>
      <c r="B76" s="5">
        <v>0.0</v>
      </c>
      <c r="C76" s="5">
        <v>0.0</v>
      </c>
      <c r="D76" s="5">
        <v>0.0</v>
      </c>
      <c r="E76" s="5">
        <v>0.0</v>
      </c>
      <c r="F76" s="5">
        <v>1.0</v>
      </c>
      <c r="G76" s="5">
        <v>1.0</v>
      </c>
      <c r="H76" s="5">
        <v>0.0</v>
      </c>
      <c r="I76" s="5">
        <v>1.0</v>
      </c>
      <c r="J76" s="5">
        <v>0.0</v>
      </c>
      <c r="K76" s="5">
        <v>0.0</v>
      </c>
      <c r="L76" s="5">
        <v>0.0</v>
      </c>
      <c r="M76" s="5">
        <v>0.0</v>
      </c>
      <c r="N76" s="5">
        <v>0.0</v>
      </c>
      <c r="O76" s="5">
        <v>1.0</v>
      </c>
      <c r="P76" s="5">
        <v>0.0</v>
      </c>
      <c r="Q76" s="5">
        <v>1.0</v>
      </c>
      <c r="R76" s="5">
        <v>0.0</v>
      </c>
      <c r="S76" s="5">
        <v>0.0</v>
      </c>
      <c r="T76" s="5">
        <v>0.0</v>
      </c>
      <c r="U76" s="5">
        <v>0.0</v>
      </c>
      <c r="V76" s="5">
        <v>1.0</v>
      </c>
      <c r="W76" s="5">
        <v>0.0</v>
      </c>
      <c r="X76" s="5">
        <v>0.0</v>
      </c>
      <c r="Y76" s="5">
        <v>1.0</v>
      </c>
      <c r="Z76" s="5">
        <v>0.0</v>
      </c>
      <c r="AA76" s="5">
        <v>1.0</v>
      </c>
      <c r="AB76" s="5">
        <v>0.0</v>
      </c>
      <c r="AC76" s="5">
        <v>1.0</v>
      </c>
      <c r="AD76" s="5">
        <v>0.0</v>
      </c>
    </row>
    <row r="77" ht="15.75" customHeight="1">
      <c r="A77" s="5">
        <v>15.0</v>
      </c>
      <c r="B77" s="5">
        <v>0.0</v>
      </c>
      <c r="C77" s="5">
        <v>0.0</v>
      </c>
      <c r="D77" s="5">
        <v>0.0</v>
      </c>
      <c r="E77" s="5">
        <v>1.0</v>
      </c>
      <c r="F77" s="5">
        <v>1.0</v>
      </c>
      <c r="G77" s="5">
        <v>0.0</v>
      </c>
      <c r="H77" s="5">
        <v>0.0</v>
      </c>
      <c r="I77" s="5">
        <v>0.0</v>
      </c>
      <c r="J77" s="5">
        <v>0.0</v>
      </c>
      <c r="K77" s="5">
        <v>0.0</v>
      </c>
      <c r="L77" s="5">
        <v>1.0</v>
      </c>
      <c r="M77" s="5">
        <v>0.0</v>
      </c>
      <c r="N77" s="5">
        <v>0.0</v>
      </c>
      <c r="O77" s="5">
        <v>1.0</v>
      </c>
      <c r="P77" s="5">
        <v>0.0</v>
      </c>
      <c r="Q77" s="5">
        <v>0.0</v>
      </c>
      <c r="R77" s="5">
        <v>0.0</v>
      </c>
      <c r="S77" s="5">
        <v>0.0</v>
      </c>
      <c r="T77" s="5">
        <v>0.0</v>
      </c>
      <c r="U77" s="5">
        <v>0.0</v>
      </c>
      <c r="V77" s="5">
        <v>1.0</v>
      </c>
      <c r="W77" s="5">
        <v>0.0</v>
      </c>
      <c r="X77" s="5">
        <v>0.0</v>
      </c>
      <c r="Y77" s="5">
        <v>0.0</v>
      </c>
      <c r="Z77" s="5">
        <v>0.0</v>
      </c>
      <c r="AA77" s="5">
        <v>0.0</v>
      </c>
      <c r="AB77" s="5">
        <v>0.0</v>
      </c>
      <c r="AC77" s="5">
        <v>1.0</v>
      </c>
      <c r="AD77" s="5">
        <v>0.0</v>
      </c>
    </row>
    <row r="78" ht="15.75" customHeight="1">
      <c r="A78" s="5">
        <v>16.0</v>
      </c>
      <c r="B78" s="5">
        <v>0.0</v>
      </c>
      <c r="C78" s="5">
        <v>0.0</v>
      </c>
      <c r="D78" s="5">
        <v>0.0</v>
      </c>
      <c r="E78" s="5">
        <v>1.0</v>
      </c>
      <c r="F78" s="5">
        <v>0.0</v>
      </c>
      <c r="G78" s="5">
        <v>0.0</v>
      </c>
      <c r="H78" s="5">
        <v>1.0</v>
      </c>
      <c r="I78" s="5">
        <v>1.0</v>
      </c>
      <c r="J78" s="5">
        <v>1.0</v>
      </c>
      <c r="K78" s="5">
        <v>1.0</v>
      </c>
      <c r="L78" s="5">
        <v>1.0</v>
      </c>
      <c r="M78" s="5">
        <v>0.0</v>
      </c>
      <c r="N78" s="5">
        <v>0.0</v>
      </c>
      <c r="O78" s="5">
        <v>0.0</v>
      </c>
      <c r="P78" s="5">
        <v>0.0</v>
      </c>
      <c r="Q78" s="5">
        <v>0.0</v>
      </c>
      <c r="R78" s="5">
        <v>0.0</v>
      </c>
      <c r="S78" s="5">
        <v>0.0</v>
      </c>
      <c r="T78" s="5">
        <v>0.0</v>
      </c>
      <c r="U78" s="5">
        <v>0.0</v>
      </c>
      <c r="V78" s="5">
        <v>1.0</v>
      </c>
      <c r="W78" s="5">
        <v>0.0</v>
      </c>
      <c r="X78" s="5">
        <v>0.0</v>
      </c>
      <c r="Y78" s="5">
        <v>0.0</v>
      </c>
      <c r="Z78" s="5">
        <v>0.0</v>
      </c>
      <c r="AA78" s="5">
        <v>0.0</v>
      </c>
      <c r="AB78" s="5">
        <v>0.0</v>
      </c>
      <c r="AC78" s="5">
        <v>1.0</v>
      </c>
      <c r="AD78" s="5">
        <v>0.0</v>
      </c>
    </row>
    <row r="79" ht="15.75" customHeight="1">
      <c r="A79" s="5">
        <v>17.0</v>
      </c>
      <c r="B79" s="5">
        <v>0.0</v>
      </c>
      <c r="C79" s="5">
        <v>0.0</v>
      </c>
      <c r="D79" s="5">
        <v>0.0</v>
      </c>
      <c r="E79" s="5">
        <v>1.0</v>
      </c>
      <c r="F79" s="5">
        <v>0.0</v>
      </c>
      <c r="G79" s="5">
        <v>1.0</v>
      </c>
      <c r="H79" s="5">
        <v>0.0</v>
      </c>
      <c r="I79" s="5">
        <v>1.0</v>
      </c>
      <c r="J79" s="5">
        <v>1.0</v>
      </c>
      <c r="K79" s="5">
        <v>1.0</v>
      </c>
      <c r="L79" s="5">
        <v>1.0</v>
      </c>
      <c r="M79" s="5">
        <v>0.0</v>
      </c>
      <c r="N79" s="5">
        <v>0.0</v>
      </c>
      <c r="O79" s="5">
        <v>0.0</v>
      </c>
      <c r="P79" s="5">
        <v>0.0</v>
      </c>
      <c r="Q79" s="5">
        <v>0.0</v>
      </c>
      <c r="R79" s="5">
        <v>0.0</v>
      </c>
      <c r="S79" s="5">
        <v>0.0</v>
      </c>
      <c r="T79" s="5">
        <v>0.0</v>
      </c>
      <c r="U79" s="5">
        <v>0.0</v>
      </c>
      <c r="V79" s="5">
        <v>1.0</v>
      </c>
      <c r="W79" s="5">
        <v>0.0</v>
      </c>
      <c r="X79" s="5">
        <v>0.0</v>
      </c>
      <c r="Y79" s="5">
        <v>1.0</v>
      </c>
      <c r="Z79" s="5">
        <v>0.0</v>
      </c>
      <c r="AA79" s="5">
        <v>0.0</v>
      </c>
      <c r="AB79" s="5">
        <v>0.0</v>
      </c>
      <c r="AC79" s="5">
        <v>0.0</v>
      </c>
      <c r="AD79" s="5">
        <v>0.0</v>
      </c>
    </row>
    <row r="80" ht="15.75" customHeight="1">
      <c r="A80" s="5">
        <v>18.0</v>
      </c>
      <c r="B80" s="5">
        <v>0.0</v>
      </c>
      <c r="C80" s="5">
        <v>0.0</v>
      </c>
      <c r="D80" s="5">
        <v>0.0</v>
      </c>
      <c r="E80" s="5">
        <v>1.0</v>
      </c>
      <c r="F80" s="5">
        <v>0.0</v>
      </c>
      <c r="G80" s="5">
        <v>0.0</v>
      </c>
      <c r="H80" s="5">
        <v>0.0</v>
      </c>
      <c r="I80" s="5">
        <v>1.0</v>
      </c>
      <c r="J80" s="5">
        <v>1.0</v>
      </c>
      <c r="K80" s="5">
        <v>1.0</v>
      </c>
      <c r="L80" s="5">
        <v>0.0</v>
      </c>
      <c r="M80" s="5">
        <v>0.0</v>
      </c>
      <c r="N80" s="5">
        <v>0.0</v>
      </c>
      <c r="O80" s="5">
        <v>0.0</v>
      </c>
      <c r="P80" s="5">
        <v>0.0</v>
      </c>
      <c r="Q80" s="5">
        <v>0.0</v>
      </c>
      <c r="R80" s="5">
        <v>0.0</v>
      </c>
      <c r="S80" s="5">
        <v>0.0</v>
      </c>
      <c r="T80" s="5">
        <v>0.0</v>
      </c>
      <c r="U80" s="5">
        <v>0.0</v>
      </c>
      <c r="V80" s="5">
        <v>1.0</v>
      </c>
      <c r="W80" s="5">
        <v>1.0</v>
      </c>
      <c r="X80" s="5">
        <v>0.0</v>
      </c>
      <c r="Y80" s="5">
        <v>1.0</v>
      </c>
      <c r="Z80" s="5">
        <v>0.0</v>
      </c>
      <c r="AA80" s="5">
        <v>0.0</v>
      </c>
      <c r="AB80" s="5">
        <v>0.0</v>
      </c>
      <c r="AC80" s="5">
        <v>0.0</v>
      </c>
      <c r="AD80" s="5">
        <v>0.0</v>
      </c>
    </row>
    <row r="81" ht="15.75" customHeight="1">
      <c r="A81" s="5">
        <v>19.0</v>
      </c>
      <c r="B81" s="5">
        <v>0.0</v>
      </c>
      <c r="C81" s="5">
        <v>0.0</v>
      </c>
      <c r="D81" s="5">
        <v>0.0</v>
      </c>
      <c r="E81" s="5">
        <v>1.0</v>
      </c>
      <c r="F81" s="5">
        <v>0.0</v>
      </c>
      <c r="G81" s="5">
        <v>0.0</v>
      </c>
      <c r="H81" s="5">
        <v>0.0</v>
      </c>
      <c r="I81" s="5">
        <v>0.0</v>
      </c>
      <c r="J81" s="5">
        <v>1.0</v>
      </c>
      <c r="K81" s="5">
        <v>1.0</v>
      </c>
      <c r="L81" s="5">
        <v>1.0</v>
      </c>
      <c r="M81" s="5">
        <v>0.0</v>
      </c>
      <c r="N81" s="5">
        <v>0.0</v>
      </c>
      <c r="O81" s="5">
        <v>0.0</v>
      </c>
      <c r="P81" s="5">
        <v>0.0</v>
      </c>
      <c r="Q81" s="5">
        <v>0.0</v>
      </c>
      <c r="R81" s="5">
        <v>0.0</v>
      </c>
      <c r="S81" s="5">
        <v>1.0</v>
      </c>
      <c r="T81" s="5">
        <v>0.0</v>
      </c>
      <c r="U81" s="5">
        <v>0.0</v>
      </c>
      <c r="V81" s="5">
        <v>0.0</v>
      </c>
      <c r="W81" s="5">
        <v>1.0</v>
      </c>
      <c r="X81" s="5">
        <v>0.0</v>
      </c>
      <c r="Y81" s="5">
        <v>1.0</v>
      </c>
      <c r="Z81" s="5">
        <v>0.0</v>
      </c>
      <c r="AA81" s="5">
        <v>0.0</v>
      </c>
      <c r="AB81" s="5">
        <v>0.0</v>
      </c>
      <c r="AC81" s="5">
        <v>1.0</v>
      </c>
      <c r="AD81" s="5">
        <v>0.0</v>
      </c>
    </row>
    <row r="82" ht="15.75" customHeight="1">
      <c r="A82" s="5">
        <v>20.0</v>
      </c>
      <c r="B82" s="5">
        <v>0.0</v>
      </c>
      <c r="C82" s="5">
        <v>0.0</v>
      </c>
      <c r="D82" s="5">
        <v>1.0</v>
      </c>
      <c r="E82" s="5">
        <v>0.0</v>
      </c>
      <c r="F82" s="5">
        <v>0.0</v>
      </c>
      <c r="G82" s="5">
        <v>0.0</v>
      </c>
      <c r="H82" s="5">
        <v>0.0</v>
      </c>
      <c r="I82" s="5">
        <v>0.0</v>
      </c>
      <c r="J82" s="5">
        <v>1.0</v>
      </c>
      <c r="K82" s="5">
        <v>1.0</v>
      </c>
      <c r="L82" s="5">
        <v>1.0</v>
      </c>
      <c r="M82" s="5">
        <v>0.0</v>
      </c>
      <c r="N82" s="5">
        <v>0.0</v>
      </c>
      <c r="O82" s="5">
        <v>0.0</v>
      </c>
      <c r="P82" s="5">
        <v>0.0</v>
      </c>
      <c r="Q82" s="5">
        <v>0.0</v>
      </c>
      <c r="R82" s="5">
        <v>0.0</v>
      </c>
      <c r="S82" s="5">
        <v>0.0</v>
      </c>
      <c r="T82" s="5">
        <v>0.0</v>
      </c>
      <c r="U82" s="5">
        <v>0.0</v>
      </c>
      <c r="V82" s="5">
        <v>1.0</v>
      </c>
      <c r="W82" s="5">
        <v>1.0</v>
      </c>
      <c r="X82" s="5">
        <v>0.0</v>
      </c>
      <c r="Y82" s="5">
        <v>0.0</v>
      </c>
      <c r="Z82" s="5">
        <v>0.0</v>
      </c>
      <c r="AA82" s="5">
        <v>0.0</v>
      </c>
      <c r="AB82" s="5">
        <v>0.0</v>
      </c>
      <c r="AC82" s="5">
        <v>1.0</v>
      </c>
      <c r="AD82" s="5">
        <v>0.0</v>
      </c>
    </row>
    <row r="83" ht="15.75" customHeight="1">
      <c r="A83" s="5">
        <v>21.0</v>
      </c>
      <c r="B83" s="5">
        <v>0.0</v>
      </c>
      <c r="C83" s="5">
        <v>0.0</v>
      </c>
      <c r="D83" s="5">
        <v>0.0</v>
      </c>
      <c r="E83" s="5">
        <v>1.0</v>
      </c>
      <c r="F83" s="5">
        <v>0.0</v>
      </c>
      <c r="G83" s="5">
        <v>0.0</v>
      </c>
      <c r="H83" s="5">
        <v>0.0</v>
      </c>
      <c r="I83" s="5">
        <v>0.0</v>
      </c>
      <c r="J83" s="5">
        <v>1.0</v>
      </c>
      <c r="K83" s="5">
        <v>1.0</v>
      </c>
      <c r="L83" s="5">
        <v>1.0</v>
      </c>
      <c r="M83" s="5">
        <v>0.0</v>
      </c>
      <c r="N83" s="5">
        <v>0.0</v>
      </c>
      <c r="O83" s="5">
        <v>0.0</v>
      </c>
      <c r="P83" s="5">
        <v>0.0</v>
      </c>
      <c r="Q83" s="5">
        <v>0.0</v>
      </c>
      <c r="R83" s="5">
        <v>0.0</v>
      </c>
      <c r="S83" s="5">
        <v>0.0</v>
      </c>
      <c r="T83" s="5">
        <v>0.0</v>
      </c>
      <c r="U83" s="5">
        <v>0.0</v>
      </c>
      <c r="V83" s="5">
        <v>1.0</v>
      </c>
      <c r="W83" s="5">
        <v>1.0</v>
      </c>
      <c r="X83" s="5">
        <v>0.0</v>
      </c>
      <c r="Y83" s="5">
        <v>0.0</v>
      </c>
      <c r="Z83" s="5">
        <v>0.0</v>
      </c>
      <c r="AA83" s="5">
        <v>0.0</v>
      </c>
      <c r="AB83" s="5">
        <v>0.0</v>
      </c>
      <c r="AC83" s="5">
        <v>1.0</v>
      </c>
      <c r="AD83" s="5">
        <v>0.0</v>
      </c>
    </row>
    <row r="84" ht="15.75" customHeight="1">
      <c r="A84" s="5">
        <v>22.0</v>
      </c>
      <c r="B84" s="5">
        <v>0.0</v>
      </c>
      <c r="C84" s="5">
        <v>0.0</v>
      </c>
      <c r="D84" s="5">
        <v>0.0</v>
      </c>
      <c r="E84" s="5">
        <v>1.0</v>
      </c>
      <c r="F84" s="5">
        <v>0.0</v>
      </c>
      <c r="G84" s="5">
        <v>0.0</v>
      </c>
      <c r="H84" s="5">
        <v>0.0</v>
      </c>
      <c r="I84" s="5">
        <v>0.0</v>
      </c>
      <c r="J84" s="5">
        <v>1.0</v>
      </c>
      <c r="K84" s="5">
        <v>1.0</v>
      </c>
      <c r="L84" s="5">
        <v>1.0</v>
      </c>
      <c r="M84" s="5">
        <v>0.0</v>
      </c>
      <c r="N84" s="5">
        <v>0.0</v>
      </c>
      <c r="O84" s="5">
        <v>0.0</v>
      </c>
      <c r="P84" s="5">
        <v>0.0</v>
      </c>
      <c r="Q84" s="5">
        <v>0.0</v>
      </c>
      <c r="R84" s="5">
        <v>0.0</v>
      </c>
      <c r="S84" s="5">
        <v>1.0</v>
      </c>
      <c r="T84" s="5">
        <v>0.0</v>
      </c>
      <c r="U84" s="5">
        <v>0.0</v>
      </c>
      <c r="V84" s="5">
        <v>1.0</v>
      </c>
      <c r="W84" s="5">
        <v>1.0</v>
      </c>
      <c r="X84" s="5">
        <v>0.0</v>
      </c>
      <c r="Y84" s="5">
        <v>0.0</v>
      </c>
      <c r="Z84" s="5">
        <v>0.0</v>
      </c>
      <c r="AA84" s="5">
        <v>0.0</v>
      </c>
      <c r="AB84" s="5">
        <v>0.0</v>
      </c>
      <c r="AC84" s="5">
        <v>0.0</v>
      </c>
      <c r="AD84" s="5">
        <v>0.0</v>
      </c>
    </row>
    <row r="85" ht="15.75" customHeight="1">
      <c r="A85" s="5">
        <v>23.0</v>
      </c>
      <c r="B85" s="5">
        <v>0.0</v>
      </c>
      <c r="C85" s="5">
        <v>0.0</v>
      </c>
      <c r="D85" s="5">
        <v>0.0</v>
      </c>
      <c r="E85" s="5">
        <v>0.0</v>
      </c>
      <c r="F85" s="5">
        <v>0.0</v>
      </c>
      <c r="G85" s="5">
        <v>0.0</v>
      </c>
      <c r="H85" s="5">
        <v>0.0</v>
      </c>
      <c r="I85" s="5">
        <v>0.0</v>
      </c>
      <c r="J85" s="5">
        <v>1.0</v>
      </c>
      <c r="K85" s="5">
        <v>1.0</v>
      </c>
      <c r="L85" s="5">
        <v>1.0</v>
      </c>
      <c r="M85" s="5">
        <v>0.0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  <c r="S85" s="5">
        <v>1.0</v>
      </c>
      <c r="T85" s="5">
        <v>0.0</v>
      </c>
      <c r="U85" s="5">
        <v>0.0</v>
      </c>
      <c r="V85" s="5">
        <v>1.0</v>
      </c>
      <c r="W85" s="5">
        <v>1.0</v>
      </c>
      <c r="X85" s="5">
        <v>0.0</v>
      </c>
      <c r="Y85" s="5">
        <v>1.0</v>
      </c>
      <c r="Z85" s="5">
        <v>1.0</v>
      </c>
      <c r="AA85" s="5">
        <v>0.0</v>
      </c>
      <c r="AB85" s="5">
        <v>0.0</v>
      </c>
      <c r="AC85" s="5">
        <v>0.0</v>
      </c>
      <c r="AD85" s="5">
        <v>0.0</v>
      </c>
    </row>
    <row r="86" ht="15.75" customHeight="1">
      <c r="A86" s="5">
        <v>24.0</v>
      </c>
      <c r="B86" s="5">
        <v>1.0</v>
      </c>
      <c r="C86" s="5">
        <v>0.0</v>
      </c>
      <c r="D86" s="5">
        <v>0.0</v>
      </c>
      <c r="E86" s="5">
        <v>0.0</v>
      </c>
      <c r="F86" s="5">
        <v>1.0</v>
      </c>
      <c r="G86" s="5">
        <v>0.0</v>
      </c>
      <c r="H86" s="5">
        <v>0.0</v>
      </c>
      <c r="I86" s="5">
        <v>0.0</v>
      </c>
      <c r="J86" s="5">
        <v>0.0</v>
      </c>
      <c r="K86" s="5">
        <v>1.0</v>
      </c>
      <c r="L86" s="5">
        <v>0.0</v>
      </c>
      <c r="M86" s="5">
        <v>0.0</v>
      </c>
      <c r="N86" s="5">
        <v>0.0</v>
      </c>
      <c r="O86" s="5">
        <v>0.0</v>
      </c>
      <c r="P86" s="5">
        <v>0.0</v>
      </c>
      <c r="Q86" s="5">
        <v>0.0</v>
      </c>
      <c r="R86" s="5">
        <v>0.0</v>
      </c>
      <c r="S86" s="5">
        <v>1.0</v>
      </c>
      <c r="T86" s="5">
        <v>0.0</v>
      </c>
      <c r="U86" s="5">
        <v>0.0</v>
      </c>
      <c r="V86" s="5">
        <v>1.0</v>
      </c>
      <c r="W86" s="5">
        <v>1.0</v>
      </c>
      <c r="X86" s="5">
        <v>1.0</v>
      </c>
      <c r="Y86" s="5">
        <v>1.0</v>
      </c>
      <c r="Z86" s="5">
        <v>1.0</v>
      </c>
      <c r="AA86" s="5">
        <v>1.0</v>
      </c>
      <c r="AB86" s="5">
        <v>0.0</v>
      </c>
      <c r="AC86" s="5">
        <v>0.0</v>
      </c>
      <c r="AD86" s="5">
        <v>0.0</v>
      </c>
    </row>
    <row r="87" ht="15.75" customHeight="1">
      <c r="A87" s="5">
        <v>25.0</v>
      </c>
      <c r="B87" s="5">
        <v>1.0</v>
      </c>
      <c r="C87" s="5">
        <v>0.0</v>
      </c>
      <c r="D87" s="5">
        <v>0.0</v>
      </c>
      <c r="E87" s="5">
        <v>0.0</v>
      </c>
      <c r="F87" s="5">
        <v>1.0</v>
      </c>
      <c r="G87" s="5">
        <v>0.0</v>
      </c>
      <c r="H87" s="5">
        <v>1.0</v>
      </c>
      <c r="I87" s="5">
        <v>0.0</v>
      </c>
      <c r="J87" s="5">
        <v>1.0</v>
      </c>
      <c r="K87" s="5">
        <v>1.0</v>
      </c>
      <c r="L87" s="5">
        <v>0.0</v>
      </c>
      <c r="M87" s="5">
        <v>0.0</v>
      </c>
      <c r="N87" s="5">
        <v>0.0</v>
      </c>
      <c r="O87" s="5">
        <v>0.0</v>
      </c>
      <c r="P87" s="5">
        <v>0.0</v>
      </c>
      <c r="Q87" s="5">
        <v>0.0</v>
      </c>
      <c r="R87" s="5">
        <v>0.0</v>
      </c>
      <c r="S87" s="5">
        <v>1.0</v>
      </c>
      <c r="T87" s="5">
        <v>0.0</v>
      </c>
      <c r="U87" s="5">
        <v>1.0</v>
      </c>
      <c r="V87" s="5">
        <v>0.0</v>
      </c>
      <c r="W87" s="5">
        <v>1.0</v>
      </c>
      <c r="X87" s="5">
        <v>1.0</v>
      </c>
      <c r="Y87" s="5">
        <v>1.0</v>
      </c>
      <c r="Z87" s="5">
        <v>1.0</v>
      </c>
      <c r="AA87" s="5">
        <v>1.0</v>
      </c>
      <c r="AB87" s="5">
        <v>0.0</v>
      </c>
      <c r="AC87" s="5">
        <v>0.0</v>
      </c>
      <c r="AD87" s="5">
        <v>0.0</v>
      </c>
    </row>
    <row r="88" ht="15.75" customHeight="1">
      <c r="A88" s="5" t="s">
        <v>23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 ht="15.75" customHeight="1">
      <c r="A89" s="14" t="s">
        <v>24</v>
      </c>
      <c r="B89" s="15">
        <f t="shared" ref="B89:AD89" si="1">SUM(B16:B67)</f>
        <v>6</v>
      </c>
      <c r="C89" s="15">
        <f t="shared" si="1"/>
        <v>1</v>
      </c>
      <c r="D89" s="15">
        <f t="shared" si="1"/>
        <v>7</v>
      </c>
      <c r="E89" s="15">
        <f t="shared" si="1"/>
        <v>20</v>
      </c>
      <c r="F89" s="16">
        <f t="shared" si="1"/>
        <v>18</v>
      </c>
      <c r="G89" s="15">
        <f t="shared" si="1"/>
        <v>27</v>
      </c>
      <c r="H89" s="15">
        <f t="shared" si="1"/>
        <v>22</v>
      </c>
      <c r="I89" s="15">
        <f t="shared" si="1"/>
        <v>10</v>
      </c>
      <c r="J89" s="15">
        <f t="shared" si="1"/>
        <v>1</v>
      </c>
      <c r="K89" s="16">
        <f t="shared" si="1"/>
        <v>25</v>
      </c>
      <c r="L89" s="15">
        <f t="shared" si="1"/>
        <v>16</v>
      </c>
      <c r="M89" s="15">
        <f t="shared" si="1"/>
        <v>12</v>
      </c>
      <c r="N89" s="15">
        <f t="shared" si="1"/>
        <v>20</v>
      </c>
      <c r="O89" s="15">
        <f t="shared" si="1"/>
        <v>1</v>
      </c>
      <c r="P89" s="16">
        <f t="shared" si="1"/>
        <v>22</v>
      </c>
      <c r="Q89" s="15">
        <f t="shared" si="1"/>
        <v>11</v>
      </c>
      <c r="R89" s="15">
        <f t="shared" si="1"/>
        <v>10</v>
      </c>
      <c r="S89" s="15">
        <f t="shared" si="1"/>
        <v>11</v>
      </c>
      <c r="T89" s="15">
        <f t="shared" si="1"/>
        <v>14</v>
      </c>
      <c r="U89" s="15">
        <f t="shared" si="1"/>
        <v>20</v>
      </c>
      <c r="V89" s="15">
        <f t="shared" si="1"/>
        <v>16</v>
      </c>
      <c r="W89" s="16">
        <f t="shared" si="1"/>
        <v>1</v>
      </c>
      <c r="X89" s="15">
        <f t="shared" si="1"/>
        <v>8</v>
      </c>
      <c r="Y89" s="16">
        <f t="shared" si="1"/>
        <v>7</v>
      </c>
      <c r="Z89" s="16">
        <f t="shared" si="1"/>
        <v>12</v>
      </c>
      <c r="AA89" s="16">
        <f t="shared" si="1"/>
        <v>11</v>
      </c>
      <c r="AB89" s="16">
        <f t="shared" si="1"/>
        <v>14</v>
      </c>
      <c r="AC89" s="16">
        <f t="shared" si="1"/>
        <v>7</v>
      </c>
      <c r="AD89" s="16">
        <f t="shared" si="1"/>
        <v>32</v>
      </c>
    </row>
    <row r="90" ht="15.75" customHeight="1">
      <c r="A90" s="4" t="s">
        <v>25</v>
      </c>
      <c r="B90" s="15">
        <f>SUM(B17:B77)</f>
        <v>5</v>
      </c>
      <c r="C90" s="15">
        <f t="shared" ref="C90:AD90" si="2">SUM(C17:C68)</f>
        <v>1</v>
      </c>
      <c r="D90" s="15">
        <f t="shared" si="2"/>
        <v>8</v>
      </c>
      <c r="E90" s="15">
        <f t="shared" si="2"/>
        <v>19</v>
      </c>
      <c r="F90" s="16">
        <f t="shared" si="2"/>
        <v>17</v>
      </c>
      <c r="G90" s="15">
        <f t="shared" si="2"/>
        <v>26</v>
      </c>
      <c r="H90" s="15">
        <f t="shared" si="2"/>
        <v>22</v>
      </c>
      <c r="I90" s="15">
        <f t="shared" si="2"/>
        <v>11</v>
      </c>
      <c r="J90" s="15">
        <f t="shared" si="2"/>
        <v>1</v>
      </c>
      <c r="K90" s="16">
        <f t="shared" si="2"/>
        <v>24</v>
      </c>
      <c r="L90" s="15">
        <f t="shared" si="2"/>
        <v>15</v>
      </c>
      <c r="M90" s="15">
        <f t="shared" si="2"/>
        <v>12</v>
      </c>
      <c r="N90" s="15">
        <f t="shared" si="2"/>
        <v>19</v>
      </c>
      <c r="O90" s="15">
        <f t="shared" si="2"/>
        <v>1</v>
      </c>
      <c r="P90" s="16">
        <f t="shared" si="2"/>
        <v>23</v>
      </c>
      <c r="Q90" s="15">
        <f t="shared" si="2"/>
        <v>10</v>
      </c>
      <c r="R90" s="15">
        <f t="shared" si="2"/>
        <v>10</v>
      </c>
      <c r="S90" s="15">
        <f t="shared" si="2"/>
        <v>12</v>
      </c>
      <c r="T90" s="15">
        <f t="shared" si="2"/>
        <v>14</v>
      </c>
      <c r="U90" s="15">
        <f t="shared" si="2"/>
        <v>21</v>
      </c>
      <c r="V90" s="15">
        <f t="shared" si="2"/>
        <v>16</v>
      </c>
      <c r="W90" s="16">
        <f t="shared" si="2"/>
        <v>0</v>
      </c>
      <c r="X90" s="15">
        <f t="shared" si="2"/>
        <v>7</v>
      </c>
      <c r="Y90" s="16">
        <f t="shared" si="2"/>
        <v>7</v>
      </c>
      <c r="Z90" s="16">
        <f t="shared" si="2"/>
        <v>12</v>
      </c>
      <c r="AA90" s="16">
        <f t="shared" si="2"/>
        <v>10</v>
      </c>
      <c r="AB90" s="16">
        <f t="shared" si="2"/>
        <v>14</v>
      </c>
      <c r="AC90" s="16">
        <f t="shared" si="2"/>
        <v>7</v>
      </c>
      <c r="AD90" s="16">
        <f t="shared" si="2"/>
        <v>31</v>
      </c>
    </row>
    <row r="91" ht="15.75" customHeight="1">
      <c r="A91" s="17" t="s">
        <v>26</v>
      </c>
      <c r="B91" s="18">
        <f t="shared" ref="B91:AD91" si="3">SUM(B16:B87)</f>
        <v>8</v>
      </c>
      <c r="C91" s="18">
        <f t="shared" si="3"/>
        <v>3</v>
      </c>
      <c r="D91" s="18">
        <f t="shared" si="3"/>
        <v>13</v>
      </c>
      <c r="E91" s="18">
        <f t="shared" si="3"/>
        <v>31</v>
      </c>
      <c r="F91" s="19">
        <f t="shared" si="3"/>
        <v>23</v>
      </c>
      <c r="G91" s="18">
        <f t="shared" si="3"/>
        <v>30</v>
      </c>
      <c r="H91" s="18">
        <f t="shared" si="3"/>
        <v>26</v>
      </c>
      <c r="I91" s="18">
        <f t="shared" si="3"/>
        <v>22</v>
      </c>
      <c r="J91" s="18">
        <f t="shared" si="3"/>
        <v>10</v>
      </c>
      <c r="K91" s="19">
        <f t="shared" si="3"/>
        <v>35</v>
      </c>
      <c r="L91" s="18">
        <f t="shared" si="3"/>
        <v>27</v>
      </c>
      <c r="M91" s="18">
        <f t="shared" si="3"/>
        <v>18</v>
      </c>
      <c r="N91" s="19">
        <f t="shared" si="3"/>
        <v>20</v>
      </c>
      <c r="O91" s="18">
        <f t="shared" si="3"/>
        <v>5</v>
      </c>
      <c r="P91" s="19">
        <f t="shared" si="3"/>
        <v>28</v>
      </c>
      <c r="Q91" s="18">
        <f t="shared" si="3"/>
        <v>16</v>
      </c>
      <c r="R91" s="18">
        <f t="shared" si="3"/>
        <v>11</v>
      </c>
      <c r="S91" s="18">
        <f t="shared" si="3"/>
        <v>20</v>
      </c>
      <c r="T91" s="18">
        <f t="shared" si="3"/>
        <v>14</v>
      </c>
      <c r="U91" s="18">
        <f t="shared" si="3"/>
        <v>24</v>
      </c>
      <c r="V91" s="18">
        <f t="shared" si="3"/>
        <v>27</v>
      </c>
      <c r="W91" s="19">
        <f t="shared" si="3"/>
        <v>9</v>
      </c>
      <c r="X91" s="19">
        <f t="shared" si="3"/>
        <v>10</v>
      </c>
      <c r="Y91" s="19">
        <f t="shared" si="3"/>
        <v>16</v>
      </c>
      <c r="Z91" s="19">
        <f t="shared" si="3"/>
        <v>15</v>
      </c>
      <c r="AA91" s="19">
        <f t="shared" si="3"/>
        <v>16</v>
      </c>
      <c r="AB91" s="19">
        <f t="shared" si="3"/>
        <v>14</v>
      </c>
      <c r="AC91" s="19">
        <f t="shared" si="3"/>
        <v>16</v>
      </c>
      <c r="AD91" s="19">
        <f t="shared" si="3"/>
        <v>32</v>
      </c>
    </row>
    <row r="92" ht="15.75" customHeight="1">
      <c r="A92" s="14" t="s">
        <v>27</v>
      </c>
      <c r="B92" s="15">
        <f t="shared" ref="B92:AD92" si="4">SUM(B2:B87)</f>
        <v>10</v>
      </c>
      <c r="C92" s="15">
        <f t="shared" si="4"/>
        <v>3</v>
      </c>
      <c r="D92" s="15">
        <f t="shared" si="4"/>
        <v>17</v>
      </c>
      <c r="E92" s="15">
        <f t="shared" si="4"/>
        <v>40</v>
      </c>
      <c r="F92" s="15">
        <f t="shared" si="4"/>
        <v>30</v>
      </c>
      <c r="G92" s="15">
        <f t="shared" si="4"/>
        <v>39</v>
      </c>
      <c r="H92" s="15">
        <f t="shared" si="4"/>
        <v>26</v>
      </c>
      <c r="I92" s="15">
        <f t="shared" si="4"/>
        <v>27</v>
      </c>
      <c r="J92" s="15">
        <f t="shared" si="4"/>
        <v>13</v>
      </c>
      <c r="K92" s="15">
        <f t="shared" si="4"/>
        <v>42</v>
      </c>
      <c r="L92" s="15">
        <f t="shared" si="4"/>
        <v>37</v>
      </c>
      <c r="M92" s="15">
        <f t="shared" si="4"/>
        <v>18</v>
      </c>
      <c r="N92" s="15">
        <f t="shared" si="4"/>
        <v>23</v>
      </c>
      <c r="O92" s="15">
        <f t="shared" si="4"/>
        <v>10</v>
      </c>
      <c r="P92" s="15">
        <f t="shared" si="4"/>
        <v>28</v>
      </c>
      <c r="Q92" s="15">
        <f t="shared" si="4"/>
        <v>20</v>
      </c>
      <c r="R92" s="15">
        <f t="shared" si="4"/>
        <v>13</v>
      </c>
      <c r="S92" s="15">
        <f t="shared" si="4"/>
        <v>24</v>
      </c>
      <c r="T92" s="15">
        <f t="shared" si="4"/>
        <v>16</v>
      </c>
      <c r="U92" s="15">
        <f t="shared" si="4"/>
        <v>26</v>
      </c>
      <c r="V92" s="15">
        <f t="shared" si="4"/>
        <v>36</v>
      </c>
      <c r="W92" s="15">
        <f t="shared" si="4"/>
        <v>17</v>
      </c>
      <c r="X92" s="15">
        <f t="shared" si="4"/>
        <v>11</v>
      </c>
      <c r="Y92" s="15">
        <f t="shared" si="4"/>
        <v>27</v>
      </c>
      <c r="Z92" s="15">
        <f t="shared" si="4"/>
        <v>16</v>
      </c>
      <c r="AA92" s="15">
        <f t="shared" si="4"/>
        <v>22</v>
      </c>
      <c r="AB92" s="15">
        <f t="shared" si="4"/>
        <v>14</v>
      </c>
      <c r="AC92" s="15">
        <f t="shared" si="4"/>
        <v>25</v>
      </c>
      <c r="AD92" s="15">
        <f t="shared" si="4"/>
        <v>38</v>
      </c>
    </row>
    <row r="93" ht="15.75" customHeight="1">
      <c r="A93" s="20" t="s">
        <v>28</v>
      </c>
      <c r="B93" s="21">
        <v>40.0</v>
      </c>
      <c r="C93" s="21">
        <v>2421.0</v>
      </c>
      <c r="D93" s="21">
        <v>1376.0</v>
      </c>
      <c r="E93" s="21">
        <v>1147.0</v>
      </c>
      <c r="F93" s="21">
        <v>1640.0</v>
      </c>
      <c r="G93" s="21">
        <v>2580.0</v>
      </c>
      <c r="H93" s="21">
        <v>1280.0</v>
      </c>
      <c r="I93" s="21">
        <v>912.0</v>
      </c>
      <c r="J93" s="21">
        <v>350.0</v>
      </c>
      <c r="K93" s="21">
        <v>1331.0</v>
      </c>
      <c r="L93" s="21">
        <v>850.0</v>
      </c>
      <c r="M93" s="21">
        <v>592.0</v>
      </c>
      <c r="N93" s="21">
        <v>1341.0</v>
      </c>
      <c r="O93" s="21">
        <v>46.0</v>
      </c>
      <c r="P93" s="21">
        <v>686.0</v>
      </c>
      <c r="Q93" s="21">
        <v>3138.0</v>
      </c>
      <c r="R93" s="21">
        <v>502.0</v>
      </c>
      <c r="S93" s="21">
        <v>738.0</v>
      </c>
      <c r="T93" s="21">
        <v>82.0</v>
      </c>
      <c r="U93" s="21">
        <v>1890.0</v>
      </c>
      <c r="V93" s="21">
        <v>819.0</v>
      </c>
      <c r="W93" s="21">
        <v>42.0</v>
      </c>
      <c r="X93" s="21">
        <v>422.0</v>
      </c>
      <c r="Y93" s="21">
        <v>3176.0</v>
      </c>
      <c r="Z93" s="22">
        <v>3421.0</v>
      </c>
      <c r="AA93" s="22">
        <v>850.0</v>
      </c>
      <c r="AB93" s="22">
        <v>2968.0</v>
      </c>
      <c r="AC93" s="22">
        <v>2815.0</v>
      </c>
      <c r="AD93" s="22">
        <v>3065.0</v>
      </c>
    </row>
    <row r="94" ht="15.75" customHeight="1">
      <c r="A94" s="14" t="s">
        <v>29</v>
      </c>
      <c r="B94" s="15">
        <v>1.0</v>
      </c>
      <c r="C94" s="15">
        <v>4.0</v>
      </c>
      <c r="D94" s="15">
        <v>26.0</v>
      </c>
      <c r="E94" s="15">
        <v>22.0</v>
      </c>
      <c r="F94" s="15">
        <v>31.0</v>
      </c>
      <c r="G94" s="15">
        <v>50.0</v>
      </c>
      <c r="H94" s="15">
        <v>24.0</v>
      </c>
      <c r="I94" s="15">
        <v>10.0</v>
      </c>
      <c r="J94" s="15">
        <v>5.0</v>
      </c>
      <c r="K94" s="15">
        <v>25.0</v>
      </c>
      <c r="L94" s="15">
        <v>17.0</v>
      </c>
      <c r="M94" s="15">
        <v>11.0</v>
      </c>
      <c r="N94" s="15">
        <v>26.0</v>
      </c>
      <c r="O94" s="15">
        <v>1.0</v>
      </c>
      <c r="P94" s="15">
        <v>18.0</v>
      </c>
      <c r="Q94" s="15">
        <v>62.0</v>
      </c>
      <c r="R94" s="15">
        <v>2.0</v>
      </c>
      <c r="S94" s="15">
        <v>10.0</v>
      </c>
      <c r="T94" s="15">
        <v>13.0</v>
      </c>
      <c r="U94" s="15">
        <v>39.0</v>
      </c>
      <c r="V94" s="15">
        <v>16.0</v>
      </c>
      <c r="W94" s="15">
        <v>1.0</v>
      </c>
      <c r="X94" s="15">
        <v>7.0</v>
      </c>
      <c r="Y94" s="15">
        <v>61.0</v>
      </c>
      <c r="Z94" s="5">
        <v>66.0</v>
      </c>
      <c r="AA94" s="5">
        <v>16.0</v>
      </c>
      <c r="AB94" s="5">
        <v>57.0</v>
      </c>
      <c r="AC94" s="5">
        <v>54.0</v>
      </c>
      <c r="AD94" s="5">
        <v>59.0</v>
      </c>
    </row>
    <row r="95" ht="15.75" customHeight="1"/>
    <row r="96" ht="15.75" customHeight="1">
      <c r="A96" s="4" t="s">
        <v>30</v>
      </c>
      <c r="H96" s="4" t="s">
        <v>31</v>
      </c>
    </row>
    <row r="97" ht="15.75" customHeight="1">
      <c r="H97" s="4" t="s">
        <v>32</v>
      </c>
    </row>
    <row r="98" ht="15.75" customHeight="1">
      <c r="A98" s="4" t="s">
        <v>15</v>
      </c>
      <c r="B98" s="4">
        <v>0.7392208360691616</v>
      </c>
      <c r="C98" s="16">
        <v>1.2237067488866047</v>
      </c>
      <c r="D98" s="16">
        <v>1.5280638516992784</v>
      </c>
      <c r="E98" s="4">
        <v>0.25061282415172237</v>
      </c>
      <c r="F98" s="16">
        <v>1.6817869939772807</v>
      </c>
      <c r="G98" s="16">
        <v>1.5959495115167943</v>
      </c>
      <c r="H98" s="4">
        <v>0.8463237614389397</v>
      </c>
      <c r="I98" s="4">
        <v>0.91180092022552</v>
      </c>
      <c r="J98" s="4">
        <v>0.4408729910574701</v>
      </c>
      <c r="K98" s="16">
        <v>1.4209099126242837</v>
      </c>
      <c r="L98" s="16">
        <v>1.4309769540012058</v>
      </c>
      <c r="M98" s="4">
        <v>0.8101441942828231</v>
      </c>
      <c r="N98" s="16">
        <v>1.1820406088144637</v>
      </c>
      <c r="O98" s="4">
        <v>0.6678030927898039</v>
      </c>
      <c r="P98" s="16">
        <v>1.705886289706397</v>
      </c>
      <c r="Q98" s="4">
        <v>0.955154809069935</v>
      </c>
      <c r="R98" s="4">
        <v>0.551267916207277</v>
      </c>
      <c r="S98" s="4">
        <v>0.14039242219215164</v>
      </c>
      <c r="T98" s="16">
        <v>1.2848551120831055</v>
      </c>
      <c r="U98" s="4">
        <v>0.6457981983464277</v>
      </c>
      <c r="V98" s="4">
        <v>0.8609616596384079</v>
      </c>
      <c r="W98" s="4">
        <v>0.9553036365813242</v>
      </c>
      <c r="X98" s="16">
        <v>1.4149588061101819</v>
      </c>
      <c r="Y98" s="16">
        <v>1.5430491787759737</v>
      </c>
    </row>
    <row r="99" ht="15.75" customHeight="1">
      <c r="A99" s="4" t="s">
        <v>16</v>
      </c>
      <c r="B99" s="4">
        <v>1.0</v>
      </c>
      <c r="C99" s="4">
        <v>0.4306598182536545</v>
      </c>
      <c r="D99" s="4">
        <v>2.0300608828006084</v>
      </c>
      <c r="E99" s="4">
        <v>0.1343183344526528</v>
      </c>
      <c r="F99" s="4">
        <v>2.261137573550014</v>
      </c>
      <c r="G99" s="4">
        <v>2.0223325062034743</v>
      </c>
      <c r="H99" s="4">
        <v>0.6626183247008396</v>
      </c>
      <c r="I99" s="4">
        <v>1.4374999999999996</v>
      </c>
      <c r="J99" s="4">
        <v>0.6636648394675019</v>
      </c>
      <c r="K99" s="4">
        <v>0.7785258070084586</v>
      </c>
      <c r="L99" s="4">
        <v>0.763147825347562</v>
      </c>
      <c r="M99" s="4">
        <v>1.4181794633798863</v>
      </c>
      <c r="N99" s="4">
        <v>0.8401094454506917</v>
      </c>
      <c r="O99" s="4">
        <v>0.2695041124331231</v>
      </c>
      <c r="P99" s="4">
        <v>1.6411059696078492</v>
      </c>
      <c r="Q99" s="4">
        <v>0.8856254601979874</v>
      </c>
      <c r="R99" s="4">
        <v>0.8188003554933925</v>
      </c>
      <c r="S99" s="4">
        <v>0.3813868938354334</v>
      </c>
      <c r="T99" s="4">
        <v>2.0128674569188445</v>
      </c>
      <c r="U99" s="4">
        <v>0.061728395061728406</v>
      </c>
      <c r="V99" s="4">
        <v>1.4639962903261423</v>
      </c>
      <c r="W99" s="4">
        <v>1.3408514018872681</v>
      </c>
      <c r="X99" s="4">
        <v>0.9348006153117975</v>
      </c>
      <c r="Y99" s="4">
        <v>2.0923204091648797</v>
      </c>
    </row>
    <row r="100" ht="15.75" customHeight="1">
      <c r="A100" s="4" t="s">
        <v>17</v>
      </c>
      <c r="B100" s="4">
        <v>0.6671850699844479</v>
      </c>
      <c r="C100" s="4">
        <v>1.3075435203094774</v>
      </c>
      <c r="D100" s="4">
        <v>1.5207111783620202</v>
      </c>
      <c r="E100" s="4">
        <v>0.16213683223992506</v>
      </c>
      <c r="F100" s="4">
        <v>1.8425259792166264</v>
      </c>
      <c r="G100" s="4">
        <v>0.9733464955577491</v>
      </c>
      <c r="H100" s="4">
        <v>0.9803528468323977</v>
      </c>
      <c r="I100" s="4">
        <v>0.9728340675477238</v>
      </c>
      <c r="J100" s="4">
        <v>0.16927322907083714</v>
      </c>
      <c r="K100" s="4">
        <v>2.5707589688119694</v>
      </c>
      <c r="L100" s="4">
        <v>2.4562761727135163</v>
      </c>
      <c r="M100" s="4">
        <v>0.40589505957772976</v>
      </c>
      <c r="N100" s="4">
        <v>0.5821078431372549</v>
      </c>
      <c r="O100" s="4">
        <v>0.9665510268445172</v>
      </c>
      <c r="P100" s="4">
        <v>2.183993586108686</v>
      </c>
      <c r="Q100" s="4">
        <v>0.9765736325119221</v>
      </c>
      <c r="R100" s="4">
        <v>0.12577048585931835</v>
      </c>
      <c r="S100" s="4">
        <v>0.04128393023015791</v>
      </c>
      <c r="T100" s="4">
        <v>0.6512193918663356</v>
      </c>
      <c r="U100" s="4">
        <v>0.8169964438770857</v>
      </c>
      <c r="V100" s="4">
        <v>0.1701682047254402</v>
      </c>
      <c r="W100" s="4">
        <v>1.2141944214720701</v>
      </c>
      <c r="X100" s="4">
        <v>1.620339657688735</v>
      </c>
      <c r="Y100" s="4">
        <v>2.5259218835269346</v>
      </c>
    </row>
    <row r="101" ht="15.75" customHeight="1">
      <c r="A101" s="4" t="s">
        <v>18</v>
      </c>
      <c r="B101" s="4">
        <v>0.6138107416879798</v>
      </c>
      <c r="C101" s="4">
        <v>1.8552253116011508</v>
      </c>
      <c r="D101" s="4">
        <v>1.0556138509968522</v>
      </c>
      <c r="E101" s="4">
        <v>0.43976013083772497</v>
      </c>
      <c r="F101" s="4">
        <v>1.0724043715846996</v>
      </c>
      <c r="G101" s="4">
        <v>1.9611978068325606</v>
      </c>
      <c r="H101" s="4">
        <v>0.943692368059643</v>
      </c>
      <c r="I101" s="4">
        <v>0.24065234685759748</v>
      </c>
      <c r="J101" s="4">
        <v>0.520516717325228</v>
      </c>
      <c r="K101" s="4">
        <v>0.943692368059643</v>
      </c>
      <c r="L101" s="4">
        <v>0.993005472402421</v>
      </c>
      <c r="M101" s="4">
        <v>0.4173669996789484</v>
      </c>
      <c r="N101" s="4">
        <v>2.145799406073379</v>
      </c>
      <c r="O101" s="4">
        <v>0.7430650138785926</v>
      </c>
      <c r="P101" s="4">
        <v>1.3016261990079805</v>
      </c>
      <c r="Q101" s="4">
        <v>1.038464916132432</v>
      </c>
      <c r="R101" s="4">
        <v>0.8676052859083608</v>
      </c>
      <c r="S101" s="4">
        <v>0.013744354997054783</v>
      </c>
      <c r="T101" s="4">
        <v>1.3883719198987567</v>
      </c>
      <c r="U101" s="4">
        <v>1.1168213267474172</v>
      </c>
      <c r="V101" s="4">
        <v>1.1606857629645404</v>
      </c>
      <c r="W101" s="4">
        <v>0.3385461750052897</v>
      </c>
      <c r="X101" s="4">
        <v>1.6779459987441565</v>
      </c>
      <c r="Y101" s="4">
        <v>0.1715848361901017</v>
      </c>
    </row>
    <row r="102" ht="15.75" customHeight="1"/>
    <row r="103" ht="15.75" customHeight="1">
      <c r="A103" s="5" t="s">
        <v>22</v>
      </c>
      <c r="B103" s="5">
        <v>1972.0</v>
      </c>
      <c r="C103" s="5">
        <v>1973.0</v>
      </c>
      <c r="D103" s="5">
        <v>1977.0</v>
      </c>
      <c r="E103" s="5">
        <v>1982.0</v>
      </c>
      <c r="F103" s="5">
        <v>1983.0</v>
      </c>
      <c r="G103" s="5">
        <v>1984.0</v>
      </c>
      <c r="H103" s="5">
        <v>1987.0</v>
      </c>
      <c r="I103" s="5">
        <v>1991.0</v>
      </c>
      <c r="J103" s="5">
        <v>1992.0</v>
      </c>
      <c r="K103" s="5">
        <v>1993.0</v>
      </c>
      <c r="L103" s="5">
        <v>1994.0</v>
      </c>
      <c r="M103" s="5">
        <v>1995.0</v>
      </c>
      <c r="N103" s="5">
        <v>1996.0</v>
      </c>
      <c r="O103" s="5">
        <v>1997.0</v>
      </c>
      <c r="P103" s="5">
        <v>1998.0</v>
      </c>
      <c r="Q103" s="5">
        <v>2004.0</v>
      </c>
      <c r="R103" s="5">
        <v>2005.0</v>
      </c>
      <c r="S103" s="5">
        <v>2006.0</v>
      </c>
      <c r="T103" s="5">
        <v>2007.0</v>
      </c>
      <c r="U103" s="5">
        <v>2008.0</v>
      </c>
      <c r="V103" s="5">
        <v>2009.0</v>
      </c>
      <c r="W103" s="5">
        <v>2010.0</v>
      </c>
      <c r="X103" s="5">
        <v>2011.0</v>
      </c>
      <c r="Y103" s="5">
        <v>2012.0</v>
      </c>
      <c r="Z103" s="5">
        <v>2013.0</v>
      </c>
      <c r="AA103" s="5">
        <v>2014.0</v>
      </c>
      <c r="AB103" s="5">
        <v>2015.0</v>
      </c>
      <c r="AC103" s="5">
        <v>2016.0</v>
      </c>
      <c r="AD103" s="5">
        <v>2017.0</v>
      </c>
    </row>
    <row r="104" ht="15.75" customHeight="1"/>
    <row r="105" ht="15.75" customHeight="1">
      <c r="A105" s="4" t="s">
        <v>33</v>
      </c>
      <c r="B105" s="4">
        <f t="shared" ref="B105:AD105" si="5">SUM(B16:B35)</f>
        <v>6</v>
      </c>
      <c r="C105" s="4">
        <f t="shared" si="5"/>
        <v>1</v>
      </c>
      <c r="D105" s="4">
        <f t="shared" si="5"/>
        <v>4</v>
      </c>
      <c r="E105" s="4">
        <f t="shared" si="5"/>
        <v>12</v>
      </c>
      <c r="F105" s="4">
        <f t="shared" si="5"/>
        <v>11</v>
      </c>
      <c r="G105" s="4">
        <f t="shared" si="5"/>
        <v>15</v>
      </c>
      <c r="H105" s="4">
        <f t="shared" si="5"/>
        <v>10</v>
      </c>
      <c r="I105" s="4">
        <f t="shared" si="5"/>
        <v>0</v>
      </c>
      <c r="J105" s="4">
        <f t="shared" si="5"/>
        <v>1</v>
      </c>
      <c r="K105" s="4">
        <f t="shared" si="5"/>
        <v>11</v>
      </c>
      <c r="L105" s="4">
        <f t="shared" si="5"/>
        <v>12</v>
      </c>
      <c r="M105" s="4">
        <f t="shared" si="5"/>
        <v>8</v>
      </c>
      <c r="N105" s="4">
        <f t="shared" si="5"/>
        <v>11</v>
      </c>
      <c r="O105" s="4">
        <f t="shared" si="5"/>
        <v>1</v>
      </c>
      <c r="P105" s="4">
        <f t="shared" si="5"/>
        <v>12</v>
      </c>
      <c r="Q105" s="4">
        <f t="shared" si="5"/>
        <v>7</v>
      </c>
      <c r="R105" s="4">
        <f t="shared" si="5"/>
        <v>9</v>
      </c>
      <c r="S105" s="4">
        <f t="shared" si="5"/>
        <v>0</v>
      </c>
      <c r="T105" s="4">
        <f t="shared" si="5"/>
        <v>0</v>
      </c>
      <c r="U105" s="4">
        <f t="shared" si="5"/>
        <v>10</v>
      </c>
      <c r="V105" s="4">
        <f t="shared" si="5"/>
        <v>10</v>
      </c>
      <c r="W105" s="4">
        <f t="shared" si="5"/>
        <v>1</v>
      </c>
      <c r="X105" s="4">
        <f t="shared" si="5"/>
        <v>8</v>
      </c>
      <c r="Y105" s="4">
        <f t="shared" si="5"/>
        <v>1</v>
      </c>
      <c r="Z105" s="4">
        <f t="shared" si="5"/>
        <v>0</v>
      </c>
      <c r="AA105" s="4">
        <f t="shared" si="5"/>
        <v>11</v>
      </c>
      <c r="AB105" s="4">
        <f t="shared" si="5"/>
        <v>5</v>
      </c>
      <c r="AC105" s="4">
        <f t="shared" si="5"/>
        <v>3</v>
      </c>
      <c r="AD105" s="4">
        <f t="shared" si="5"/>
        <v>15</v>
      </c>
    </row>
    <row r="106" ht="15.75" customHeight="1">
      <c r="A106" s="4" t="s">
        <v>34</v>
      </c>
      <c r="B106" s="4">
        <f t="shared" ref="B106:AD106" si="6">SUM(B36:B55)</f>
        <v>0</v>
      </c>
      <c r="C106" s="4">
        <f t="shared" si="6"/>
        <v>0</v>
      </c>
      <c r="D106" s="4">
        <f t="shared" si="6"/>
        <v>2</v>
      </c>
      <c r="E106" s="4">
        <f t="shared" si="6"/>
        <v>2</v>
      </c>
      <c r="F106" s="4">
        <f t="shared" si="6"/>
        <v>7</v>
      </c>
      <c r="G106" s="4">
        <f t="shared" si="6"/>
        <v>3</v>
      </c>
      <c r="H106" s="4">
        <f t="shared" si="6"/>
        <v>10</v>
      </c>
      <c r="I106" s="4">
        <f t="shared" si="6"/>
        <v>10</v>
      </c>
      <c r="J106" s="4">
        <f t="shared" si="6"/>
        <v>0</v>
      </c>
      <c r="K106" s="4">
        <f t="shared" si="6"/>
        <v>9</v>
      </c>
      <c r="L106" s="4">
        <f t="shared" si="6"/>
        <v>4</v>
      </c>
      <c r="M106" s="4">
        <f t="shared" si="6"/>
        <v>0</v>
      </c>
      <c r="N106" s="4">
        <f t="shared" si="6"/>
        <v>8</v>
      </c>
      <c r="O106" s="4">
        <f t="shared" si="6"/>
        <v>0</v>
      </c>
      <c r="P106" s="4">
        <f t="shared" si="6"/>
        <v>9</v>
      </c>
      <c r="Q106" s="4">
        <f t="shared" si="6"/>
        <v>3</v>
      </c>
      <c r="R106" s="4">
        <f t="shared" si="6"/>
        <v>1</v>
      </c>
      <c r="S106" s="4">
        <f t="shared" si="6"/>
        <v>3</v>
      </c>
      <c r="T106" s="4">
        <f t="shared" si="6"/>
        <v>4</v>
      </c>
      <c r="U106" s="4">
        <f t="shared" si="6"/>
        <v>4</v>
      </c>
      <c r="V106" s="4">
        <f t="shared" si="6"/>
        <v>3</v>
      </c>
      <c r="W106" s="4">
        <f t="shared" si="6"/>
        <v>0</v>
      </c>
      <c r="X106" s="4">
        <f t="shared" si="6"/>
        <v>0</v>
      </c>
      <c r="Y106" s="4">
        <f t="shared" si="6"/>
        <v>6</v>
      </c>
      <c r="Z106" s="4">
        <f t="shared" si="6"/>
        <v>10</v>
      </c>
      <c r="AA106" s="4">
        <f t="shared" si="6"/>
        <v>0</v>
      </c>
      <c r="AB106" s="4">
        <f t="shared" si="6"/>
        <v>9</v>
      </c>
      <c r="AC106" s="4">
        <f t="shared" si="6"/>
        <v>4</v>
      </c>
      <c r="AD106" s="4">
        <f t="shared" si="6"/>
        <v>13</v>
      </c>
    </row>
    <row r="107" ht="15.75" customHeight="1">
      <c r="A107" s="4" t="s">
        <v>35</v>
      </c>
      <c r="B107" s="4">
        <f t="shared" ref="B107:AD107" si="7">SUM(B56:B77)</f>
        <v>0</v>
      </c>
      <c r="C107" s="4">
        <f t="shared" si="7"/>
        <v>2</v>
      </c>
      <c r="D107" s="4">
        <f t="shared" si="7"/>
        <v>6</v>
      </c>
      <c r="E107" s="4">
        <f t="shared" si="7"/>
        <v>11</v>
      </c>
      <c r="F107" s="4">
        <f t="shared" si="7"/>
        <v>3</v>
      </c>
      <c r="G107" s="4">
        <f t="shared" si="7"/>
        <v>11</v>
      </c>
      <c r="H107" s="4">
        <f t="shared" si="7"/>
        <v>4</v>
      </c>
      <c r="I107" s="4">
        <f t="shared" si="7"/>
        <v>9</v>
      </c>
      <c r="J107" s="4">
        <f t="shared" si="7"/>
        <v>0</v>
      </c>
      <c r="K107" s="4">
        <f t="shared" si="7"/>
        <v>5</v>
      </c>
      <c r="L107" s="4">
        <f t="shared" si="7"/>
        <v>4</v>
      </c>
      <c r="M107" s="4">
        <f t="shared" si="7"/>
        <v>10</v>
      </c>
      <c r="N107" s="4">
        <f t="shared" si="7"/>
        <v>1</v>
      </c>
      <c r="O107" s="4">
        <f t="shared" si="7"/>
        <v>4</v>
      </c>
      <c r="P107" s="4">
        <f t="shared" si="7"/>
        <v>7</v>
      </c>
      <c r="Q107" s="4">
        <f t="shared" si="7"/>
        <v>6</v>
      </c>
      <c r="R107" s="4">
        <f t="shared" si="7"/>
        <v>1</v>
      </c>
      <c r="S107" s="4">
        <f t="shared" si="7"/>
        <v>12</v>
      </c>
      <c r="T107" s="4">
        <f t="shared" si="7"/>
        <v>10</v>
      </c>
      <c r="U107" s="4">
        <f t="shared" si="7"/>
        <v>9</v>
      </c>
      <c r="V107" s="4">
        <f t="shared" si="7"/>
        <v>6</v>
      </c>
      <c r="W107" s="4">
        <f t="shared" si="7"/>
        <v>0</v>
      </c>
      <c r="X107" s="4">
        <f t="shared" si="7"/>
        <v>0</v>
      </c>
      <c r="Y107" s="4">
        <f t="shared" si="7"/>
        <v>3</v>
      </c>
      <c r="Z107" s="4">
        <f t="shared" si="7"/>
        <v>2</v>
      </c>
      <c r="AA107" s="4">
        <f t="shared" si="7"/>
        <v>3</v>
      </c>
      <c r="AB107" s="4">
        <f t="shared" si="7"/>
        <v>0</v>
      </c>
      <c r="AC107" s="4">
        <f t="shared" si="7"/>
        <v>5</v>
      </c>
      <c r="AD107" s="4">
        <f t="shared" si="7"/>
        <v>4</v>
      </c>
    </row>
    <row r="108" ht="15.75" customHeight="1">
      <c r="A108" s="4" t="s">
        <v>36</v>
      </c>
      <c r="B108" s="4">
        <f t="shared" ref="B108:AD108" si="8">SUM(B105:B107)</f>
        <v>6</v>
      </c>
      <c r="C108" s="4">
        <f t="shared" si="8"/>
        <v>3</v>
      </c>
      <c r="D108" s="4">
        <f t="shared" si="8"/>
        <v>12</v>
      </c>
      <c r="E108" s="4">
        <f t="shared" si="8"/>
        <v>25</v>
      </c>
      <c r="F108" s="4">
        <f t="shared" si="8"/>
        <v>21</v>
      </c>
      <c r="G108" s="4">
        <f t="shared" si="8"/>
        <v>29</v>
      </c>
      <c r="H108" s="4">
        <f t="shared" si="8"/>
        <v>24</v>
      </c>
      <c r="I108" s="4">
        <f t="shared" si="8"/>
        <v>19</v>
      </c>
      <c r="J108" s="4">
        <f t="shared" si="8"/>
        <v>1</v>
      </c>
      <c r="K108" s="4">
        <f t="shared" si="8"/>
        <v>25</v>
      </c>
      <c r="L108" s="4">
        <f t="shared" si="8"/>
        <v>20</v>
      </c>
      <c r="M108" s="4">
        <f t="shared" si="8"/>
        <v>18</v>
      </c>
      <c r="N108" s="4">
        <f t="shared" si="8"/>
        <v>20</v>
      </c>
      <c r="O108" s="4">
        <f t="shared" si="8"/>
        <v>5</v>
      </c>
      <c r="P108" s="4">
        <f t="shared" si="8"/>
        <v>28</v>
      </c>
      <c r="Q108" s="4">
        <f t="shared" si="8"/>
        <v>16</v>
      </c>
      <c r="R108" s="4">
        <f t="shared" si="8"/>
        <v>11</v>
      </c>
      <c r="S108" s="4">
        <f t="shared" si="8"/>
        <v>15</v>
      </c>
      <c r="T108" s="4">
        <f t="shared" si="8"/>
        <v>14</v>
      </c>
      <c r="U108" s="4">
        <f t="shared" si="8"/>
        <v>23</v>
      </c>
      <c r="V108" s="4">
        <f t="shared" si="8"/>
        <v>19</v>
      </c>
      <c r="W108" s="4">
        <f t="shared" si="8"/>
        <v>1</v>
      </c>
      <c r="X108" s="4">
        <f t="shared" si="8"/>
        <v>8</v>
      </c>
      <c r="Y108" s="4">
        <f t="shared" si="8"/>
        <v>10</v>
      </c>
      <c r="Z108" s="4">
        <f t="shared" si="8"/>
        <v>12</v>
      </c>
      <c r="AA108" s="4">
        <f t="shared" si="8"/>
        <v>14</v>
      </c>
      <c r="AB108" s="4">
        <f t="shared" si="8"/>
        <v>14</v>
      </c>
      <c r="AC108" s="4">
        <f t="shared" si="8"/>
        <v>12</v>
      </c>
      <c r="AD108" s="4">
        <f t="shared" si="8"/>
        <v>32</v>
      </c>
    </row>
    <row r="109" ht="15.75" customHeight="1"/>
    <row r="110" ht="15.75" customHeight="1">
      <c r="A110" s="4" t="s">
        <v>37</v>
      </c>
      <c r="B110" s="4">
        <f t="shared" ref="B110:AD110" si="9">B105/SUM(B105:B107)</f>
        <v>1</v>
      </c>
      <c r="C110" s="4">
        <f t="shared" si="9"/>
        <v>0.3333333333</v>
      </c>
      <c r="D110" s="4">
        <f t="shared" si="9"/>
        <v>0.3333333333</v>
      </c>
      <c r="E110" s="4">
        <f t="shared" si="9"/>
        <v>0.48</v>
      </c>
      <c r="F110" s="4">
        <f t="shared" si="9"/>
        <v>0.5238095238</v>
      </c>
      <c r="G110" s="4">
        <f t="shared" si="9"/>
        <v>0.5172413793</v>
      </c>
      <c r="H110" s="4">
        <f t="shared" si="9"/>
        <v>0.4166666667</v>
      </c>
      <c r="I110" s="4">
        <f t="shared" si="9"/>
        <v>0</v>
      </c>
      <c r="J110" s="4">
        <f t="shared" si="9"/>
        <v>1</v>
      </c>
      <c r="K110" s="4">
        <f t="shared" si="9"/>
        <v>0.44</v>
      </c>
      <c r="L110" s="4">
        <f t="shared" si="9"/>
        <v>0.6</v>
      </c>
      <c r="M110" s="4">
        <f t="shared" si="9"/>
        <v>0.4444444444</v>
      </c>
      <c r="N110" s="4">
        <f t="shared" si="9"/>
        <v>0.55</v>
      </c>
      <c r="O110" s="4">
        <f t="shared" si="9"/>
        <v>0.2</v>
      </c>
      <c r="P110" s="4">
        <f t="shared" si="9"/>
        <v>0.4285714286</v>
      </c>
      <c r="Q110" s="4">
        <f t="shared" si="9"/>
        <v>0.4375</v>
      </c>
      <c r="R110" s="4">
        <f t="shared" si="9"/>
        <v>0.8181818182</v>
      </c>
      <c r="S110" s="4">
        <f t="shared" si="9"/>
        <v>0</v>
      </c>
      <c r="T110" s="4">
        <f t="shared" si="9"/>
        <v>0</v>
      </c>
      <c r="U110" s="4">
        <f t="shared" si="9"/>
        <v>0.4347826087</v>
      </c>
      <c r="V110" s="4">
        <f t="shared" si="9"/>
        <v>0.5263157895</v>
      </c>
      <c r="W110" s="4">
        <f t="shared" si="9"/>
        <v>1</v>
      </c>
      <c r="X110" s="4">
        <f t="shared" si="9"/>
        <v>1</v>
      </c>
      <c r="Y110" s="4">
        <f t="shared" si="9"/>
        <v>0.1</v>
      </c>
      <c r="Z110" s="4">
        <f t="shared" si="9"/>
        <v>0</v>
      </c>
      <c r="AA110" s="4">
        <f t="shared" si="9"/>
        <v>0.7857142857</v>
      </c>
      <c r="AB110" s="4">
        <f t="shared" si="9"/>
        <v>0.3571428571</v>
      </c>
      <c r="AC110" s="4">
        <f t="shared" si="9"/>
        <v>0.25</v>
      </c>
      <c r="AD110" s="4">
        <f t="shared" si="9"/>
        <v>0.46875</v>
      </c>
    </row>
    <row r="111" ht="15.75" customHeight="1">
      <c r="B111" s="4">
        <f t="shared" ref="B111:AD111" si="10">B106/SUM(B105:B107)</f>
        <v>0</v>
      </c>
      <c r="C111" s="4">
        <f t="shared" si="10"/>
        <v>0</v>
      </c>
      <c r="D111" s="4">
        <f t="shared" si="10"/>
        <v>0.1666666667</v>
      </c>
      <c r="E111" s="4">
        <f t="shared" si="10"/>
        <v>0.08</v>
      </c>
      <c r="F111" s="4">
        <f t="shared" si="10"/>
        <v>0.3333333333</v>
      </c>
      <c r="G111" s="4">
        <f t="shared" si="10"/>
        <v>0.1034482759</v>
      </c>
      <c r="H111" s="4">
        <f t="shared" si="10"/>
        <v>0.4166666667</v>
      </c>
      <c r="I111" s="4">
        <f t="shared" si="10"/>
        <v>0.5263157895</v>
      </c>
      <c r="J111" s="4">
        <f t="shared" si="10"/>
        <v>0</v>
      </c>
      <c r="K111" s="4">
        <f t="shared" si="10"/>
        <v>0.36</v>
      </c>
      <c r="L111" s="4">
        <f t="shared" si="10"/>
        <v>0.2</v>
      </c>
      <c r="M111" s="4">
        <f t="shared" si="10"/>
        <v>0</v>
      </c>
      <c r="N111" s="4">
        <f t="shared" si="10"/>
        <v>0.4</v>
      </c>
      <c r="O111" s="4">
        <f t="shared" si="10"/>
        <v>0</v>
      </c>
      <c r="P111" s="4">
        <f t="shared" si="10"/>
        <v>0.3214285714</v>
      </c>
      <c r="Q111" s="4">
        <f t="shared" si="10"/>
        <v>0.1875</v>
      </c>
      <c r="R111" s="4">
        <f t="shared" si="10"/>
        <v>0.09090909091</v>
      </c>
      <c r="S111" s="4">
        <f t="shared" si="10"/>
        <v>0.2</v>
      </c>
      <c r="T111" s="4">
        <f t="shared" si="10"/>
        <v>0.2857142857</v>
      </c>
      <c r="U111" s="4">
        <f t="shared" si="10"/>
        <v>0.1739130435</v>
      </c>
      <c r="V111" s="4">
        <f t="shared" si="10"/>
        <v>0.1578947368</v>
      </c>
      <c r="W111" s="4">
        <f t="shared" si="10"/>
        <v>0</v>
      </c>
      <c r="X111" s="4">
        <f t="shared" si="10"/>
        <v>0</v>
      </c>
      <c r="Y111" s="4">
        <f t="shared" si="10"/>
        <v>0.6</v>
      </c>
      <c r="Z111" s="4">
        <f t="shared" si="10"/>
        <v>0.8333333333</v>
      </c>
      <c r="AA111" s="4">
        <f t="shared" si="10"/>
        <v>0</v>
      </c>
      <c r="AB111" s="4">
        <f t="shared" si="10"/>
        <v>0.6428571429</v>
      </c>
      <c r="AC111" s="4">
        <f t="shared" si="10"/>
        <v>0.3333333333</v>
      </c>
      <c r="AD111" s="4">
        <f t="shared" si="10"/>
        <v>0.40625</v>
      </c>
    </row>
    <row r="112" ht="15.75" customHeight="1">
      <c r="B112" s="4">
        <f t="shared" ref="B112:AD112" si="11">B107/SUM(B105:B107)</f>
        <v>0</v>
      </c>
      <c r="C112" s="4">
        <f t="shared" si="11"/>
        <v>0.6666666667</v>
      </c>
      <c r="D112" s="4">
        <f t="shared" si="11"/>
        <v>0.5</v>
      </c>
      <c r="E112" s="4">
        <f t="shared" si="11"/>
        <v>0.44</v>
      </c>
      <c r="F112" s="4">
        <f t="shared" si="11"/>
        <v>0.1428571429</v>
      </c>
      <c r="G112" s="4">
        <f t="shared" si="11"/>
        <v>0.3793103448</v>
      </c>
      <c r="H112" s="4">
        <f t="shared" si="11"/>
        <v>0.1666666667</v>
      </c>
      <c r="I112" s="4">
        <f t="shared" si="11"/>
        <v>0.4736842105</v>
      </c>
      <c r="J112" s="4">
        <f t="shared" si="11"/>
        <v>0</v>
      </c>
      <c r="K112" s="4">
        <f t="shared" si="11"/>
        <v>0.2</v>
      </c>
      <c r="L112" s="4">
        <f t="shared" si="11"/>
        <v>0.2</v>
      </c>
      <c r="M112" s="4">
        <f t="shared" si="11"/>
        <v>0.5555555556</v>
      </c>
      <c r="N112" s="4">
        <f t="shared" si="11"/>
        <v>0.05</v>
      </c>
      <c r="O112" s="4">
        <f t="shared" si="11"/>
        <v>0.8</v>
      </c>
      <c r="P112" s="4">
        <f t="shared" si="11"/>
        <v>0.25</v>
      </c>
      <c r="Q112" s="4">
        <f t="shared" si="11"/>
        <v>0.375</v>
      </c>
      <c r="R112" s="4">
        <f t="shared" si="11"/>
        <v>0.09090909091</v>
      </c>
      <c r="S112" s="4">
        <f t="shared" si="11"/>
        <v>0.8</v>
      </c>
      <c r="T112" s="4">
        <f t="shared" si="11"/>
        <v>0.7142857143</v>
      </c>
      <c r="U112" s="4">
        <f t="shared" si="11"/>
        <v>0.3913043478</v>
      </c>
      <c r="V112" s="4">
        <f t="shared" si="11"/>
        <v>0.3157894737</v>
      </c>
      <c r="W112" s="4">
        <f t="shared" si="11"/>
        <v>0</v>
      </c>
      <c r="X112" s="4">
        <f t="shared" si="11"/>
        <v>0</v>
      </c>
      <c r="Y112" s="4">
        <f t="shared" si="11"/>
        <v>0.3</v>
      </c>
      <c r="Z112" s="4">
        <f t="shared" si="11"/>
        <v>0.1666666667</v>
      </c>
      <c r="AA112" s="4">
        <f t="shared" si="11"/>
        <v>0.2142857143</v>
      </c>
      <c r="AB112" s="4">
        <f t="shared" si="11"/>
        <v>0</v>
      </c>
      <c r="AC112" s="4">
        <f t="shared" si="11"/>
        <v>0.4166666667</v>
      </c>
      <c r="AD112" s="4">
        <f t="shared" si="11"/>
        <v>0.125</v>
      </c>
    </row>
    <row r="113" ht="15.75" customHeight="1"/>
    <row r="114" ht="15.75" customHeight="1">
      <c r="B114" s="4">
        <v>0.0</v>
      </c>
      <c r="C114" s="4">
        <v>0.0</v>
      </c>
      <c r="D114" s="4">
        <v>2.0</v>
      </c>
      <c r="E114" s="4">
        <v>2.0</v>
      </c>
      <c r="F114" s="4">
        <v>7.0</v>
      </c>
      <c r="G114" s="4">
        <v>3.0</v>
      </c>
      <c r="H114" s="4">
        <v>10.0</v>
      </c>
      <c r="I114" s="4">
        <v>10.0</v>
      </c>
      <c r="J114" s="4">
        <v>0.0</v>
      </c>
      <c r="K114" s="4">
        <v>9.0</v>
      </c>
      <c r="L114" s="4">
        <v>4.0</v>
      </c>
      <c r="M114" s="4">
        <v>0.0</v>
      </c>
      <c r="N114" s="4">
        <v>8.0</v>
      </c>
      <c r="O114" s="4">
        <v>0.0</v>
      </c>
      <c r="P114" s="4">
        <v>9.0</v>
      </c>
      <c r="Q114" s="4">
        <v>3.0</v>
      </c>
      <c r="R114" s="4">
        <v>1.0</v>
      </c>
      <c r="S114" s="4">
        <v>3.0</v>
      </c>
      <c r="T114" s="4">
        <v>4.0</v>
      </c>
      <c r="U114" s="4">
        <v>4.0</v>
      </c>
      <c r="V114" s="4">
        <v>3.0</v>
      </c>
      <c r="W114" s="4">
        <v>0.0</v>
      </c>
      <c r="X114" s="4">
        <v>0.0</v>
      </c>
      <c r="Y114" s="4">
        <v>6.0</v>
      </c>
      <c r="Z114" s="4">
        <v>10.0</v>
      </c>
      <c r="AA114" s="4">
        <v>0.0</v>
      </c>
      <c r="AB114" s="4">
        <v>9.0</v>
      </c>
      <c r="AC114" s="4">
        <v>4.0</v>
      </c>
      <c r="AD114" s="4">
        <v>13.0</v>
      </c>
    </row>
    <row r="115" ht="15.75" customHeight="1">
      <c r="B115" s="4">
        <v>0.0</v>
      </c>
    </row>
    <row r="116" ht="15.75" customHeight="1">
      <c r="B116" s="4">
        <v>0.0</v>
      </c>
    </row>
    <row r="117" ht="15.75" customHeight="1">
      <c r="B117" s="4">
        <v>2.0</v>
      </c>
    </row>
    <row r="118" ht="15.75" customHeight="1">
      <c r="B118" s="4">
        <v>2.0</v>
      </c>
    </row>
    <row r="119" ht="15.75" customHeight="1">
      <c r="B119" s="4">
        <v>7.0</v>
      </c>
    </row>
    <row r="120" ht="15.75" customHeight="1">
      <c r="B120" s="4">
        <v>3.0</v>
      </c>
    </row>
    <row r="121" ht="15.75" customHeight="1">
      <c r="B121" s="4">
        <v>10.0</v>
      </c>
    </row>
    <row r="122" ht="15.75" customHeight="1">
      <c r="B122" s="4">
        <v>10.0</v>
      </c>
    </row>
    <row r="123" ht="15.75" customHeight="1">
      <c r="B123" s="4">
        <v>0.0</v>
      </c>
    </row>
    <row r="124" ht="15.75" customHeight="1">
      <c r="B124" s="4">
        <v>9.0</v>
      </c>
    </row>
    <row r="125" ht="15.75" customHeight="1">
      <c r="B125" s="4">
        <v>4.0</v>
      </c>
    </row>
    <row r="126" ht="15.75" customHeight="1">
      <c r="B126" s="4">
        <v>0.0</v>
      </c>
    </row>
    <row r="127" ht="15.75" customHeight="1">
      <c r="B127" s="4">
        <v>8.0</v>
      </c>
    </row>
    <row r="128" ht="15.75" customHeight="1">
      <c r="B128" s="4">
        <v>0.0</v>
      </c>
    </row>
    <row r="129" ht="15.75" customHeight="1">
      <c r="B129" s="4">
        <v>9.0</v>
      </c>
    </row>
    <row r="130" ht="15.75" customHeight="1">
      <c r="B130" s="4">
        <v>3.0</v>
      </c>
    </row>
    <row r="131" ht="15.75" customHeight="1">
      <c r="B131" s="4">
        <v>1.0</v>
      </c>
    </row>
    <row r="132" ht="15.75" customHeight="1">
      <c r="B132" s="4">
        <v>3.0</v>
      </c>
    </row>
    <row r="133" ht="15.75" customHeight="1">
      <c r="B133" s="4">
        <v>4.0</v>
      </c>
    </row>
    <row r="134" ht="15.75" customHeight="1">
      <c r="B134" s="4">
        <v>4.0</v>
      </c>
    </row>
    <row r="135" ht="15.75" customHeight="1">
      <c r="B135" s="4">
        <v>3.0</v>
      </c>
    </row>
    <row r="136" ht="15.75" customHeight="1">
      <c r="B136" s="4">
        <v>0.0</v>
      </c>
    </row>
    <row r="137" ht="15.75" customHeight="1">
      <c r="B137" s="4">
        <v>0.0</v>
      </c>
    </row>
    <row r="138" ht="15.75" customHeight="1">
      <c r="B138" s="4">
        <v>6.0</v>
      </c>
    </row>
    <row r="139" ht="15.75" customHeight="1">
      <c r="B139" s="4">
        <v>10.0</v>
      </c>
    </row>
    <row r="140" ht="15.75" customHeight="1">
      <c r="B140" s="4">
        <v>0.0</v>
      </c>
    </row>
    <row r="141" ht="15.75" customHeight="1">
      <c r="B141" s="4">
        <v>9.0</v>
      </c>
    </row>
    <row r="142" ht="15.75" customHeight="1">
      <c r="B142" s="4">
        <v>4.0</v>
      </c>
    </row>
    <row r="143" ht="15.75" customHeight="1">
      <c r="B143" s="4">
        <v>13.0</v>
      </c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5.71"/>
    <col customWidth="1" min="3" max="9" width="5.14"/>
    <col customWidth="1" min="10" max="10" width="5.71"/>
    <col customWidth="1" min="11" max="21" width="5.14"/>
    <col customWidth="1" min="22" max="22" width="5.71"/>
    <col customWidth="1" min="23" max="23" width="5.14"/>
    <col customWidth="1" min="24" max="24" width="5.71"/>
    <col customWidth="1" min="25" max="25" width="5.57"/>
    <col customWidth="1" min="26" max="31" width="5.14"/>
  </cols>
  <sheetData>
    <row r="1">
      <c r="A1" s="4" t="s">
        <v>22</v>
      </c>
      <c r="B1" s="4">
        <v>1972.0</v>
      </c>
      <c r="C1" s="4">
        <v>1973.0</v>
      </c>
      <c r="D1" s="4">
        <v>1977.0</v>
      </c>
      <c r="E1" s="4">
        <v>1982.0</v>
      </c>
      <c r="F1" s="4">
        <v>1983.0</v>
      </c>
      <c r="G1" s="4">
        <v>1984.0</v>
      </c>
      <c r="H1" s="4">
        <v>1987.0</v>
      </c>
      <c r="I1" s="4">
        <v>1991.0</v>
      </c>
      <c r="J1" s="4">
        <v>1992.0</v>
      </c>
      <c r="K1" s="4">
        <v>1993.0</v>
      </c>
      <c r="L1" s="4">
        <v>1994.0</v>
      </c>
      <c r="M1" s="4">
        <v>1995.0</v>
      </c>
      <c r="N1" s="4">
        <v>1996.0</v>
      </c>
      <c r="O1" s="4">
        <v>1997.0</v>
      </c>
      <c r="P1" s="4">
        <v>1998.0</v>
      </c>
      <c r="Q1" s="4">
        <v>2002.0</v>
      </c>
      <c r="R1" s="4">
        <v>2004.0</v>
      </c>
      <c r="S1" s="4">
        <v>2005.0</v>
      </c>
      <c r="T1" s="4">
        <v>2006.0</v>
      </c>
      <c r="U1" s="4">
        <v>2007.0</v>
      </c>
      <c r="V1" s="4">
        <v>2008.0</v>
      </c>
      <c r="W1" s="4">
        <v>2009.0</v>
      </c>
      <c r="X1" s="4">
        <v>2010.0</v>
      </c>
      <c r="Y1" s="4">
        <v>2011.0</v>
      </c>
      <c r="Z1" s="4">
        <v>2012.0</v>
      </c>
      <c r="AA1" s="4">
        <v>2013.0</v>
      </c>
      <c r="AB1" s="4">
        <v>2014.0</v>
      </c>
      <c r="AC1" s="4">
        <v>2015.0</v>
      </c>
      <c r="AD1" s="4">
        <v>2016.0</v>
      </c>
      <c r="AE1" s="4">
        <v>2017.0</v>
      </c>
    </row>
    <row r="2">
      <c r="A2" s="23">
        <v>37043.0</v>
      </c>
      <c r="B2" s="4">
        <v>1.0</v>
      </c>
      <c r="C2" s="4">
        <v>0.0</v>
      </c>
      <c r="D2" s="4">
        <v>1.0</v>
      </c>
      <c r="E2" s="4">
        <v>0.0</v>
      </c>
      <c r="F2" s="4">
        <v>0.0</v>
      </c>
      <c r="G2" s="4">
        <v>0.0</v>
      </c>
      <c r="H2" s="4">
        <v>0.0</v>
      </c>
      <c r="I2" s="4">
        <v>1.0</v>
      </c>
      <c r="J2" s="4">
        <v>0.0</v>
      </c>
      <c r="K2" s="4">
        <v>0.0</v>
      </c>
      <c r="L2" s="4">
        <v>1.0</v>
      </c>
      <c r="M2" s="4">
        <v>0.0</v>
      </c>
      <c r="N2" s="4">
        <v>0.0</v>
      </c>
      <c r="O2" s="4">
        <v>1.0</v>
      </c>
      <c r="P2" s="4">
        <v>0.0</v>
      </c>
      <c r="Q2" s="4">
        <v>0.0</v>
      </c>
      <c r="R2" s="4">
        <v>0.0</v>
      </c>
      <c r="S2" s="4">
        <v>0.0</v>
      </c>
      <c r="T2" s="4">
        <v>0.0</v>
      </c>
      <c r="U2" s="4">
        <v>0.0</v>
      </c>
      <c r="V2" s="4">
        <v>1.0</v>
      </c>
      <c r="W2" s="4">
        <v>0.0</v>
      </c>
      <c r="X2" s="4">
        <v>1.0</v>
      </c>
      <c r="Y2" s="4">
        <v>0.0</v>
      </c>
      <c r="Z2" s="4">
        <v>0.0</v>
      </c>
      <c r="AA2" s="4">
        <v>0.0</v>
      </c>
      <c r="AB2" s="4">
        <v>0.0</v>
      </c>
      <c r="AC2" s="4">
        <v>0.0</v>
      </c>
      <c r="AD2" s="4">
        <v>0.0</v>
      </c>
      <c r="AE2" s="4">
        <v>1.0</v>
      </c>
    </row>
    <row r="3">
      <c r="A3" s="4">
        <v>2.0</v>
      </c>
      <c r="B3" s="4">
        <v>1.0</v>
      </c>
      <c r="C3" s="4">
        <v>0.0</v>
      </c>
      <c r="D3" s="4">
        <v>1.0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1.0</v>
      </c>
      <c r="M3" s="4">
        <v>0.0</v>
      </c>
      <c r="N3" s="4">
        <v>0.0</v>
      </c>
      <c r="O3" s="4">
        <v>1.0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4">
        <v>0.0</v>
      </c>
      <c r="V3" s="4">
        <v>0.0</v>
      </c>
      <c r="W3" s="4">
        <v>1.0</v>
      </c>
      <c r="X3" s="4">
        <v>0.0</v>
      </c>
      <c r="Y3" s="4">
        <v>0.0</v>
      </c>
      <c r="Z3" s="4">
        <v>1.0</v>
      </c>
      <c r="AA3" s="4">
        <v>0.0</v>
      </c>
      <c r="AB3" s="4">
        <v>0.0</v>
      </c>
      <c r="AC3" s="4">
        <v>0.0</v>
      </c>
      <c r="AD3" s="4">
        <v>1.0</v>
      </c>
      <c r="AE3" s="4">
        <v>1.0</v>
      </c>
    </row>
    <row r="4">
      <c r="A4" s="4">
        <v>3.0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1.0</v>
      </c>
      <c r="J4" s="4">
        <v>0.0</v>
      </c>
      <c r="K4" s="4">
        <v>0.0</v>
      </c>
      <c r="L4" s="4">
        <v>1.0</v>
      </c>
      <c r="M4" s="4">
        <v>0.0</v>
      </c>
      <c r="N4" s="4">
        <v>0.0</v>
      </c>
      <c r="O4" s="4">
        <v>1.0</v>
      </c>
      <c r="P4" s="4">
        <v>0.0</v>
      </c>
      <c r="Q4" s="4">
        <v>0.0</v>
      </c>
      <c r="R4" s="4">
        <v>0.0</v>
      </c>
      <c r="S4" s="4">
        <v>0.0</v>
      </c>
      <c r="T4" s="4">
        <v>1.0</v>
      </c>
      <c r="U4" s="4">
        <v>0.0</v>
      </c>
      <c r="V4" s="4">
        <v>1.0</v>
      </c>
      <c r="W4" s="4">
        <v>1.0</v>
      </c>
      <c r="X4" s="4">
        <v>0.0</v>
      </c>
      <c r="Y4" s="4">
        <v>0.0</v>
      </c>
      <c r="Z4" s="4">
        <v>1.0</v>
      </c>
      <c r="AA4" s="4">
        <v>0.0</v>
      </c>
      <c r="AB4" s="4">
        <v>0.0</v>
      </c>
      <c r="AC4" s="4">
        <v>0.0</v>
      </c>
      <c r="AD4" s="4">
        <v>1.0</v>
      </c>
      <c r="AE4" s="4">
        <v>0.0</v>
      </c>
    </row>
    <row r="5">
      <c r="A5" s="4">
        <v>4.0</v>
      </c>
      <c r="B5" s="4">
        <v>0.0</v>
      </c>
      <c r="C5" s="4">
        <v>0.0</v>
      </c>
      <c r="D5" s="4">
        <v>1.0</v>
      </c>
      <c r="E5" s="4">
        <v>0.0</v>
      </c>
      <c r="F5" s="4">
        <v>1.0</v>
      </c>
      <c r="G5" s="4">
        <v>0.0</v>
      </c>
      <c r="H5" s="4">
        <v>0.0</v>
      </c>
      <c r="I5" s="4">
        <v>0.0</v>
      </c>
      <c r="J5" s="4">
        <v>0.0</v>
      </c>
      <c r="K5" s="4">
        <v>1.0</v>
      </c>
      <c r="L5" s="4">
        <v>1.0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1.0</v>
      </c>
      <c r="U5" s="4">
        <v>0.0</v>
      </c>
      <c r="V5" s="4">
        <v>0.0</v>
      </c>
      <c r="W5" s="4">
        <v>1.0</v>
      </c>
      <c r="X5" s="4">
        <v>0.0</v>
      </c>
      <c r="Y5" s="4">
        <v>0.0</v>
      </c>
      <c r="Z5" s="4">
        <v>1.0</v>
      </c>
      <c r="AA5" s="4">
        <v>0.0</v>
      </c>
      <c r="AB5" s="4">
        <v>0.0</v>
      </c>
      <c r="AC5" s="4">
        <v>0.0</v>
      </c>
      <c r="AD5" s="4">
        <v>1.0</v>
      </c>
      <c r="AE5" s="4">
        <v>0.0</v>
      </c>
    </row>
    <row r="6">
      <c r="A6" s="4">
        <v>5.0</v>
      </c>
      <c r="B6" s="4">
        <v>0.0</v>
      </c>
      <c r="C6" s="4">
        <v>0.0</v>
      </c>
      <c r="D6" s="4">
        <v>0.0</v>
      </c>
      <c r="E6" s="4">
        <v>1.0</v>
      </c>
      <c r="F6" s="4">
        <v>1.0</v>
      </c>
      <c r="G6" s="4">
        <v>0.0</v>
      </c>
      <c r="H6" s="4">
        <v>0.0</v>
      </c>
      <c r="I6" s="4">
        <v>0.0</v>
      </c>
      <c r="J6" s="4">
        <v>0.0</v>
      </c>
      <c r="K6" s="4">
        <v>1.0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1.0</v>
      </c>
      <c r="U6" s="4">
        <v>0.0</v>
      </c>
      <c r="V6" s="4">
        <v>0.0</v>
      </c>
      <c r="W6" s="4">
        <v>1.0</v>
      </c>
      <c r="X6" s="4">
        <v>1.0</v>
      </c>
      <c r="Y6" s="4">
        <v>0.0</v>
      </c>
      <c r="Z6" s="4">
        <v>1.0</v>
      </c>
      <c r="AA6" s="4">
        <v>0.0</v>
      </c>
      <c r="AB6" s="4">
        <v>0.0</v>
      </c>
      <c r="AC6" s="4">
        <v>0.0</v>
      </c>
      <c r="AD6" s="4">
        <v>1.0</v>
      </c>
      <c r="AE6" s="4">
        <v>0.0</v>
      </c>
    </row>
    <row r="7">
      <c r="A7" s="4">
        <v>6.0</v>
      </c>
      <c r="B7" s="4">
        <v>0.0</v>
      </c>
      <c r="C7" s="4">
        <v>0.0</v>
      </c>
      <c r="D7" s="4">
        <v>0.0</v>
      </c>
      <c r="E7" s="4">
        <v>1.0</v>
      </c>
      <c r="F7" s="4">
        <v>1.0</v>
      </c>
      <c r="G7" s="4">
        <v>1.0</v>
      </c>
      <c r="H7" s="4">
        <v>0.0</v>
      </c>
      <c r="I7" s="4">
        <v>0.0</v>
      </c>
      <c r="J7" s="4">
        <v>1.0</v>
      </c>
      <c r="K7" s="4">
        <v>1.0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1.0</v>
      </c>
      <c r="U7" s="4">
        <v>1.0</v>
      </c>
      <c r="V7" s="4">
        <v>0.0</v>
      </c>
      <c r="W7" s="4">
        <v>1.0</v>
      </c>
      <c r="X7" s="4">
        <v>0.0</v>
      </c>
      <c r="Y7" s="4">
        <v>0.0</v>
      </c>
      <c r="Z7" s="4">
        <v>1.0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</row>
    <row r="8">
      <c r="A8" s="4">
        <v>7.0</v>
      </c>
      <c r="B8" s="4">
        <v>0.0</v>
      </c>
      <c r="C8" s="4">
        <v>0.0</v>
      </c>
      <c r="D8" s="4">
        <v>0.0</v>
      </c>
      <c r="E8" s="4">
        <v>1.0</v>
      </c>
      <c r="F8" s="4">
        <v>1.0</v>
      </c>
      <c r="G8" s="4">
        <v>1.0</v>
      </c>
      <c r="H8" s="4">
        <v>0.0</v>
      </c>
      <c r="I8" s="4">
        <v>0.0</v>
      </c>
      <c r="J8" s="4">
        <v>0.0</v>
      </c>
      <c r="K8" s="4">
        <v>1.0</v>
      </c>
      <c r="L8" s="4">
        <v>1.0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1.0</v>
      </c>
      <c r="V8" s="4">
        <v>0.0</v>
      </c>
      <c r="W8" s="4">
        <v>1.0</v>
      </c>
      <c r="X8" s="4">
        <v>1.0</v>
      </c>
      <c r="Y8" s="4">
        <v>0.0</v>
      </c>
      <c r="Z8" s="4">
        <v>1.0</v>
      </c>
      <c r="AA8" s="4">
        <v>1.0</v>
      </c>
      <c r="AB8" s="4">
        <v>0.0</v>
      </c>
      <c r="AC8" s="4">
        <v>0.0</v>
      </c>
      <c r="AD8" s="4">
        <v>1.0</v>
      </c>
      <c r="AE8" s="4">
        <v>0.0</v>
      </c>
    </row>
    <row r="9">
      <c r="A9" s="4">
        <v>8.0</v>
      </c>
      <c r="B9" s="4">
        <v>0.0</v>
      </c>
      <c r="C9" s="4">
        <v>0.0</v>
      </c>
      <c r="D9" s="4">
        <v>0.0</v>
      </c>
      <c r="E9" s="4">
        <v>1.0</v>
      </c>
      <c r="F9" s="4">
        <v>1.0</v>
      </c>
      <c r="G9" s="4">
        <v>1.0</v>
      </c>
      <c r="H9" s="4">
        <v>0.0</v>
      </c>
      <c r="I9" s="4">
        <v>0.0</v>
      </c>
      <c r="J9" s="4">
        <v>1.0</v>
      </c>
      <c r="K9" s="4">
        <v>1.0</v>
      </c>
      <c r="L9" s="4">
        <v>1.0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4">
        <v>0.0</v>
      </c>
      <c r="V9" s="4">
        <v>0.0</v>
      </c>
      <c r="W9" s="4">
        <v>1.0</v>
      </c>
      <c r="X9" s="4">
        <v>1.0</v>
      </c>
      <c r="Y9" s="4">
        <v>0.0</v>
      </c>
      <c r="Z9" s="4">
        <v>1.0</v>
      </c>
      <c r="AA9" s="4">
        <v>0.0</v>
      </c>
      <c r="AB9" s="4">
        <v>0.0</v>
      </c>
      <c r="AC9" s="4">
        <v>0.0</v>
      </c>
      <c r="AD9" s="4">
        <v>1.0</v>
      </c>
      <c r="AE9" s="4">
        <v>0.0</v>
      </c>
    </row>
    <row r="10">
      <c r="A10" s="4">
        <v>9.0</v>
      </c>
      <c r="B10" s="4">
        <v>0.0</v>
      </c>
      <c r="C10" s="4">
        <v>0.0</v>
      </c>
      <c r="D10" s="4">
        <v>0.0</v>
      </c>
      <c r="E10" s="4">
        <v>1.0</v>
      </c>
      <c r="F10" s="4">
        <v>1.0</v>
      </c>
      <c r="G10" s="4">
        <v>1.0</v>
      </c>
      <c r="H10" s="4">
        <v>0.0</v>
      </c>
      <c r="I10" s="4">
        <v>0.0</v>
      </c>
      <c r="J10" s="4">
        <v>1.0</v>
      </c>
      <c r="K10" s="4">
        <v>0.0</v>
      </c>
      <c r="L10" s="4">
        <v>1.0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1.0</v>
      </c>
      <c r="S10" s="4">
        <v>0.0</v>
      </c>
      <c r="T10" s="4">
        <v>0.0</v>
      </c>
      <c r="U10" s="4">
        <v>0.0</v>
      </c>
      <c r="V10" s="4">
        <v>0.0</v>
      </c>
      <c r="W10" s="4">
        <v>1.0</v>
      </c>
      <c r="X10" s="4">
        <v>0.0</v>
      </c>
      <c r="Y10" s="4">
        <v>0.0</v>
      </c>
      <c r="Z10" s="4">
        <v>1.0</v>
      </c>
      <c r="AA10" s="4">
        <v>0.0</v>
      </c>
      <c r="AB10" s="4">
        <v>1.0</v>
      </c>
      <c r="AC10" s="4">
        <v>0.0</v>
      </c>
      <c r="AD10" s="4">
        <v>1.0</v>
      </c>
      <c r="AE10" s="4">
        <v>0.0</v>
      </c>
    </row>
    <row r="11">
      <c r="A11" s="4">
        <v>10.0</v>
      </c>
      <c r="B11" s="4">
        <v>0.0</v>
      </c>
      <c r="C11" s="4">
        <v>0.0</v>
      </c>
      <c r="D11" s="4">
        <v>1.0</v>
      </c>
      <c r="E11" s="4">
        <v>1.0</v>
      </c>
      <c r="F11" s="4">
        <v>0.0</v>
      </c>
      <c r="G11" s="4">
        <v>1.0</v>
      </c>
      <c r="H11" s="4">
        <v>0.0</v>
      </c>
      <c r="I11" s="4">
        <v>0.0</v>
      </c>
      <c r="J11" s="4">
        <v>0.0</v>
      </c>
      <c r="K11" s="4">
        <v>1.0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>
        <v>0.0</v>
      </c>
      <c r="W11" s="4">
        <v>1.0</v>
      </c>
      <c r="X11" s="4">
        <v>1.0</v>
      </c>
      <c r="Y11" s="4">
        <v>0.0</v>
      </c>
      <c r="Z11" s="4">
        <v>1.0</v>
      </c>
      <c r="AA11" s="4">
        <v>0.0</v>
      </c>
      <c r="AB11" s="4">
        <v>1.0</v>
      </c>
      <c r="AC11" s="4">
        <v>0.0</v>
      </c>
      <c r="AD11" s="4">
        <v>0.0</v>
      </c>
      <c r="AE11" s="4">
        <v>0.0</v>
      </c>
    </row>
    <row r="12">
      <c r="A12" s="4">
        <v>11.0</v>
      </c>
      <c r="B12" s="4">
        <v>0.0</v>
      </c>
      <c r="C12" s="4">
        <v>0.0</v>
      </c>
      <c r="D12" s="4">
        <v>0.0</v>
      </c>
      <c r="E12" s="4">
        <v>1.0</v>
      </c>
      <c r="F12" s="4">
        <v>0.0</v>
      </c>
      <c r="G12" s="4">
        <v>1.0</v>
      </c>
      <c r="H12" s="4">
        <v>0.0</v>
      </c>
      <c r="I12" s="4">
        <v>0.0</v>
      </c>
      <c r="J12" s="4">
        <v>0.0</v>
      </c>
      <c r="K12" s="4">
        <v>1.0</v>
      </c>
      <c r="L12" s="4">
        <v>1.0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1.0</v>
      </c>
      <c r="Y12" s="4">
        <v>0.0</v>
      </c>
      <c r="Z12" s="4">
        <v>1.0</v>
      </c>
      <c r="AA12" s="4">
        <v>0.0</v>
      </c>
      <c r="AB12" s="4">
        <v>1.0</v>
      </c>
      <c r="AC12" s="4">
        <v>0.0</v>
      </c>
      <c r="AD12" s="4">
        <v>1.0</v>
      </c>
      <c r="AE12" s="4">
        <v>1.0</v>
      </c>
    </row>
    <row r="13">
      <c r="A13" s="4">
        <v>12.0</v>
      </c>
      <c r="B13" s="4">
        <v>0.0</v>
      </c>
      <c r="C13" s="4">
        <v>0.0</v>
      </c>
      <c r="D13" s="4">
        <v>0.0</v>
      </c>
      <c r="E13" s="4">
        <v>1.0</v>
      </c>
      <c r="F13" s="4">
        <v>1.0</v>
      </c>
      <c r="G13" s="4">
        <v>1.0</v>
      </c>
      <c r="H13" s="4">
        <v>0.0</v>
      </c>
      <c r="I13" s="4">
        <v>1.0</v>
      </c>
      <c r="J13" s="4">
        <v>0.0</v>
      </c>
      <c r="K13" s="4">
        <v>0.0</v>
      </c>
      <c r="L13" s="4">
        <v>1.0</v>
      </c>
      <c r="M13" s="4">
        <v>0.0</v>
      </c>
      <c r="N13" s="4">
        <v>1.0</v>
      </c>
      <c r="O13" s="4">
        <v>0.0</v>
      </c>
      <c r="P13" s="4">
        <v>0.0</v>
      </c>
      <c r="Q13" s="4">
        <v>0.0</v>
      </c>
      <c r="R13" s="4">
        <v>1.0</v>
      </c>
      <c r="S13" s="4">
        <v>0.0</v>
      </c>
      <c r="T13" s="4">
        <v>0.0</v>
      </c>
      <c r="U13" s="4">
        <v>0.0</v>
      </c>
      <c r="V13" s="4">
        <v>0.0</v>
      </c>
      <c r="W13" s="4">
        <v>0.0</v>
      </c>
      <c r="X13" s="4">
        <v>1.0</v>
      </c>
      <c r="Y13" s="4">
        <v>0.0</v>
      </c>
      <c r="Z13" s="4">
        <v>1.0</v>
      </c>
      <c r="AA13" s="4">
        <v>0.0</v>
      </c>
      <c r="AB13" s="4">
        <v>1.0</v>
      </c>
      <c r="AC13" s="4">
        <v>0.0</v>
      </c>
      <c r="AD13" s="4">
        <v>1.0</v>
      </c>
      <c r="AE13" s="4">
        <v>1.0</v>
      </c>
    </row>
    <row r="14">
      <c r="A14" s="4">
        <v>13.0</v>
      </c>
      <c r="B14" s="4">
        <v>0.0</v>
      </c>
      <c r="C14" s="4">
        <v>0.0</v>
      </c>
      <c r="D14" s="4">
        <v>0.0</v>
      </c>
      <c r="E14" s="4">
        <v>1.0</v>
      </c>
      <c r="F14" s="4">
        <v>0.0</v>
      </c>
      <c r="G14" s="4">
        <v>1.0</v>
      </c>
      <c r="H14" s="4">
        <v>0.0</v>
      </c>
      <c r="I14" s="4">
        <v>1.0</v>
      </c>
      <c r="J14" s="4">
        <v>0.0</v>
      </c>
      <c r="K14" s="4">
        <v>0.0</v>
      </c>
      <c r="L14" s="4">
        <v>1.0</v>
      </c>
      <c r="M14" s="4">
        <v>0.0</v>
      </c>
      <c r="N14" s="4">
        <v>1.0</v>
      </c>
      <c r="O14" s="4">
        <v>1.0</v>
      </c>
      <c r="P14" s="4">
        <v>0.0</v>
      </c>
      <c r="Q14" s="4">
        <v>1.0</v>
      </c>
      <c r="R14" s="4">
        <v>1.0</v>
      </c>
      <c r="S14" s="4">
        <v>1.0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1.0</v>
      </c>
      <c r="AC14" s="4">
        <v>0.0</v>
      </c>
      <c r="AD14" s="4">
        <v>0.0</v>
      </c>
      <c r="AE14" s="4">
        <v>1.0</v>
      </c>
    </row>
    <row r="15">
      <c r="A15" s="4">
        <v>14.0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1.0</v>
      </c>
      <c r="H15" s="4">
        <v>0.0</v>
      </c>
      <c r="I15" s="4">
        <v>1.0</v>
      </c>
      <c r="J15" s="4">
        <v>0.0</v>
      </c>
      <c r="K15" s="4">
        <v>0.0</v>
      </c>
      <c r="L15" s="4">
        <v>0.0</v>
      </c>
      <c r="M15" s="4">
        <v>0.0</v>
      </c>
      <c r="N15" s="4">
        <v>1.0</v>
      </c>
      <c r="O15" s="4">
        <v>1.0</v>
      </c>
      <c r="P15" s="4">
        <v>0.0</v>
      </c>
      <c r="Q15" s="4">
        <v>1.0</v>
      </c>
      <c r="R15" s="4">
        <v>1.0</v>
      </c>
      <c r="S15" s="4">
        <v>1.0</v>
      </c>
      <c r="T15" s="4">
        <v>0.0</v>
      </c>
      <c r="U15" s="4">
        <v>0.0</v>
      </c>
      <c r="V15" s="4">
        <v>0.0</v>
      </c>
      <c r="W15" s="4">
        <v>0.0</v>
      </c>
      <c r="X15" s="4">
        <v>1.0</v>
      </c>
      <c r="Y15" s="4">
        <v>1.0</v>
      </c>
      <c r="Z15" s="4">
        <v>0.0</v>
      </c>
      <c r="AA15" s="4">
        <v>0.0</v>
      </c>
      <c r="AB15" s="4">
        <v>1.0</v>
      </c>
      <c r="AC15" s="4">
        <v>0.0</v>
      </c>
      <c r="AD15" s="4">
        <v>0.0</v>
      </c>
      <c r="AE15" s="4">
        <v>1.0</v>
      </c>
    </row>
    <row r="16">
      <c r="A16" s="4">
        <v>15.0</v>
      </c>
      <c r="B16" s="4">
        <v>1.0</v>
      </c>
      <c r="C16" s="4">
        <v>0.0</v>
      </c>
      <c r="D16" s="4">
        <v>0.0</v>
      </c>
      <c r="E16" s="4">
        <v>1.0</v>
      </c>
      <c r="F16" s="4">
        <v>1.0</v>
      </c>
      <c r="G16" s="4">
        <v>1.0</v>
      </c>
      <c r="H16" s="4">
        <v>0.0</v>
      </c>
      <c r="I16" s="4">
        <v>0.0</v>
      </c>
      <c r="J16" s="4">
        <v>0.0</v>
      </c>
      <c r="K16" s="4">
        <v>1.0</v>
      </c>
      <c r="L16" s="4">
        <v>1.0</v>
      </c>
      <c r="M16" s="4">
        <v>1.0</v>
      </c>
      <c r="N16" s="4">
        <v>1.0</v>
      </c>
      <c r="O16" s="4">
        <v>0.0</v>
      </c>
      <c r="P16" s="4">
        <v>0.0</v>
      </c>
      <c r="Q16" s="4">
        <v>1.0</v>
      </c>
      <c r="R16" s="4">
        <v>1.0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1.0</v>
      </c>
      <c r="Y16" s="4">
        <v>1.0</v>
      </c>
      <c r="Z16" s="4">
        <v>0.0</v>
      </c>
      <c r="AA16" s="4">
        <v>0.0</v>
      </c>
      <c r="AB16" s="4">
        <v>1.0</v>
      </c>
      <c r="AC16" s="4">
        <v>0.0</v>
      </c>
      <c r="AD16" s="4">
        <v>0.0</v>
      </c>
      <c r="AE16" s="4">
        <v>1.0</v>
      </c>
    </row>
    <row r="17">
      <c r="A17" s="4">
        <v>16.0</v>
      </c>
      <c r="B17" s="4">
        <v>1.0</v>
      </c>
      <c r="C17" s="4">
        <v>1.0</v>
      </c>
      <c r="D17" s="4">
        <v>0.0</v>
      </c>
      <c r="E17" s="4">
        <v>1.0</v>
      </c>
      <c r="F17" s="4">
        <v>0.0</v>
      </c>
      <c r="G17" s="4">
        <v>1.0</v>
      </c>
      <c r="H17" s="4">
        <v>0.0</v>
      </c>
      <c r="I17" s="4">
        <v>0.0</v>
      </c>
      <c r="J17" s="4">
        <v>0.0</v>
      </c>
      <c r="K17" s="4">
        <v>0.0</v>
      </c>
      <c r="L17" s="4">
        <v>1.0</v>
      </c>
      <c r="M17" s="4">
        <v>1.0</v>
      </c>
      <c r="N17" s="4">
        <v>1.0</v>
      </c>
      <c r="O17" s="4">
        <v>0.0</v>
      </c>
      <c r="P17" s="4">
        <v>0.0</v>
      </c>
      <c r="Q17" s="4">
        <v>0.0</v>
      </c>
      <c r="R17" s="4">
        <v>1.0</v>
      </c>
      <c r="S17" s="4">
        <v>0.0</v>
      </c>
      <c r="T17" s="4">
        <v>0.0</v>
      </c>
      <c r="U17" s="4">
        <v>0.0</v>
      </c>
      <c r="V17" s="4">
        <v>0.0</v>
      </c>
      <c r="W17" s="4">
        <v>1.0</v>
      </c>
      <c r="X17" s="4">
        <v>0.0</v>
      </c>
      <c r="Y17" s="4">
        <v>1.0</v>
      </c>
      <c r="Z17" s="4">
        <v>0.0</v>
      </c>
      <c r="AA17" s="4">
        <v>0.0</v>
      </c>
      <c r="AB17" s="4">
        <v>1.0</v>
      </c>
      <c r="AC17" s="4">
        <v>1.0</v>
      </c>
      <c r="AD17" s="4">
        <v>0.0</v>
      </c>
      <c r="AE17" s="4">
        <v>1.0</v>
      </c>
    </row>
    <row r="18">
      <c r="A18" s="4">
        <v>17.0</v>
      </c>
      <c r="B18" s="4">
        <v>1.0</v>
      </c>
      <c r="C18" s="4">
        <v>0.0</v>
      </c>
      <c r="D18" s="4">
        <v>0.0</v>
      </c>
      <c r="E18" s="4">
        <v>1.0</v>
      </c>
      <c r="F18" s="4">
        <v>0.0</v>
      </c>
      <c r="G18" s="4">
        <v>1.0</v>
      </c>
      <c r="H18" s="4">
        <v>0.0</v>
      </c>
      <c r="I18" s="4">
        <v>0.0</v>
      </c>
      <c r="J18" s="4">
        <v>0.0</v>
      </c>
      <c r="K18" s="4">
        <v>0.0</v>
      </c>
      <c r="L18" s="4">
        <v>1.0</v>
      </c>
      <c r="M18" s="4">
        <v>1.0</v>
      </c>
      <c r="N18" s="4">
        <v>1.0</v>
      </c>
      <c r="O18" s="4">
        <v>0.0</v>
      </c>
      <c r="P18" s="4">
        <v>0.0</v>
      </c>
      <c r="Q18" s="4">
        <v>0.0</v>
      </c>
      <c r="R18" s="4">
        <v>1.0</v>
      </c>
      <c r="S18" s="4">
        <v>1.0</v>
      </c>
      <c r="T18" s="4">
        <v>0.0</v>
      </c>
      <c r="U18" s="4">
        <v>0.0</v>
      </c>
      <c r="V18" s="4">
        <v>0.0</v>
      </c>
      <c r="W18" s="4">
        <v>1.0</v>
      </c>
      <c r="X18" s="4">
        <v>0.0</v>
      </c>
      <c r="Y18" s="4">
        <v>1.0</v>
      </c>
      <c r="Z18" s="4">
        <v>0.0</v>
      </c>
      <c r="AA18" s="4">
        <v>0.0</v>
      </c>
      <c r="AB18" s="4">
        <v>1.0</v>
      </c>
      <c r="AC18" s="4">
        <v>0.0</v>
      </c>
      <c r="AD18" s="4">
        <v>0.0</v>
      </c>
      <c r="AE18" s="4">
        <v>0.0</v>
      </c>
    </row>
    <row r="19">
      <c r="A19" s="4">
        <v>18.0</v>
      </c>
      <c r="B19" s="4">
        <v>0.0</v>
      </c>
      <c r="C19" s="4">
        <v>0.0</v>
      </c>
      <c r="D19" s="4">
        <v>0.0</v>
      </c>
      <c r="E19" s="4">
        <v>0.0</v>
      </c>
      <c r="F19" s="4">
        <v>1.0</v>
      </c>
      <c r="G19" s="4">
        <v>1.0</v>
      </c>
      <c r="H19" s="4">
        <v>1.0</v>
      </c>
      <c r="I19" s="4">
        <v>0.0</v>
      </c>
      <c r="J19" s="4">
        <v>0.0</v>
      </c>
      <c r="K19" s="4">
        <v>0.0</v>
      </c>
      <c r="L19" s="4">
        <v>0.0</v>
      </c>
      <c r="M19" s="4">
        <v>1.0</v>
      </c>
      <c r="N19" s="4">
        <v>1.0</v>
      </c>
      <c r="O19" s="4">
        <v>1.0</v>
      </c>
      <c r="P19" s="4">
        <v>0.0</v>
      </c>
      <c r="Q19" s="4">
        <v>0.0</v>
      </c>
      <c r="R19" s="4">
        <v>1.0</v>
      </c>
      <c r="S19" s="4">
        <v>1.0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1.0</v>
      </c>
      <c r="Z19" s="4">
        <v>0.0</v>
      </c>
      <c r="AA19" s="4">
        <v>0.0</v>
      </c>
      <c r="AB19" s="4">
        <v>1.0</v>
      </c>
      <c r="AC19" s="4">
        <v>0.0</v>
      </c>
      <c r="AD19" s="4">
        <v>1.0</v>
      </c>
      <c r="AE19" s="4">
        <v>1.0</v>
      </c>
    </row>
    <row r="20">
      <c r="A20" s="4">
        <v>19.0</v>
      </c>
      <c r="B20" s="4">
        <v>1.0</v>
      </c>
      <c r="C20" s="4">
        <v>0.0</v>
      </c>
      <c r="D20" s="4">
        <v>0.0</v>
      </c>
      <c r="E20" s="4">
        <v>1.0</v>
      </c>
      <c r="F20" s="4">
        <v>1.0</v>
      </c>
      <c r="G20" s="4">
        <v>0.0</v>
      </c>
      <c r="H20" s="4">
        <v>1.0</v>
      </c>
      <c r="I20" s="4">
        <v>0.0</v>
      </c>
      <c r="J20" s="4">
        <v>0.0</v>
      </c>
      <c r="K20" s="4">
        <v>0.0</v>
      </c>
      <c r="L20" s="4">
        <v>1.0</v>
      </c>
      <c r="M20" s="4">
        <v>1.0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1.0</v>
      </c>
      <c r="X20" s="4">
        <v>0.0</v>
      </c>
      <c r="Y20" s="4">
        <v>1.0</v>
      </c>
      <c r="Z20" s="4">
        <v>0.0</v>
      </c>
      <c r="AA20" s="4">
        <v>0.0</v>
      </c>
      <c r="AB20" s="4">
        <v>1.0</v>
      </c>
      <c r="AC20" s="4">
        <v>0.0</v>
      </c>
      <c r="AD20" s="4">
        <v>0.0</v>
      </c>
      <c r="AE20" s="4">
        <v>1.0</v>
      </c>
    </row>
    <row r="21" ht="15.75" customHeight="1">
      <c r="A21" s="4">
        <v>20.0</v>
      </c>
      <c r="B21" s="4">
        <v>1.0</v>
      </c>
      <c r="C21" s="4">
        <v>0.0</v>
      </c>
      <c r="D21" s="4">
        <v>1.0</v>
      </c>
      <c r="E21" s="4">
        <v>0.0</v>
      </c>
      <c r="F21" s="4">
        <v>1.0</v>
      </c>
      <c r="G21" s="4">
        <v>1.0</v>
      </c>
      <c r="H21" s="4">
        <v>1.0</v>
      </c>
      <c r="I21" s="4">
        <v>0.0</v>
      </c>
      <c r="J21" s="4">
        <v>0.0</v>
      </c>
      <c r="K21" s="4">
        <v>0.0</v>
      </c>
      <c r="L21" s="4">
        <v>1.0</v>
      </c>
      <c r="M21" s="4">
        <v>1.0</v>
      </c>
      <c r="N21" s="4">
        <v>0.0</v>
      </c>
      <c r="O21" s="4">
        <v>0.0</v>
      </c>
      <c r="P21" s="4">
        <v>1.0</v>
      </c>
      <c r="Q21" s="4">
        <v>0.0</v>
      </c>
      <c r="R21" s="4">
        <v>0.0</v>
      </c>
      <c r="S21" s="4">
        <v>1.0</v>
      </c>
      <c r="T21" s="4">
        <v>0.0</v>
      </c>
      <c r="U21" s="4">
        <v>0.0</v>
      </c>
      <c r="V21" s="4">
        <v>0.0</v>
      </c>
      <c r="W21" s="4">
        <v>1.0</v>
      </c>
      <c r="X21" s="4">
        <v>0.0</v>
      </c>
      <c r="Y21" s="4">
        <v>1.0</v>
      </c>
      <c r="Z21" s="4">
        <v>0.0</v>
      </c>
      <c r="AA21" s="4">
        <v>0.0</v>
      </c>
      <c r="AB21" s="4">
        <v>1.0</v>
      </c>
      <c r="AC21" s="4">
        <v>0.0</v>
      </c>
      <c r="AD21" s="4">
        <v>0.0</v>
      </c>
      <c r="AE21" s="4">
        <v>1.0</v>
      </c>
    </row>
    <row r="22" ht="15.75" customHeight="1">
      <c r="A22" s="4">
        <v>21.0</v>
      </c>
      <c r="B22" s="4">
        <v>0.0</v>
      </c>
      <c r="C22" s="4">
        <v>0.0</v>
      </c>
      <c r="D22" s="4">
        <v>1.0</v>
      </c>
      <c r="E22" s="4">
        <v>0.0</v>
      </c>
      <c r="F22" s="4">
        <v>1.0</v>
      </c>
      <c r="G22" s="4">
        <v>1.0</v>
      </c>
      <c r="H22" s="4">
        <v>1.0</v>
      </c>
      <c r="I22" s="4">
        <v>0.0</v>
      </c>
      <c r="J22" s="4">
        <v>0.0</v>
      </c>
      <c r="K22" s="4">
        <v>0.0</v>
      </c>
      <c r="L22" s="4">
        <v>1.0</v>
      </c>
      <c r="M22" s="4">
        <v>1.0</v>
      </c>
      <c r="N22" s="4">
        <v>0.0</v>
      </c>
      <c r="O22" s="4">
        <v>0.0</v>
      </c>
      <c r="P22" s="4">
        <v>1.0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1.0</v>
      </c>
      <c r="W22" s="4">
        <v>1.0</v>
      </c>
      <c r="X22" s="4">
        <v>0.0</v>
      </c>
      <c r="Y22" s="4">
        <v>1.0</v>
      </c>
      <c r="Z22" s="4">
        <v>0.0</v>
      </c>
      <c r="AA22" s="4">
        <v>0.0</v>
      </c>
      <c r="AB22" s="4">
        <v>1.0</v>
      </c>
      <c r="AC22" s="4">
        <v>0.0</v>
      </c>
      <c r="AD22" s="4">
        <v>0.0</v>
      </c>
      <c r="AE22" s="4">
        <v>1.0</v>
      </c>
    </row>
    <row r="23" ht="15.75" customHeight="1">
      <c r="A23" s="4">
        <v>22.0</v>
      </c>
      <c r="B23" s="4">
        <v>0.0</v>
      </c>
      <c r="C23" s="4">
        <v>0.0</v>
      </c>
      <c r="D23" s="4">
        <v>0.0</v>
      </c>
      <c r="E23" s="4">
        <v>0.0</v>
      </c>
      <c r="F23" s="4">
        <v>1.0</v>
      </c>
      <c r="G23" s="4">
        <v>1.0</v>
      </c>
      <c r="H23" s="4">
        <v>1.0</v>
      </c>
      <c r="I23" s="4">
        <v>0.0</v>
      </c>
      <c r="J23" s="4">
        <v>0.0</v>
      </c>
      <c r="K23" s="4">
        <v>1.0</v>
      </c>
      <c r="L23" s="4">
        <v>1.0</v>
      </c>
      <c r="M23" s="4">
        <v>0.0</v>
      </c>
      <c r="N23" s="4">
        <v>0.0</v>
      </c>
      <c r="O23" s="4">
        <v>0.0</v>
      </c>
      <c r="P23" s="4">
        <v>1.0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>
        <v>1.0</v>
      </c>
      <c r="W23" s="4">
        <v>0.0</v>
      </c>
      <c r="X23" s="4">
        <v>0.0</v>
      </c>
      <c r="Y23" s="4">
        <v>1.0</v>
      </c>
      <c r="Z23" s="4">
        <v>0.0</v>
      </c>
      <c r="AA23" s="4">
        <v>0.0</v>
      </c>
      <c r="AB23" s="4">
        <v>1.0</v>
      </c>
      <c r="AC23" s="4">
        <v>0.0</v>
      </c>
      <c r="AD23" s="4">
        <v>0.0</v>
      </c>
      <c r="AE23" s="4">
        <v>1.0</v>
      </c>
    </row>
    <row r="24" ht="15.75" customHeight="1">
      <c r="A24" s="4">
        <v>23.0</v>
      </c>
      <c r="B24" s="4">
        <v>0.0</v>
      </c>
      <c r="C24" s="4">
        <v>0.0</v>
      </c>
      <c r="D24" s="4">
        <v>1.0</v>
      </c>
      <c r="E24" s="4">
        <v>0.0</v>
      </c>
      <c r="F24" s="4">
        <v>1.0</v>
      </c>
      <c r="G24" s="4">
        <v>0.0</v>
      </c>
      <c r="H24" s="4">
        <v>1.0</v>
      </c>
      <c r="I24" s="4">
        <v>0.0</v>
      </c>
      <c r="J24" s="4">
        <v>0.0</v>
      </c>
      <c r="K24" s="4">
        <v>1.0</v>
      </c>
      <c r="L24" s="4">
        <v>1.0</v>
      </c>
      <c r="M24" s="4">
        <v>0.0</v>
      </c>
      <c r="N24" s="4">
        <v>0.0</v>
      </c>
      <c r="O24" s="4">
        <v>0.0</v>
      </c>
      <c r="P24" s="4">
        <v>1.0</v>
      </c>
      <c r="Q24" s="4">
        <v>1.0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1.0</v>
      </c>
      <c r="AC24" s="4">
        <v>0.0</v>
      </c>
      <c r="AD24" s="4">
        <v>0.0</v>
      </c>
      <c r="AE24" s="4">
        <v>1.0</v>
      </c>
    </row>
    <row r="25" ht="15.75" customHeight="1">
      <c r="A25" s="4">
        <v>24.0</v>
      </c>
      <c r="B25" s="4">
        <v>0.0</v>
      </c>
      <c r="C25" s="4">
        <v>0.0</v>
      </c>
      <c r="D25" s="4">
        <v>1.0</v>
      </c>
      <c r="E25" s="4">
        <v>0.0</v>
      </c>
      <c r="F25" s="4">
        <v>1.0</v>
      </c>
      <c r="G25" s="4">
        <v>1.0</v>
      </c>
      <c r="H25" s="4">
        <v>1.0</v>
      </c>
      <c r="I25" s="4">
        <v>0.0</v>
      </c>
      <c r="J25" s="4">
        <v>0.0</v>
      </c>
      <c r="K25" s="4">
        <v>1.0</v>
      </c>
      <c r="L25" s="4">
        <v>1.0</v>
      </c>
      <c r="M25" s="4">
        <v>0.0</v>
      </c>
      <c r="N25" s="4">
        <v>1.0</v>
      </c>
      <c r="O25" s="4">
        <v>0.0</v>
      </c>
      <c r="P25" s="4">
        <v>1.0</v>
      </c>
      <c r="Q25" s="4">
        <v>1.0</v>
      </c>
      <c r="R25" s="4">
        <v>0.0</v>
      </c>
      <c r="S25" s="4">
        <v>0.0</v>
      </c>
      <c r="T25" s="4">
        <v>0.0</v>
      </c>
      <c r="U25" s="4">
        <v>0.0</v>
      </c>
      <c r="V25" s="4">
        <v>1.0</v>
      </c>
      <c r="W25" s="4">
        <v>1.0</v>
      </c>
      <c r="X25" s="4">
        <v>0.0</v>
      </c>
      <c r="Y25" s="4">
        <v>0.0</v>
      </c>
      <c r="Z25" s="4">
        <v>1.0</v>
      </c>
      <c r="AA25" s="4">
        <v>0.0</v>
      </c>
      <c r="AB25" s="4">
        <v>1.0</v>
      </c>
      <c r="AC25" s="4">
        <v>0.0</v>
      </c>
      <c r="AD25" s="4">
        <v>0.0</v>
      </c>
      <c r="AE25" s="4">
        <v>0.0</v>
      </c>
    </row>
    <row r="26" ht="15.75" customHeight="1">
      <c r="A26" s="4">
        <v>25.0</v>
      </c>
      <c r="B26" s="4">
        <v>0.0</v>
      </c>
      <c r="C26" s="4">
        <v>0.0</v>
      </c>
      <c r="D26" s="4">
        <v>0.0</v>
      </c>
      <c r="E26" s="4">
        <v>1.0</v>
      </c>
      <c r="F26" s="4">
        <v>1.0</v>
      </c>
      <c r="G26" s="4">
        <v>0.0</v>
      </c>
      <c r="H26" s="4">
        <v>1.0</v>
      </c>
      <c r="I26" s="4">
        <v>0.0</v>
      </c>
      <c r="J26" s="4">
        <v>0.0</v>
      </c>
      <c r="K26" s="4">
        <v>1.0</v>
      </c>
      <c r="L26" s="4">
        <v>1.0</v>
      </c>
      <c r="M26" s="4">
        <v>0.0</v>
      </c>
      <c r="N26" s="4">
        <v>1.0</v>
      </c>
      <c r="O26" s="4">
        <v>0.0</v>
      </c>
      <c r="P26" s="4">
        <v>1.0</v>
      </c>
      <c r="Q26" s="4">
        <v>1.0</v>
      </c>
      <c r="R26" s="4">
        <v>0.0</v>
      </c>
      <c r="S26" s="4">
        <v>0.0</v>
      </c>
      <c r="T26" s="4">
        <v>0.0</v>
      </c>
      <c r="U26" s="4">
        <v>0.0</v>
      </c>
      <c r="V26" s="4">
        <v>1.0</v>
      </c>
      <c r="W26" s="4">
        <v>0.0</v>
      </c>
      <c r="X26" s="4">
        <v>0.0</v>
      </c>
      <c r="Y26" s="4">
        <v>0.0</v>
      </c>
      <c r="Z26" s="4">
        <v>0.0</v>
      </c>
      <c r="AA26" s="4">
        <v>0.0</v>
      </c>
      <c r="AB26" s="4">
        <v>1.0</v>
      </c>
      <c r="AC26" s="4">
        <v>0.0</v>
      </c>
      <c r="AD26" s="4">
        <v>0.0</v>
      </c>
      <c r="AE26" s="4">
        <v>0.0</v>
      </c>
    </row>
    <row r="27" ht="15.75" customHeight="1">
      <c r="A27" s="4">
        <v>26.0</v>
      </c>
      <c r="B27" s="4">
        <v>0.0</v>
      </c>
      <c r="C27" s="4">
        <v>0.0</v>
      </c>
      <c r="D27" s="4">
        <v>0.0</v>
      </c>
      <c r="E27" s="4">
        <v>1.0</v>
      </c>
      <c r="F27" s="4">
        <v>1.0</v>
      </c>
      <c r="G27" s="4">
        <v>1.0</v>
      </c>
      <c r="H27" s="4">
        <v>1.0</v>
      </c>
      <c r="I27" s="4">
        <v>0.0</v>
      </c>
      <c r="J27" s="4">
        <v>0.0</v>
      </c>
      <c r="K27" s="4">
        <v>1.0</v>
      </c>
      <c r="L27" s="4">
        <v>0.0</v>
      </c>
      <c r="M27" s="4">
        <v>0.0</v>
      </c>
      <c r="N27" s="4">
        <v>0.0</v>
      </c>
      <c r="O27" s="4">
        <v>0.0</v>
      </c>
      <c r="P27" s="4">
        <v>1.0</v>
      </c>
      <c r="Q27" s="4">
        <v>1.0</v>
      </c>
      <c r="R27" s="4">
        <v>0.0</v>
      </c>
      <c r="S27" s="4">
        <v>1.0</v>
      </c>
      <c r="T27" s="4">
        <v>0.0</v>
      </c>
      <c r="U27" s="4">
        <v>0.0</v>
      </c>
      <c r="V27" s="4">
        <v>1.0</v>
      </c>
      <c r="W27" s="4">
        <v>0.0</v>
      </c>
      <c r="X27" s="4">
        <v>0.0</v>
      </c>
      <c r="Y27" s="4">
        <v>0.0</v>
      </c>
      <c r="Z27" s="4">
        <v>0.0</v>
      </c>
      <c r="AA27" s="4">
        <v>0.0</v>
      </c>
      <c r="AB27" s="4">
        <v>0.0</v>
      </c>
      <c r="AC27" s="4">
        <v>1.0</v>
      </c>
      <c r="AD27" s="4">
        <v>0.0</v>
      </c>
      <c r="AE27" s="4">
        <v>1.0</v>
      </c>
    </row>
    <row r="28" ht="15.75" customHeight="1">
      <c r="A28" s="4">
        <v>27.0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1.0</v>
      </c>
      <c r="H28" s="4">
        <v>0.0</v>
      </c>
      <c r="I28" s="4">
        <v>0.0</v>
      </c>
      <c r="J28" s="4">
        <v>0.0</v>
      </c>
      <c r="K28" s="4">
        <v>1.0</v>
      </c>
      <c r="L28" s="4">
        <v>0.0</v>
      </c>
      <c r="M28" s="4">
        <v>0.0</v>
      </c>
      <c r="N28" s="4">
        <v>1.0</v>
      </c>
      <c r="O28" s="4">
        <v>0.0</v>
      </c>
      <c r="P28" s="4">
        <v>0.0</v>
      </c>
      <c r="Q28" s="4">
        <v>0.0</v>
      </c>
      <c r="R28" s="4">
        <v>0.0</v>
      </c>
      <c r="S28" s="4">
        <v>1.0</v>
      </c>
      <c r="T28" s="4">
        <v>0.0</v>
      </c>
      <c r="U28" s="4">
        <v>0.0</v>
      </c>
      <c r="V28" s="4">
        <v>0.0</v>
      </c>
      <c r="W28" s="4">
        <v>0.0</v>
      </c>
      <c r="X28" s="4">
        <v>0.0</v>
      </c>
      <c r="Y28" s="4">
        <v>0.0</v>
      </c>
      <c r="Z28" s="4">
        <v>0.0</v>
      </c>
      <c r="AA28" s="4">
        <v>0.0</v>
      </c>
      <c r="AB28" s="4">
        <v>0.0</v>
      </c>
      <c r="AC28" s="4">
        <v>1.0</v>
      </c>
      <c r="AD28" s="4">
        <v>0.0</v>
      </c>
      <c r="AE28" s="4">
        <v>0.0</v>
      </c>
    </row>
    <row r="29" ht="15.75" customHeight="1">
      <c r="A29" s="4">
        <v>28.0</v>
      </c>
      <c r="B29" s="4">
        <v>0.0</v>
      </c>
      <c r="C29" s="4">
        <v>0.0</v>
      </c>
      <c r="D29" s="4">
        <v>0.0</v>
      </c>
      <c r="E29" s="4">
        <v>1.0</v>
      </c>
      <c r="F29" s="4">
        <v>0.0</v>
      </c>
      <c r="G29" s="4">
        <v>0.0</v>
      </c>
      <c r="H29" s="4">
        <v>1.0</v>
      </c>
      <c r="I29" s="4">
        <v>0.0</v>
      </c>
      <c r="J29" s="4">
        <v>0.0</v>
      </c>
      <c r="K29" s="4">
        <v>1.0</v>
      </c>
      <c r="L29" s="4">
        <v>0.0</v>
      </c>
      <c r="M29" s="4">
        <v>0.0</v>
      </c>
      <c r="N29" s="4">
        <v>1.0</v>
      </c>
      <c r="O29" s="4">
        <v>0.0</v>
      </c>
      <c r="P29" s="4">
        <v>0.0</v>
      </c>
      <c r="Q29" s="4">
        <v>0.0</v>
      </c>
      <c r="R29" s="4">
        <v>0.0</v>
      </c>
      <c r="S29" s="4">
        <v>1.0</v>
      </c>
      <c r="T29" s="4">
        <v>0.0</v>
      </c>
      <c r="U29" s="4">
        <v>0.0</v>
      </c>
      <c r="V29" s="4">
        <v>1.0</v>
      </c>
      <c r="W29" s="4">
        <v>0.0</v>
      </c>
      <c r="X29" s="4">
        <v>0.0</v>
      </c>
      <c r="Y29" s="4">
        <v>0.0</v>
      </c>
      <c r="Z29" s="4">
        <v>0.0</v>
      </c>
      <c r="AA29" s="4">
        <v>0.0</v>
      </c>
      <c r="AB29" s="4">
        <v>0.0</v>
      </c>
      <c r="AC29" s="4">
        <v>1.0</v>
      </c>
      <c r="AD29" s="4">
        <v>0.0</v>
      </c>
      <c r="AE29" s="4">
        <v>0.0</v>
      </c>
    </row>
    <row r="30" ht="15.75" customHeight="1">
      <c r="A30" s="4">
        <v>29.0</v>
      </c>
      <c r="B30" s="4">
        <v>0.0</v>
      </c>
      <c r="C30" s="4">
        <v>0.0</v>
      </c>
      <c r="D30" s="4">
        <v>0.0</v>
      </c>
      <c r="E30" s="4">
        <v>1.0</v>
      </c>
      <c r="F30" s="4">
        <v>0.0</v>
      </c>
      <c r="G30" s="4">
        <v>1.0</v>
      </c>
      <c r="H30" s="4">
        <v>0.0</v>
      </c>
      <c r="I30" s="4">
        <v>0.0</v>
      </c>
      <c r="J30" s="4">
        <v>0.0</v>
      </c>
      <c r="K30" s="4">
        <v>1.0</v>
      </c>
      <c r="L30" s="4">
        <v>0.0</v>
      </c>
      <c r="M30" s="4">
        <v>0.0</v>
      </c>
      <c r="N30" s="4">
        <v>1.0</v>
      </c>
      <c r="O30" s="4">
        <v>0.0</v>
      </c>
      <c r="P30" s="4">
        <v>0.0</v>
      </c>
      <c r="Q30" s="4">
        <v>0.0</v>
      </c>
      <c r="R30" s="4">
        <v>0.0</v>
      </c>
      <c r="S30" s="4">
        <v>1.0</v>
      </c>
      <c r="T30" s="4">
        <v>0.0</v>
      </c>
      <c r="U30" s="4">
        <v>0.0</v>
      </c>
      <c r="V30" s="4">
        <v>1.0</v>
      </c>
      <c r="W30" s="4">
        <v>0.0</v>
      </c>
      <c r="X30" s="4">
        <v>0.0</v>
      </c>
      <c r="Y30" s="4">
        <v>0.0</v>
      </c>
      <c r="Z30" s="4">
        <v>0.0</v>
      </c>
      <c r="AA30" s="4">
        <v>0.0</v>
      </c>
      <c r="AB30" s="4">
        <v>0.0</v>
      </c>
      <c r="AC30" s="4">
        <v>0.0</v>
      </c>
      <c r="AD30" s="4">
        <v>0.0</v>
      </c>
      <c r="AE30" s="4">
        <v>1.0</v>
      </c>
    </row>
    <row r="31" ht="15.75" customHeight="1">
      <c r="A31" s="4">
        <v>30.0</v>
      </c>
      <c r="B31" s="4">
        <v>0.0</v>
      </c>
      <c r="C31" s="4">
        <v>0.0</v>
      </c>
      <c r="D31" s="4">
        <v>0.0</v>
      </c>
      <c r="E31" s="4">
        <v>1.0</v>
      </c>
      <c r="F31" s="4">
        <v>0.0</v>
      </c>
      <c r="G31" s="4">
        <v>1.0</v>
      </c>
      <c r="H31" s="4">
        <v>0.0</v>
      </c>
      <c r="I31" s="4">
        <v>0.0</v>
      </c>
      <c r="J31" s="4">
        <v>1.0</v>
      </c>
      <c r="K31" s="4">
        <v>1.0</v>
      </c>
      <c r="L31" s="4">
        <v>0.0</v>
      </c>
      <c r="M31" s="4">
        <v>0.0</v>
      </c>
      <c r="N31" s="4">
        <v>0.0</v>
      </c>
      <c r="O31" s="4">
        <v>0.0</v>
      </c>
      <c r="P31" s="4">
        <v>1.0</v>
      </c>
      <c r="Q31" s="4">
        <v>0.0</v>
      </c>
      <c r="R31" s="4">
        <v>0.0</v>
      </c>
      <c r="S31" s="4">
        <v>1.0</v>
      </c>
      <c r="T31" s="4">
        <v>0.0</v>
      </c>
      <c r="U31" s="4">
        <v>0.0</v>
      </c>
      <c r="V31" s="4">
        <v>0.0</v>
      </c>
      <c r="W31" s="4">
        <v>0.0</v>
      </c>
      <c r="X31" s="4">
        <v>0.0</v>
      </c>
      <c r="Y31" s="4">
        <v>0.0</v>
      </c>
      <c r="Z31" s="4">
        <v>0.0</v>
      </c>
      <c r="AA31" s="4">
        <v>0.0</v>
      </c>
      <c r="AB31" s="4">
        <v>0.0</v>
      </c>
      <c r="AC31" s="4">
        <v>1.0</v>
      </c>
      <c r="AD31" s="4">
        <v>0.0</v>
      </c>
      <c r="AE31" s="4">
        <v>1.0</v>
      </c>
    </row>
    <row r="32" ht="15.75" customHeight="1">
      <c r="A32" s="23">
        <v>37073.0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1.0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1.0</v>
      </c>
      <c r="O32" s="4">
        <v>0.0</v>
      </c>
      <c r="P32" s="4">
        <v>1.0</v>
      </c>
      <c r="Q32" s="4">
        <v>0.0</v>
      </c>
      <c r="R32" s="4">
        <v>0.0</v>
      </c>
      <c r="S32" s="4">
        <v>1.0</v>
      </c>
      <c r="T32" s="4">
        <v>0.0</v>
      </c>
      <c r="U32" s="4">
        <v>0.0</v>
      </c>
      <c r="V32" s="4">
        <v>0.0</v>
      </c>
      <c r="W32" s="4">
        <v>1.0</v>
      </c>
      <c r="X32" s="4">
        <v>0.0</v>
      </c>
      <c r="Y32" s="4">
        <v>0.0</v>
      </c>
      <c r="Z32" s="4">
        <v>0.0</v>
      </c>
      <c r="AA32" s="4">
        <v>0.0</v>
      </c>
      <c r="AB32" s="4">
        <v>0.0</v>
      </c>
      <c r="AC32" s="4">
        <v>0.0</v>
      </c>
      <c r="AD32" s="4">
        <v>0.0</v>
      </c>
      <c r="AE32" s="4">
        <v>1.0</v>
      </c>
    </row>
    <row r="33" ht="15.75" customHeight="1">
      <c r="A33" s="4">
        <v>2.0</v>
      </c>
      <c r="B33" s="4">
        <v>1.0</v>
      </c>
      <c r="C33" s="4">
        <v>0.0</v>
      </c>
      <c r="D33" s="4">
        <v>0.0</v>
      </c>
      <c r="E33" s="4">
        <v>1.0</v>
      </c>
      <c r="F33" s="4">
        <v>0.0</v>
      </c>
      <c r="G33" s="4">
        <v>1.0</v>
      </c>
      <c r="H33" s="4">
        <v>0.0</v>
      </c>
      <c r="I33" s="4">
        <v>0.0</v>
      </c>
      <c r="J33" s="4">
        <v>0.0</v>
      </c>
      <c r="K33" s="4">
        <v>0.0</v>
      </c>
      <c r="L33" s="4">
        <v>1.0</v>
      </c>
      <c r="M33" s="4">
        <v>1.0</v>
      </c>
      <c r="N33" s="4">
        <v>1.0</v>
      </c>
      <c r="O33" s="4">
        <v>0.0</v>
      </c>
      <c r="P33" s="4">
        <v>1.0</v>
      </c>
      <c r="Q33" s="4">
        <v>0.0</v>
      </c>
      <c r="R33" s="4">
        <v>1.0</v>
      </c>
      <c r="S33" s="4">
        <v>0.0</v>
      </c>
      <c r="T33" s="4">
        <v>0.0</v>
      </c>
      <c r="U33" s="4">
        <v>0.0</v>
      </c>
      <c r="V33" s="4">
        <v>1.0</v>
      </c>
      <c r="W33" s="4">
        <v>1.0</v>
      </c>
      <c r="X33" s="4">
        <v>0.0</v>
      </c>
      <c r="Y33" s="4">
        <v>0.0</v>
      </c>
      <c r="Z33" s="4">
        <v>0.0</v>
      </c>
      <c r="AA33" s="4">
        <v>0.0</v>
      </c>
      <c r="AB33" s="4">
        <v>0.0</v>
      </c>
      <c r="AC33" s="4">
        <v>0.0</v>
      </c>
      <c r="AD33" s="4">
        <v>0.0</v>
      </c>
      <c r="AE33" s="4">
        <v>1.0</v>
      </c>
    </row>
    <row r="34" ht="15.75" customHeight="1">
      <c r="A34" s="4">
        <v>3.0</v>
      </c>
      <c r="B34" s="4">
        <v>0.0</v>
      </c>
      <c r="C34" s="4">
        <v>0.0</v>
      </c>
      <c r="D34" s="4">
        <v>0.0</v>
      </c>
      <c r="E34" s="4">
        <v>1.0</v>
      </c>
      <c r="F34" s="4">
        <v>1.0</v>
      </c>
      <c r="G34" s="4">
        <v>1.0</v>
      </c>
      <c r="H34" s="4">
        <v>0.0</v>
      </c>
      <c r="I34" s="4">
        <v>0.0</v>
      </c>
      <c r="J34" s="4">
        <v>0.0</v>
      </c>
      <c r="K34" s="4">
        <v>0.0</v>
      </c>
      <c r="L34" s="4">
        <v>1.0</v>
      </c>
      <c r="M34" s="4">
        <v>0.0</v>
      </c>
      <c r="N34" s="4">
        <v>0.0</v>
      </c>
      <c r="O34" s="4">
        <v>0.0</v>
      </c>
      <c r="P34" s="4">
        <v>1.0</v>
      </c>
      <c r="Q34" s="4">
        <v>0.0</v>
      </c>
      <c r="R34" s="4">
        <v>1.0</v>
      </c>
      <c r="S34" s="4">
        <v>0.0</v>
      </c>
      <c r="T34" s="4">
        <v>0.0</v>
      </c>
      <c r="U34" s="4">
        <v>0.0</v>
      </c>
      <c r="V34" s="4">
        <v>1.0</v>
      </c>
      <c r="W34" s="4">
        <v>1.0</v>
      </c>
      <c r="X34" s="4">
        <v>0.0</v>
      </c>
      <c r="Y34" s="4">
        <v>0.0</v>
      </c>
      <c r="Z34" s="4">
        <v>0.0</v>
      </c>
      <c r="AA34" s="4">
        <v>0.0</v>
      </c>
      <c r="AB34" s="4">
        <v>0.0</v>
      </c>
      <c r="AC34" s="4">
        <v>0.0</v>
      </c>
      <c r="AD34" s="4">
        <v>1.0</v>
      </c>
      <c r="AE34" s="4">
        <v>1.0</v>
      </c>
    </row>
    <row r="35" ht="15.75" customHeight="1">
      <c r="A35" s="4">
        <v>4.0</v>
      </c>
      <c r="B35" s="4">
        <v>0.0</v>
      </c>
      <c r="C35" s="4">
        <v>0.0</v>
      </c>
      <c r="D35" s="4">
        <v>0.0</v>
      </c>
      <c r="E35" s="4">
        <v>1.0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1.0</v>
      </c>
      <c r="L35" s="4">
        <v>0.0</v>
      </c>
      <c r="M35" s="4">
        <v>0.0</v>
      </c>
      <c r="N35" s="4">
        <v>0.0</v>
      </c>
      <c r="O35" s="4">
        <v>0.0</v>
      </c>
      <c r="P35" s="4">
        <v>1.0</v>
      </c>
      <c r="Q35" s="4">
        <v>0.0</v>
      </c>
      <c r="R35" s="4">
        <v>1.0</v>
      </c>
      <c r="S35" s="4">
        <v>0.0</v>
      </c>
      <c r="T35" s="4">
        <v>0.0</v>
      </c>
      <c r="U35" s="4">
        <v>0.0</v>
      </c>
      <c r="V35" s="4">
        <v>1.0</v>
      </c>
      <c r="W35" s="4">
        <v>1.0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1.0</v>
      </c>
      <c r="AE35" s="4">
        <v>1.0</v>
      </c>
    </row>
    <row r="36" ht="15.75" customHeight="1">
      <c r="A36" s="4">
        <v>5.0</v>
      </c>
      <c r="B36" s="4">
        <v>0.0</v>
      </c>
      <c r="C36" s="4">
        <v>0.0</v>
      </c>
      <c r="D36" s="4">
        <v>0.0</v>
      </c>
      <c r="E36" s="4">
        <v>0.0</v>
      </c>
      <c r="F36" s="4">
        <v>1.0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1.0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4">
        <v>1.0</v>
      </c>
      <c r="W36" s="4">
        <v>1.0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1.0</v>
      </c>
      <c r="AE36" s="4">
        <v>1.0</v>
      </c>
    </row>
    <row r="37" ht="15.75" customHeight="1">
      <c r="A37" s="4">
        <v>6.0</v>
      </c>
      <c r="B37" s="4">
        <v>0.0</v>
      </c>
      <c r="C37" s="4">
        <v>0.0</v>
      </c>
      <c r="D37" s="4">
        <v>0.0</v>
      </c>
      <c r="E37" s="4">
        <v>0.0</v>
      </c>
      <c r="F37" s="4">
        <v>1.0</v>
      </c>
      <c r="G37" s="4">
        <v>1.0</v>
      </c>
      <c r="H37" s="4">
        <v>1.0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4">
        <v>0.0</v>
      </c>
      <c r="W37" s="4">
        <v>1.0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1.0</v>
      </c>
    </row>
    <row r="38" ht="15.75" customHeight="1">
      <c r="A38" s="4">
        <v>7.0</v>
      </c>
      <c r="B38" s="4">
        <v>0.0</v>
      </c>
      <c r="C38" s="4">
        <v>0.0</v>
      </c>
      <c r="D38" s="4">
        <v>0.0</v>
      </c>
      <c r="E38" s="4">
        <v>0.0</v>
      </c>
      <c r="F38" s="4">
        <v>1.0</v>
      </c>
      <c r="G38" s="4">
        <v>0.0</v>
      </c>
      <c r="H38" s="4">
        <v>1.0</v>
      </c>
      <c r="I38" s="4">
        <v>1.0</v>
      </c>
      <c r="J38" s="4">
        <v>0.0</v>
      </c>
      <c r="K38" s="4">
        <v>1.0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1.0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1.0</v>
      </c>
    </row>
    <row r="39" ht="15.75" customHeight="1">
      <c r="A39" s="4">
        <v>8.0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1.0</v>
      </c>
      <c r="I39" s="4">
        <v>1.0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1.0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1.0</v>
      </c>
    </row>
    <row r="40" ht="15.75" customHeight="1">
      <c r="A40" s="4">
        <v>9.0</v>
      </c>
      <c r="B40" s="4">
        <v>0.0</v>
      </c>
      <c r="C40" s="4">
        <v>0.0</v>
      </c>
      <c r="D40" s="4">
        <v>0.0</v>
      </c>
      <c r="E40" s="4">
        <v>0.0</v>
      </c>
      <c r="F40" s="4">
        <v>1.0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1.0</v>
      </c>
      <c r="Q40" s="4">
        <v>0.0</v>
      </c>
      <c r="R40" s="4">
        <v>0.0</v>
      </c>
      <c r="S40" s="4">
        <v>0.0</v>
      </c>
      <c r="T40" s="4">
        <v>0.0</v>
      </c>
      <c r="U40" s="4">
        <v>0.0</v>
      </c>
      <c r="V40" s="4">
        <v>0.0</v>
      </c>
      <c r="W40" s="4">
        <v>0.0</v>
      </c>
      <c r="X40" s="4">
        <v>0.0</v>
      </c>
      <c r="Y40" s="4">
        <v>0.0</v>
      </c>
      <c r="Z40" s="4">
        <v>0.0</v>
      </c>
      <c r="AA40" s="4">
        <v>0.0</v>
      </c>
      <c r="AB40" s="4">
        <v>0.0</v>
      </c>
      <c r="AC40" s="4">
        <v>1.0</v>
      </c>
      <c r="AD40" s="4">
        <v>0.0</v>
      </c>
      <c r="AE40" s="4">
        <v>1.0</v>
      </c>
    </row>
    <row r="41" ht="15.75" customHeight="1">
      <c r="A41" s="4">
        <v>10.0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1.0</v>
      </c>
      <c r="H41" s="4">
        <v>1.0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1.0</v>
      </c>
      <c r="AD41" s="4">
        <v>0.0</v>
      </c>
      <c r="AE41" s="4">
        <v>0.0</v>
      </c>
    </row>
    <row r="42" ht="15.75" customHeight="1">
      <c r="A42" s="4">
        <v>11.0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1.0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1.0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1.0</v>
      </c>
      <c r="AA42" s="4">
        <v>0.0</v>
      </c>
      <c r="AB42" s="4">
        <v>0.0</v>
      </c>
      <c r="AC42" s="4">
        <v>1.0</v>
      </c>
      <c r="AD42" s="4">
        <v>0.0</v>
      </c>
      <c r="AE42" s="4">
        <v>0.0</v>
      </c>
    </row>
    <row r="43" ht="15.75" customHeight="1">
      <c r="A43" s="4">
        <v>12.0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1.0</v>
      </c>
      <c r="I43" s="4">
        <v>1.0</v>
      </c>
      <c r="J43" s="4">
        <v>0.0</v>
      </c>
      <c r="K43" s="4">
        <v>1.0</v>
      </c>
      <c r="L43" s="4">
        <v>0.0</v>
      </c>
      <c r="M43" s="4">
        <v>0.0</v>
      </c>
      <c r="N43" s="4">
        <v>0.0</v>
      </c>
      <c r="O43" s="4">
        <v>0.0</v>
      </c>
      <c r="P43" s="4">
        <v>1.0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1.0</v>
      </c>
      <c r="AD43" s="4">
        <v>0.0</v>
      </c>
      <c r="AE43" s="4">
        <v>1.0</v>
      </c>
    </row>
    <row r="44" ht="15.75" customHeight="1">
      <c r="A44" s="4">
        <v>13.0</v>
      </c>
      <c r="B44" s="4">
        <v>0.0</v>
      </c>
      <c r="C44" s="4">
        <v>0.0</v>
      </c>
      <c r="D44" s="4">
        <v>1.0</v>
      </c>
      <c r="E44" s="4">
        <v>0.0</v>
      </c>
      <c r="F44" s="4">
        <v>0.0</v>
      </c>
      <c r="G44" s="4">
        <v>0.0</v>
      </c>
      <c r="H44" s="4">
        <v>1.0</v>
      </c>
      <c r="I44" s="4">
        <v>0.0</v>
      </c>
      <c r="J44" s="4">
        <v>0.0</v>
      </c>
      <c r="K44" s="4">
        <v>1.0</v>
      </c>
      <c r="L44" s="4">
        <v>0.0</v>
      </c>
      <c r="M44" s="4">
        <v>0.0</v>
      </c>
      <c r="N44" s="4">
        <v>0.0</v>
      </c>
      <c r="O44" s="4">
        <v>0.0</v>
      </c>
      <c r="P44" s="4">
        <v>1.0</v>
      </c>
      <c r="Q44" s="4">
        <v>0.0</v>
      </c>
      <c r="R44" s="4">
        <v>1.0</v>
      </c>
      <c r="S44" s="4">
        <v>0.0</v>
      </c>
      <c r="T44" s="4">
        <v>0.0</v>
      </c>
      <c r="U44" s="4">
        <v>1.0</v>
      </c>
      <c r="V44" s="4">
        <v>0.0</v>
      </c>
      <c r="W44" s="4">
        <v>0.0</v>
      </c>
      <c r="X44" s="4">
        <v>0.0</v>
      </c>
      <c r="Y44" s="4">
        <v>0.0</v>
      </c>
      <c r="Z44" s="4">
        <v>0.0</v>
      </c>
      <c r="AA44" s="4">
        <v>0.0</v>
      </c>
      <c r="AB44" s="4">
        <v>0.0</v>
      </c>
      <c r="AC44" s="4">
        <v>1.0</v>
      </c>
      <c r="AD44" s="4">
        <v>0.0</v>
      </c>
      <c r="AE44" s="4">
        <v>1.0</v>
      </c>
    </row>
    <row r="45" ht="15.75" customHeight="1">
      <c r="A45" s="4">
        <v>14.0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1.0</v>
      </c>
      <c r="I45" s="4">
        <v>0.0</v>
      </c>
      <c r="J45" s="4">
        <v>0.0</v>
      </c>
      <c r="K45" s="4">
        <v>1.0</v>
      </c>
      <c r="L45" s="4">
        <v>0.0</v>
      </c>
      <c r="M45" s="4">
        <v>0.0</v>
      </c>
      <c r="N45" s="4">
        <v>0.0</v>
      </c>
      <c r="O45" s="4">
        <v>0.0</v>
      </c>
      <c r="P45" s="4">
        <v>1.0</v>
      </c>
      <c r="Q45" s="4">
        <v>0.0</v>
      </c>
      <c r="R45" s="4">
        <v>1.0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1.0</v>
      </c>
      <c r="AA45" s="4">
        <v>0.0</v>
      </c>
      <c r="AB45" s="4">
        <v>0.0</v>
      </c>
      <c r="AC45" s="4">
        <v>1.0</v>
      </c>
      <c r="AD45" s="4">
        <v>0.0</v>
      </c>
      <c r="AE45" s="4">
        <v>1.0</v>
      </c>
    </row>
    <row r="46" ht="15.75" customHeight="1">
      <c r="A46" s="4">
        <v>15.0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1.0</v>
      </c>
      <c r="H46" s="4">
        <v>1.0</v>
      </c>
      <c r="I46" s="4">
        <v>1.0</v>
      </c>
      <c r="J46" s="4">
        <v>0.0</v>
      </c>
      <c r="K46" s="4">
        <v>1.0</v>
      </c>
      <c r="L46" s="4">
        <v>0.0</v>
      </c>
      <c r="M46" s="4">
        <v>0.0</v>
      </c>
      <c r="N46" s="4">
        <v>0.0</v>
      </c>
      <c r="O46" s="4">
        <v>0.0</v>
      </c>
      <c r="P46" s="4">
        <v>1.0</v>
      </c>
      <c r="Q46" s="4">
        <v>0.0</v>
      </c>
      <c r="R46" s="4">
        <v>0.0</v>
      </c>
      <c r="S46" s="4">
        <v>0.0</v>
      </c>
      <c r="T46" s="4">
        <v>0.0</v>
      </c>
      <c r="U46" s="4">
        <v>0.0</v>
      </c>
      <c r="V46" s="4">
        <v>0.0</v>
      </c>
      <c r="W46" s="4">
        <v>0.0</v>
      </c>
      <c r="X46" s="4">
        <v>0.0</v>
      </c>
      <c r="Y46" s="4">
        <v>0.0</v>
      </c>
      <c r="Z46" s="4">
        <v>0.0</v>
      </c>
      <c r="AA46" s="4">
        <v>1.0</v>
      </c>
      <c r="AB46" s="4">
        <v>0.0</v>
      </c>
      <c r="AC46" s="4">
        <v>0.0</v>
      </c>
      <c r="AD46" s="4">
        <v>0.0</v>
      </c>
      <c r="AE46" s="4">
        <v>1.0</v>
      </c>
    </row>
    <row r="47" ht="15.75" customHeight="1">
      <c r="A47" s="4">
        <v>16.0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1.0</v>
      </c>
      <c r="L47" s="4">
        <v>0.0</v>
      </c>
      <c r="M47" s="4">
        <v>0.0</v>
      </c>
      <c r="N47" s="4">
        <v>0.0</v>
      </c>
      <c r="O47" s="4">
        <v>0.0</v>
      </c>
      <c r="P47" s="4">
        <v>1.0</v>
      </c>
      <c r="Q47" s="4">
        <v>0.0</v>
      </c>
      <c r="R47" s="4">
        <v>0.0</v>
      </c>
      <c r="S47" s="4">
        <v>0.0</v>
      </c>
      <c r="T47" s="4">
        <v>0.0</v>
      </c>
      <c r="U47" s="4">
        <v>0.0</v>
      </c>
      <c r="V47" s="4">
        <v>0.0</v>
      </c>
      <c r="W47" s="4">
        <v>0.0</v>
      </c>
      <c r="X47" s="4">
        <v>0.0</v>
      </c>
      <c r="Y47" s="4">
        <v>0.0</v>
      </c>
      <c r="Z47" s="4">
        <v>0.0</v>
      </c>
      <c r="AA47" s="4">
        <v>1.0</v>
      </c>
      <c r="AB47" s="4">
        <v>0.0</v>
      </c>
      <c r="AC47" s="4">
        <v>1.0</v>
      </c>
      <c r="AD47" s="4">
        <v>0.0</v>
      </c>
      <c r="AE47" s="4">
        <v>1.0</v>
      </c>
    </row>
    <row r="48" ht="15.75" customHeight="1">
      <c r="A48" s="4">
        <v>17.0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1.0</v>
      </c>
      <c r="L48" s="4">
        <v>1.0</v>
      </c>
      <c r="M48" s="4">
        <v>0.0</v>
      </c>
      <c r="N48" s="4">
        <v>1.0</v>
      </c>
      <c r="O48" s="4">
        <v>0.0</v>
      </c>
      <c r="P48" s="4">
        <v>0.0</v>
      </c>
      <c r="Q48" s="4">
        <v>0.0</v>
      </c>
      <c r="R48" s="4">
        <v>0.0</v>
      </c>
      <c r="S48" s="4">
        <v>1.0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1.0</v>
      </c>
      <c r="AA48" s="4">
        <v>1.0</v>
      </c>
      <c r="AB48" s="4">
        <v>0.0</v>
      </c>
      <c r="AC48" s="4">
        <v>1.0</v>
      </c>
      <c r="AD48" s="4">
        <v>0.0</v>
      </c>
      <c r="AE48" s="4">
        <v>1.0</v>
      </c>
    </row>
    <row r="49" ht="15.75" customHeight="1">
      <c r="A49" s="4">
        <v>18.0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1.0</v>
      </c>
      <c r="I49" s="4">
        <v>1.0</v>
      </c>
      <c r="J49" s="4">
        <v>0.0</v>
      </c>
      <c r="K49" s="4">
        <v>0.0</v>
      </c>
      <c r="L49" s="4">
        <v>1.0</v>
      </c>
      <c r="M49" s="4">
        <v>0.0</v>
      </c>
      <c r="N49" s="4">
        <v>1.0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1.0</v>
      </c>
      <c r="W49" s="4">
        <v>0.0</v>
      </c>
      <c r="X49" s="4">
        <v>0.0</v>
      </c>
      <c r="Y49" s="4">
        <v>0.0</v>
      </c>
      <c r="Z49" s="4">
        <v>1.0</v>
      </c>
      <c r="AA49" s="4">
        <v>1.0</v>
      </c>
      <c r="AB49" s="4">
        <v>0.0</v>
      </c>
      <c r="AC49" s="4">
        <v>1.0</v>
      </c>
      <c r="AD49" s="4">
        <v>1.0</v>
      </c>
      <c r="AE49" s="4">
        <v>1.0</v>
      </c>
    </row>
    <row r="50" ht="15.75" customHeight="1">
      <c r="A50" s="4">
        <v>19.0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1.0</v>
      </c>
      <c r="J50" s="4">
        <v>0.0</v>
      </c>
      <c r="K50" s="4">
        <v>0.0</v>
      </c>
      <c r="L50" s="4">
        <v>1.0</v>
      </c>
      <c r="M50" s="4">
        <v>0.0</v>
      </c>
      <c r="N50" s="4">
        <v>1.0</v>
      </c>
      <c r="O50" s="4">
        <v>0.0</v>
      </c>
      <c r="P50" s="4">
        <v>1.0</v>
      </c>
      <c r="Q50" s="4">
        <v>0.0</v>
      </c>
      <c r="R50" s="4">
        <v>0.0</v>
      </c>
      <c r="S50" s="4">
        <v>0.0</v>
      </c>
      <c r="T50" s="4">
        <v>1.0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1.0</v>
      </c>
      <c r="AA50" s="4">
        <v>1.0</v>
      </c>
      <c r="AB50" s="4">
        <v>0.0</v>
      </c>
      <c r="AC50" s="4">
        <v>0.0</v>
      </c>
      <c r="AD50" s="4">
        <v>1.0</v>
      </c>
      <c r="AE50" s="4">
        <v>1.0</v>
      </c>
    </row>
    <row r="51" ht="15.75" customHeight="1">
      <c r="A51" s="4">
        <v>20.0</v>
      </c>
      <c r="B51" s="4">
        <v>0.0</v>
      </c>
      <c r="C51" s="4">
        <v>0.0</v>
      </c>
      <c r="D51" s="4">
        <v>1.0</v>
      </c>
      <c r="E51" s="4">
        <v>1.0</v>
      </c>
      <c r="F51" s="4">
        <v>1.0</v>
      </c>
      <c r="G51" s="4">
        <v>0.0</v>
      </c>
      <c r="H51" s="4">
        <v>0.0</v>
      </c>
      <c r="I51" s="4">
        <v>1.0</v>
      </c>
      <c r="J51" s="4">
        <v>0.0</v>
      </c>
      <c r="K51" s="4">
        <v>0.0</v>
      </c>
      <c r="L51" s="4">
        <v>1.0</v>
      </c>
      <c r="M51" s="4">
        <v>0.0</v>
      </c>
      <c r="N51" s="4">
        <v>1.0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1.0</v>
      </c>
      <c r="AA51" s="4">
        <v>1.0</v>
      </c>
      <c r="AB51" s="4">
        <v>0.0</v>
      </c>
      <c r="AC51" s="4">
        <v>0.0</v>
      </c>
      <c r="AD51" s="4">
        <v>1.0</v>
      </c>
      <c r="AE51" s="4">
        <v>0.0</v>
      </c>
    </row>
    <row r="52" ht="15.75" customHeight="1">
      <c r="A52" s="4">
        <v>21.0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1.0</v>
      </c>
      <c r="J52" s="4">
        <v>0.0</v>
      </c>
      <c r="K52" s="4">
        <v>1.0</v>
      </c>
      <c r="L52" s="4">
        <v>0.0</v>
      </c>
      <c r="M52" s="4">
        <v>0.0</v>
      </c>
      <c r="N52" s="4">
        <v>1.0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1.0</v>
      </c>
      <c r="V52" s="4">
        <v>0.0</v>
      </c>
      <c r="W52" s="4">
        <v>1.0</v>
      </c>
      <c r="X52" s="4">
        <v>0.0</v>
      </c>
      <c r="Y52" s="4">
        <v>0.0</v>
      </c>
      <c r="Z52" s="4">
        <v>0.0</v>
      </c>
      <c r="AA52" s="4">
        <v>1.0</v>
      </c>
      <c r="AB52" s="4">
        <v>0.0</v>
      </c>
      <c r="AC52" s="4">
        <v>0.0</v>
      </c>
      <c r="AD52" s="4">
        <v>0.0</v>
      </c>
      <c r="AE52" s="4">
        <v>0.0</v>
      </c>
    </row>
    <row r="53" ht="15.75" customHeight="1">
      <c r="A53" s="4">
        <v>22.0</v>
      </c>
      <c r="B53" s="4">
        <v>0.0</v>
      </c>
      <c r="C53" s="4">
        <v>0.0</v>
      </c>
      <c r="D53" s="4">
        <v>0.0</v>
      </c>
      <c r="E53" s="4">
        <v>0.0</v>
      </c>
      <c r="F53" s="4">
        <v>1.0</v>
      </c>
      <c r="G53" s="4">
        <v>0.0</v>
      </c>
      <c r="H53" s="4">
        <v>0.0</v>
      </c>
      <c r="I53" s="4">
        <v>1.0</v>
      </c>
      <c r="J53" s="4">
        <v>0.0</v>
      </c>
      <c r="K53" s="4">
        <v>0.0</v>
      </c>
      <c r="L53" s="4">
        <v>0.0</v>
      </c>
      <c r="M53" s="4">
        <v>0.0</v>
      </c>
      <c r="N53" s="4">
        <v>1.0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1.0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1.0</v>
      </c>
      <c r="AB53" s="4">
        <v>0.0</v>
      </c>
      <c r="AC53" s="4">
        <v>0.0</v>
      </c>
      <c r="AD53" s="4">
        <v>0.0</v>
      </c>
      <c r="AE53" s="4">
        <v>0.0</v>
      </c>
    </row>
    <row r="54" ht="15.75" customHeight="1">
      <c r="A54" s="4">
        <v>23.0</v>
      </c>
      <c r="B54" s="4">
        <v>0.0</v>
      </c>
      <c r="C54" s="4">
        <v>0.0</v>
      </c>
      <c r="D54" s="4">
        <v>0.0</v>
      </c>
      <c r="E54" s="4">
        <v>0.0</v>
      </c>
      <c r="F54" s="4">
        <v>1.0</v>
      </c>
      <c r="G54" s="4">
        <v>0.0</v>
      </c>
      <c r="H54" s="4">
        <v>0.0</v>
      </c>
      <c r="I54" s="4">
        <v>1.0</v>
      </c>
      <c r="J54" s="4">
        <v>0.0</v>
      </c>
      <c r="K54" s="4">
        <v>0.0</v>
      </c>
      <c r="L54" s="4">
        <v>0.0</v>
      </c>
      <c r="M54" s="4">
        <v>0.0</v>
      </c>
      <c r="N54" s="4">
        <v>1.0</v>
      </c>
      <c r="O54" s="4">
        <v>0.0</v>
      </c>
      <c r="P54" s="4">
        <v>0.0</v>
      </c>
      <c r="Q54" s="4">
        <v>0.0</v>
      </c>
      <c r="R54" s="4">
        <v>1.0</v>
      </c>
      <c r="S54" s="4">
        <v>0.0</v>
      </c>
      <c r="T54" s="4">
        <v>1.0</v>
      </c>
      <c r="U54" s="4">
        <v>1.0</v>
      </c>
      <c r="V54" s="4">
        <v>0.0</v>
      </c>
      <c r="W54" s="4">
        <v>0.0</v>
      </c>
      <c r="X54" s="4">
        <v>0.0</v>
      </c>
      <c r="Y54" s="4">
        <v>0.0</v>
      </c>
      <c r="Z54" s="4">
        <v>0.0</v>
      </c>
      <c r="AA54" s="4">
        <v>1.0</v>
      </c>
      <c r="AB54" s="4">
        <v>0.0</v>
      </c>
      <c r="AC54" s="4">
        <v>0.0</v>
      </c>
      <c r="AD54" s="4">
        <v>0.0</v>
      </c>
      <c r="AE54" s="4">
        <v>0.0</v>
      </c>
    </row>
    <row r="55" ht="15.75" customHeight="1">
      <c r="A55" s="4">
        <v>24.0</v>
      </c>
      <c r="B55" s="4">
        <v>0.0</v>
      </c>
      <c r="C55" s="4">
        <v>0.0</v>
      </c>
      <c r="D55" s="4">
        <v>0.0</v>
      </c>
      <c r="E55" s="4">
        <v>1.0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1.0</v>
      </c>
      <c r="L55" s="4">
        <v>0.0</v>
      </c>
      <c r="M55" s="4">
        <v>0.0</v>
      </c>
      <c r="N55" s="4">
        <v>1.0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1.0</v>
      </c>
      <c r="U55" s="4">
        <v>0.0</v>
      </c>
      <c r="V55" s="4">
        <v>0.0</v>
      </c>
      <c r="W55" s="4">
        <v>0.0</v>
      </c>
      <c r="X55" s="4">
        <v>0.0</v>
      </c>
      <c r="Y55" s="4">
        <v>0.0</v>
      </c>
      <c r="Z55" s="4">
        <v>0.0</v>
      </c>
      <c r="AA55" s="4">
        <v>1.0</v>
      </c>
      <c r="AB55" s="4">
        <v>0.0</v>
      </c>
      <c r="AC55" s="4">
        <v>0.0</v>
      </c>
      <c r="AD55" s="4">
        <v>0.0</v>
      </c>
      <c r="AE55" s="4">
        <v>0.0</v>
      </c>
    </row>
    <row r="56" ht="15.75" customHeight="1">
      <c r="A56" s="4">
        <v>25.0</v>
      </c>
      <c r="B56" s="4">
        <v>0.0</v>
      </c>
      <c r="C56" s="4">
        <v>0.0</v>
      </c>
      <c r="D56" s="4">
        <v>0.0</v>
      </c>
      <c r="E56" s="4">
        <v>1.0</v>
      </c>
      <c r="F56" s="4">
        <v>0.0</v>
      </c>
      <c r="G56" s="4">
        <v>1.0</v>
      </c>
      <c r="H56" s="4">
        <v>0.0</v>
      </c>
      <c r="I56" s="4">
        <v>0.0</v>
      </c>
      <c r="J56" s="4">
        <v>0.0</v>
      </c>
      <c r="K56" s="4">
        <v>1.0</v>
      </c>
      <c r="L56" s="4">
        <v>0.0</v>
      </c>
      <c r="M56" s="4">
        <v>1.0</v>
      </c>
      <c r="N56" s="4">
        <v>0.0</v>
      </c>
      <c r="O56" s="4">
        <v>0.0</v>
      </c>
      <c r="P56" s="4">
        <v>0.0</v>
      </c>
      <c r="Q56" s="4">
        <v>0.0</v>
      </c>
      <c r="R56" s="4">
        <v>1.0</v>
      </c>
      <c r="S56" s="4">
        <v>0.0</v>
      </c>
      <c r="T56" s="4">
        <v>0.0</v>
      </c>
      <c r="U56" s="4">
        <v>1.0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1.0</v>
      </c>
      <c r="AB56" s="4">
        <v>0.0</v>
      </c>
      <c r="AC56" s="4">
        <v>0.0</v>
      </c>
      <c r="AD56" s="4">
        <v>0.0</v>
      </c>
      <c r="AE56" s="4">
        <v>0.0</v>
      </c>
    </row>
    <row r="57" ht="15.75" customHeight="1">
      <c r="A57" s="4">
        <v>26.0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1.0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1.0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1.0</v>
      </c>
      <c r="AB57" s="4">
        <v>0.0</v>
      </c>
      <c r="AC57" s="4">
        <v>0.0</v>
      </c>
      <c r="AD57" s="4">
        <v>0.0</v>
      </c>
      <c r="AE57" s="4">
        <v>0.0</v>
      </c>
    </row>
    <row r="58" ht="15.75" customHeight="1">
      <c r="A58" s="4">
        <v>27.0</v>
      </c>
      <c r="B58" s="4">
        <v>0.0</v>
      </c>
      <c r="C58" s="4">
        <v>0.0</v>
      </c>
      <c r="D58" s="4">
        <v>0.0</v>
      </c>
      <c r="E58" s="4">
        <v>1.0</v>
      </c>
      <c r="F58" s="4">
        <v>0.0</v>
      </c>
      <c r="G58" s="4">
        <v>1.0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1.0</v>
      </c>
      <c r="N58" s="4">
        <v>1.0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1.0</v>
      </c>
      <c r="U58" s="4">
        <v>1.0</v>
      </c>
      <c r="V58" s="4">
        <v>0.0</v>
      </c>
      <c r="W58" s="4">
        <v>0.0</v>
      </c>
      <c r="X58" s="4">
        <v>0.0</v>
      </c>
      <c r="Y58" s="4">
        <v>0.0</v>
      </c>
      <c r="Z58" s="4">
        <v>0.0</v>
      </c>
      <c r="AA58" s="4">
        <v>0.0</v>
      </c>
      <c r="AB58" s="4">
        <v>0.0</v>
      </c>
      <c r="AC58" s="4">
        <v>0.0</v>
      </c>
      <c r="AD58" s="4">
        <v>0.0</v>
      </c>
      <c r="AE58" s="4">
        <v>0.0</v>
      </c>
    </row>
    <row r="59" ht="15.75" customHeight="1">
      <c r="A59" s="4">
        <v>28.0</v>
      </c>
      <c r="B59" s="4">
        <v>0.0</v>
      </c>
      <c r="C59" s="4">
        <v>0.0</v>
      </c>
      <c r="D59" s="4">
        <v>0.0</v>
      </c>
      <c r="E59" s="4">
        <v>1.0</v>
      </c>
      <c r="F59" s="4">
        <v>0.0</v>
      </c>
      <c r="G59" s="4">
        <v>1.0</v>
      </c>
      <c r="H59" s="4">
        <v>0.0</v>
      </c>
      <c r="I59" s="4">
        <v>0.0</v>
      </c>
      <c r="J59" s="4">
        <v>0.0</v>
      </c>
      <c r="K59" s="4">
        <v>1.0</v>
      </c>
      <c r="L59" s="4">
        <v>0.0</v>
      </c>
      <c r="M59" s="4">
        <v>1.0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1.0</v>
      </c>
      <c r="W59" s="4">
        <v>0.0</v>
      </c>
      <c r="X59" s="4">
        <v>0.0</v>
      </c>
      <c r="Y59" s="4">
        <v>0.0</v>
      </c>
      <c r="Z59" s="4">
        <v>0.0</v>
      </c>
      <c r="AA59" s="4">
        <v>0.0</v>
      </c>
      <c r="AB59" s="4">
        <v>0.0</v>
      </c>
      <c r="AC59" s="4">
        <v>0.0</v>
      </c>
      <c r="AD59" s="4">
        <v>0.0</v>
      </c>
      <c r="AE59" s="4">
        <v>0.0</v>
      </c>
    </row>
    <row r="60" ht="15.75" customHeight="1">
      <c r="A60" s="4">
        <v>29.0</v>
      </c>
      <c r="B60" s="4">
        <v>0.0</v>
      </c>
      <c r="C60" s="4">
        <v>0.0</v>
      </c>
      <c r="D60" s="4">
        <v>0.0</v>
      </c>
      <c r="E60" s="4">
        <v>1.0</v>
      </c>
      <c r="F60" s="4">
        <v>0.0</v>
      </c>
      <c r="G60" s="4">
        <v>1.0</v>
      </c>
      <c r="H60" s="4">
        <v>0.0</v>
      </c>
      <c r="I60" s="4">
        <v>0.0</v>
      </c>
      <c r="J60" s="4">
        <v>0.0</v>
      </c>
      <c r="K60" s="4">
        <v>1.0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1.0</v>
      </c>
      <c r="V60" s="4">
        <v>1.0</v>
      </c>
      <c r="W60" s="4">
        <v>1.0</v>
      </c>
      <c r="X60" s="4">
        <v>0.0</v>
      </c>
      <c r="Y60" s="4">
        <v>0.0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</row>
    <row r="61" ht="15.75" customHeight="1">
      <c r="A61" s="4">
        <v>30.0</v>
      </c>
      <c r="B61" s="4">
        <v>0.0</v>
      </c>
      <c r="C61" s="4">
        <v>0.0</v>
      </c>
      <c r="D61" s="4">
        <v>0.0</v>
      </c>
      <c r="E61" s="4">
        <v>1.0</v>
      </c>
      <c r="F61" s="4">
        <v>0.0</v>
      </c>
      <c r="G61" s="4">
        <v>1.0</v>
      </c>
      <c r="H61" s="4">
        <v>1.0</v>
      </c>
      <c r="I61" s="4">
        <v>0.0</v>
      </c>
      <c r="J61" s="4">
        <v>0.0</v>
      </c>
      <c r="K61" s="4">
        <v>1.0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1.0</v>
      </c>
      <c r="U61" s="4">
        <v>1.0</v>
      </c>
      <c r="V61" s="4">
        <v>1.0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1.0</v>
      </c>
    </row>
    <row r="62" ht="15.75" customHeight="1">
      <c r="A62" s="4">
        <v>31.0</v>
      </c>
      <c r="B62" s="4">
        <v>0.0</v>
      </c>
      <c r="C62" s="4">
        <v>0.0</v>
      </c>
      <c r="D62" s="4">
        <v>0.0</v>
      </c>
      <c r="E62" s="4">
        <v>1.0</v>
      </c>
      <c r="F62" s="4">
        <v>0.0</v>
      </c>
      <c r="G62" s="4">
        <v>1.0</v>
      </c>
      <c r="H62" s="4">
        <v>1.0</v>
      </c>
      <c r="I62" s="4">
        <v>0.0</v>
      </c>
      <c r="J62" s="4">
        <v>0.0</v>
      </c>
      <c r="K62" s="4">
        <v>1.0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0.0</v>
      </c>
      <c r="S62" s="4">
        <v>0.0</v>
      </c>
      <c r="T62" s="4">
        <v>1.0</v>
      </c>
      <c r="U62" s="4">
        <v>1.0</v>
      </c>
      <c r="V62" s="4">
        <v>1.0</v>
      </c>
      <c r="W62" s="4">
        <v>0.0</v>
      </c>
      <c r="X62" s="4">
        <v>0.0</v>
      </c>
      <c r="Y62" s="4">
        <v>0.0</v>
      </c>
      <c r="Z62" s="4">
        <v>0.0</v>
      </c>
      <c r="AA62" s="4">
        <v>0.0</v>
      </c>
      <c r="AB62" s="4">
        <v>0.0</v>
      </c>
      <c r="AC62" s="4">
        <v>0.0</v>
      </c>
      <c r="AD62" s="4">
        <v>0.0</v>
      </c>
      <c r="AE62" s="4">
        <v>1.0</v>
      </c>
    </row>
    <row r="63" ht="15.75" customHeight="1">
      <c r="A63" s="23">
        <v>37104.0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1.0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  <c r="T63" s="4">
        <v>1.0</v>
      </c>
      <c r="U63" s="4">
        <v>1.0</v>
      </c>
      <c r="V63" s="4">
        <v>1.0</v>
      </c>
      <c r="W63" s="4">
        <v>1.0</v>
      </c>
      <c r="X63" s="4">
        <v>0.0</v>
      </c>
      <c r="Y63" s="4">
        <v>0.0</v>
      </c>
      <c r="Z63" s="4">
        <v>0.0</v>
      </c>
      <c r="AA63" s="4">
        <v>0.0</v>
      </c>
      <c r="AB63" s="4">
        <v>0.0</v>
      </c>
      <c r="AC63" s="4">
        <v>0.0</v>
      </c>
      <c r="AD63" s="4">
        <v>0.0</v>
      </c>
      <c r="AE63" s="4">
        <v>1.0</v>
      </c>
    </row>
    <row r="64" ht="15.75" customHeight="1">
      <c r="A64" s="4">
        <v>2.0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1.0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1.0</v>
      </c>
      <c r="U64" s="4">
        <v>1.0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0.0</v>
      </c>
      <c r="AC64" s="4">
        <v>0.0</v>
      </c>
      <c r="AD64" s="4">
        <v>0.0</v>
      </c>
      <c r="AE64" s="4">
        <v>0.0</v>
      </c>
    </row>
    <row r="65" ht="15.75" customHeight="1">
      <c r="A65" s="4">
        <v>3.0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1.0</v>
      </c>
      <c r="U65" s="4">
        <v>1.0</v>
      </c>
      <c r="V65" s="4">
        <v>1.0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1.0</v>
      </c>
    </row>
    <row r="66" ht="15.75" customHeight="1">
      <c r="A66" s="4">
        <v>4.0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0.0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</row>
    <row r="67" ht="15.75" customHeight="1">
      <c r="A67" s="4">
        <v>5.0</v>
      </c>
      <c r="B67" s="4">
        <v>0.0</v>
      </c>
      <c r="C67" s="4">
        <v>0.0</v>
      </c>
      <c r="D67" s="4">
        <v>1.0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1.0</v>
      </c>
      <c r="N67" s="4">
        <v>0.0</v>
      </c>
      <c r="O67" s="4">
        <v>0.0</v>
      </c>
      <c r="P67" s="4">
        <v>1.0</v>
      </c>
      <c r="Q67" s="4">
        <v>0.0</v>
      </c>
      <c r="R67" s="4">
        <v>0.0</v>
      </c>
      <c r="S67" s="4">
        <v>0.0</v>
      </c>
      <c r="T67" s="4">
        <v>1.0</v>
      </c>
      <c r="U67" s="4">
        <v>0.0</v>
      </c>
      <c r="V67" s="4">
        <v>0.0</v>
      </c>
      <c r="W67" s="4">
        <v>0.0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</row>
    <row r="68" ht="15.75" customHeight="1">
      <c r="A68" s="4">
        <v>6.0</v>
      </c>
      <c r="B68" s="4">
        <v>0.0</v>
      </c>
      <c r="C68" s="4">
        <v>0.0</v>
      </c>
      <c r="D68" s="4">
        <v>1.0</v>
      </c>
      <c r="E68" s="4">
        <v>0.0</v>
      </c>
      <c r="F68" s="4">
        <v>0.0</v>
      </c>
      <c r="G68" s="4">
        <v>0.0</v>
      </c>
      <c r="H68" s="4">
        <v>0.0</v>
      </c>
      <c r="I68" s="4">
        <v>1.0</v>
      </c>
      <c r="J68" s="4">
        <v>0.0</v>
      </c>
      <c r="K68" s="4">
        <v>0.0</v>
      </c>
      <c r="L68" s="4">
        <v>0.0</v>
      </c>
      <c r="M68" s="4">
        <v>1.0</v>
      </c>
      <c r="N68" s="4">
        <v>0.0</v>
      </c>
      <c r="O68" s="4">
        <v>0.0</v>
      </c>
      <c r="P68" s="4">
        <v>1.0</v>
      </c>
      <c r="Q68" s="4">
        <v>0.0</v>
      </c>
      <c r="R68" s="4">
        <v>0.0</v>
      </c>
      <c r="S68" s="4">
        <v>0.0</v>
      </c>
      <c r="T68" s="4">
        <v>1.0</v>
      </c>
      <c r="U68" s="4">
        <v>0.0</v>
      </c>
      <c r="V68" s="4">
        <v>1.0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</row>
    <row r="69" ht="15.75" customHeight="1">
      <c r="A69" s="4">
        <v>7.0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1.0</v>
      </c>
      <c r="J69" s="4">
        <v>0.0</v>
      </c>
      <c r="K69" s="4">
        <v>0.0</v>
      </c>
      <c r="L69" s="4">
        <v>0.0</v>
      </c>
      <c r="M69" s="4">
        <v>1.0</v>
      </c>
      <c r="N69" s="4">
        <v>0.0</v>
      </c>
      <c r="O69" s="4">
        <v>0.0</v>
      </c>
      <c r="P69" s="4">
        <v>1.0</v>
      </c>
      <c r="Q69" s="4">
        <v>0.0</v>
      </c>
      <c r="R69" s="4">
        <v>0.0</v>
      </c>
      <c r="S69" s="4">
        <v>0.0</v>
      </c>
      <c r="T69" s="4">
        <v>1.0</v>
      </c>
      <c r="U69" s="4">
        <v>0.0</v>
      </c>
      <c r="V69" s="4">
        <v>1.0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</row>
    <row r="70" ht="15.75" customHeight="1">
      <c r="A70" s="4">
        <v>8.0</v>
      </c>
      <c r="B70" s="4">
        <v>0.0</v>
      </c>
      <c r="C70" s="4">
        <v>1.0</v>
      </c>
      <c r="D70" s="4">
        <v>0.0</v>
      </c>
      <c r="E70" s="4">
        <v>1.0</v>
      </c>
      <c r="F70" s="4">
        <v>0.0</v>
      </c>
      <c r="G70" s="4">
        <v>0.0</v>
      </c>
      <c r="H70" s="4">
        <v>0.0</v>
      </c>
      <c r="I70" s="4">
        <v>1.0</v>
      </c>
      <c r="J70" s="4">
        <v>0.0</v>
      </c>
      <c r="K70" s="4">
        <v>0.0</v>
      </c>
      <c r="L70" s="4">
        <v>0.0</v>
      </c>
      <c r="M70" s="4">
        <v>1.0</v>
      </c>
      <c r="N70" s="4">
        <v>0.0</v>
      </c>
      <c r="O70" s="4">
        <v>0.0</v>
      </c>
      <c r="P70" s="4">
        <v>1.0</v>
      </c>
      <c r="Q70" s="4">
        <v>0.0</v>
      </c>
      <c r="R70" s="4">
        <v>0.0</v>
      </c>
      <c r="S70" s="4">
        <v>0.0</v>
      </c>
      <c r="T70" s="4">
        <v>1.0</v>
      </c>
      <c r="U70" s="4">
        <v>0.0</v>
      </c>
      <c r="V70" s="4">
        <v>0.0</v>
      </c>
      <c r="W70" s="4">
        <v>0.0</v>
      </c>
      <c r="X70" s="4">
        <v>0.0</v>
      </c>
      <c r="Y70" s="4">
        <v>0.0</v>
      </c>
      <c r="Z70" s="4">
        <v>0.0</v>
      </c>
      <c r="AA70" s="4">
        <v>0.0</v>
      </c>
      <c r="AB70" s="4">
        <v>0.0</v>
      </c>
      <c r="AC70" s="4">
        <v>0.0</v>
      </c>
      <c r="AD70" s="4">
        <v>0.0</v>
      </c>
      <c r="AE70" s="4">
        <v>0.0</v>
      </c>
    </row>
    <row r="71" ht="15.75" customHeight="1">
      <c r="A71" s="4">
        <v>9.0</v>
      </c>
      <c r="B71" s="4">
        <v>0.0</v>
      </c>
      <c r="C71" s="4">
        <v>1.0</v>
      </c>
      <c r="D71" s="4">
        <v>1.0</v>
      </c>
      <c r="E71" s="4">
        <v>1.0</v>
      </c>
      <c r="F71" s="4">
        <v>0.0</v>
      </c>
      <c r="G71" s="4">
        <v>0.0</v>
      </c>
      <c r="H71" s="4">
        <v>0.0</v>
      </c>
      <c r="I71" s="4">
        <v>1.0</v>
      </c>
      <c r="J71" s="4">
        <v>0.0</v>
      </c>
      <c r="K71" s="4">
        <v>0.0</v>
      </c>
      <c r="L71" s="4">
        <v>0.0</v>
      </c>
      <c r="M71" s="4">
        <v>1.0</v>
      </c>
      <c r="N71" s="4">
        <v>0.0</v>
      </c>
      <c r="O71" s="4">
        <v>0.0</v>
      </c>
      <c r="P71" s="4">
        <v>1.0</v>
      </c>
      <c r="Q71" s="4">
        <v>0.0</v>
      </c>
      <c r="R71" s="4">
        <v>0.0</v>
      </c>
      <c r="S71" s="4">
        <v>0.0</v>
      </c>
      <c r="T71" s="4">
        <v>1.0</v>
      </c>
      <c r="U71" s="4">
        <v>0.0</v>
      </c>
      <c r="V71" s="4">
        <v>0.0</v>
      </c>
      <c r="W71" s="4">
        <v>0.0</v>
      </c>
      <c r="X71" s="4">
        <v>0.0</v>
      </c>
      <c r="Y71" s="4">
        <v>0.0</v>
      </c>
      <c r="Z71" s="4">
        <v>0.0</v>
      </c>
      <c r="AA71" s="4">
        <v>0.0</v>
      </c>
      <c r="AB71" s="4">
        <v>0.0</v>
      </c>
      <c r="AC71" s="4">
        <v>0.0</v>
      </c>
      <c r="AD71" s="4">
        <v>0.0</v>
      </c>
      <c r="AE71" s="4">
        <v>0.0</v>
      </c>
    </row>
    <row r="72" ht="15.75" customHeight="1">
      <c r="A72" s="4">
        <v>10.0</v>
      </c>
      <c r="B72" s="4">
        <v>0.0</v>
      </c>
      <c r="C72" s="4">
        <v>0.0</v>
      </c>
      <c r="D72" s="4">
        <v>1.0</v>
      </c>
      <c r="E72" s="4">
        <v>0.0</v>
      </c>
      <c r="F72" s="4">
        <v>0.0</v>
      </c>
      <c r="G72" s="4">
        <v>0.0</v>
      </c>
      <c r="H72" s="4">
        <v>0.0</v>
      </c>
      <c r="I72" s="4">
        <v>1.0</v>
      </c>
      <c r="J72" s="4">
        <v>0.0</v>
      </c>
      <c r="K72" s="4">
        <v>0.0</v>
      </c>
      <c r="L72" s="4">
        <v>0.0</v>
      </c>
      <c r="M72" s="4">
        <v>1.0</v>
      </c>
      <c r="N72" s="4">
        <v>0.0</v>
      </c>
      <c r="O72" s="4">
        <v>0.0</v>
      </c>
      <c r="P72" s="4">
        <v>1.0</v>
      </c>
      <c r="Q72" s="4">
        <v>0.0</v>
      </c>
      <c r="R72" s="4">
        <v>1.0</v>
      </c>
      <c r="S72" s="4">
        <v>0.0</v>
      </c>
      <c r="T72" s="4">
        <v>0.0</v>
      </c>
      <c r="U72" s="4">
        <v>0.0</v>
      </c>
      <c r="V72" s="4">
        <v>1.0</v>
      </c>
      <c r="W72" s="4">
        <v>0.0</v>
      </c>
      <c r="X72" s="4">
        <v>0.0</v>
      </c>
      <c r="Y72" s="4">
        <v>0.0</v>
      </c>
      <c r="Z72" s="4">
        <v>1.0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</row>
    <row r="73" ht="15.75" customHeight="1">
      <c r="A73" s="4">
        <v>11.0</v>
      </c>
      <c r="B73" s="4">
        <v>0.0</v>
      </c>
      <c r="C73" s="4">
        <v>0.0</v>
      </c>
      <c r="D73" s="4">
        <v>1.0</v>
      </c>
      <c r="E73" s="4">
        <v>1.0</v>
      </c>
      <c r="F73" s="4">
        <v>0.0</v>
      </c>
      <c r="G73" s="4">
        <v>0.0</v>
      </c>
      <c r="H73" s="4">
        <v>1.0</v>
      </c>
      <c r="I73" s="4">
        <v>1.0</v>
      </c>
      <c r="J73" s="4">
        <v>0.0</v>
      </c>
      <c r="K73" s="4">
        <v>0.0</v>
      </c>
      <c r="L73" s="4">
        <v>1.0</v>
      </c>
      <c r="M73" s="4">
        <v>1.0</v>
      </c>
      <c r="N73" s="4">
        <v>0.0</v>
      </c>
      <c r="O73" s="4">
        <v>0.0</v>
      </c>
      <c r="P73" s="4">
        <v>1.0</v>
      </c>
      <c r="Q73" s="4">
        <v>0.0</v>
      </c>
      <c r="R73" s="4">
        <v>1.0</v>
      </c>
      <c r="S73" s="4">
        <v>1.0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1.0</v>
      </c>
      <c r="AA73" s="4">
        <v>0.0</v>
      </c>
      <c r="AB73" s="4">
        <v>0.0</v>
      </c>
      <c r="AC73" s="4">
        <v>0.0</v>
      </c>
      <c r="AD73" s="4">
        <v>1.0</v>
      </c>
      <c r="AE73" s="4">
        <v>0.0</v>
      </c>
    </row>
    <row r="74" ht="15.75" customHeight="1">
      <c r="A74" s="4">
        <v>12.0</v>
      </c>
      <c r="B74" s="4">
        <v>0.0</v>
      </c>
      <c r="C74" s="4">
        <v>0.0</v>
      </c>
      <c r="D74" s="4">
        <v>1.0</v>
      </c>
      <c r="E74" s="4">
        <v>1.0</v>
      </c>
      <c r="F74" s="4">
        <v>0.0</v>
      </c>
      <c r="G74" s="4">
        <v>1.0</v>
      </c>
      <c r="H74" s="4">
        <v>1.0</v>
      </c>
      <c r="I74" s="4">
        <v>1.0</v>
      </c>
      <c r="J74" s="4">
        <v>0.0</v>
      </c>
      <c r="K74" s="4">
        <v>0.0</v>
      </c>
      <c r="L74" s="4">
        <v>1.0</v>
      </c>
      <c r="M74" s="4">
        <v>0.0</v>
      </c>
      <c r="N74" s="4">
        <v>0.0</v>
      </c>
      <c r="O74" s="4">
        <v>1.0</v>
      </c>
      <c r="P74" s="4">
        <v>0.0</v>
      </c>
      <c r="Q74" s="4">
        <v>0.0</v>
      </c>
      <c r="R74" s="4">
        <v>1.0</v>
      </c>
      <c r="S74" s="4">
        <v>0.0</v>
      </c>
      <c r="T74" s="4">
        <v>0.0</v>
      </c>
      <c r="U74" s="4">
        <v>0.0</v>
      </c>
      <c r="V74" s="4">
        <v>0.0</v>
      </c>
      <c r="W74" s="4">
        <v>0.0</v>
      </c>
      <c r="X74" s="4">
        <v>0.0</v>
      </c>
      <c r="Y74" s="4">
        <v>0.0</v>
      </c>
      <c r="Z74" s="4">
        <v>0.0</v>
      </c>
      <c r="AA74" s="4">
        <v>0.0</v>
      </c>
      <c r="AB74" s="4">
        <v>1.0</v>
      </c>
      <c r="AC74" s="4">
        <v>0.0</v>
      </c>
      <c r="AD74" s="4">
        <v>1.0</v>
      </c>
      <c r="AE74" s="4">
        <v>0.0</v>
      </c>
    </row>
    <row r="75" ht="15.75" customHeight="1">
      <c r="A75" s="4">
        <v>13.0</v>
      </c>
      <c r="B75" s="4">
        <v>0.0</v>
      </c>
      <c r="C75" s="4">
        <v>0.0</v>
      </c>
      <c r="D75" s="4">
        <v>0.0</v>
      </c>
      <c r="E75" s="4">
        <v>0.0</v>
      </c>
      <c r="F75" s="4">
        <v>1.0</v>
      </c>
      <c r="G75" s="4">
        <v>0.0</v>
      </c>
      <c r="H75" s="4">
        <v>0.0</v>
      </c>
      <c r="I75" s="4">
        <v>1.0</v>
      </c>
      <c r="J75" s="4">
        <v>0.0</v>
      </c>
      <c r="K75" s="4">
        <v>0.0</v>
      </c>
      <c r="L75" s="4">
        <v>1.0</v>
      </c>
      <c r="M75" s="4">
        <v>0.0</v>
      </c>
      <c r="N75" s="4">
        <v>0.0</v>
      </c>
      <c r="O75" s="4">
        <v>1.0</v>
      </c>
      <c r="P75" s="4">
        <v>0.0</v>
      </c>
      <c r="Q75" s="4">
        <v>0.0</v>
      </c>
      <c r="R75" s="4">
        <v>1.0</v>
      </c>
      <c r="S75" s="4">
        <v>0.0</v>
      </c>
      <c r="T75" s="4">
        <v>0.0</v>
      </c>
      <c r="U75" s="4">
        <v>0.0</v>
      </c>
      <c r="V75" s="4">
        <v>0.0</v>
      </c>
      <c r="W75" s="4">
        <v>1.0</v>
      </c>
      <c r="X75" s="4">
        <v>0.0</v>
      </c>
      <c r="Y75" s="4">
        <v>0.0</v>
      </c>
      <c r="Z75" s="4">
        <v>0.0</v>
      </c>
      <c r="AA75" s="4">
        <v>0.0</v>
      </c>
      <c r="AB75" s="4">
        <v>1.0</v>
      </c>
      <c r="AC75" s="4">
        <v>0.0</v>
      </c>
      <c r="AD75" s="4">
        <v>1.0</v>
      </c>
      <c r="AE75" s="4">
        <v>0.0</v>
      </c>
    </row>
    <row r="76" ht="15.75" customHeight="1">
      <c r="A76" s="4">
        <v>14.0</v>
      </c>
      <c r="B76" s="4">
        <v>0.0</v>
      </c>
      <c r="C76" s="4">
        <v>0.0</v>
      </c>
      <c r="D76" s="4">
        <v>0.0</v>
      </c>
      <c r="E76" s="4">
        <v>0.0</v>
      </c>
      <c r="F76" s="4">
        <v>1.0</v>
      </c>
      <c r="G76" s="4">
        <v>1.0</v>
      </c>
      <c r="H76" s="4">
        <v>0.0</v>
      </c>
      <c r="I76" s="4">
        <v>1.0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1.0</v>
      </c>
      <c r="P76" s="4">
        <v>0.0</v>
      </c>
      <c r="Q76" s="4">
        <v>0.0</v>
      </c>
      <c r="R76" s="4">
        <v>1.0</v>
      </c>
      <c r="S76" s="4">
        <v>0.0</v>
      </c>
      <c r="T76" s="4">
        <v>0.0</v>
      </c>
      <c r="U76" s="4">
        <v>0.0</v>
      </c>
      <c r="V76" s="4">
        <v>0.0</v>
      </c>
      <c r="W76" s="4">
        <v>1.0</v>
      </c>
      <c r="X76" s="4">
        <v>0.0</v>
      </c>
      <c r="Y76" s="4">
        <v>0.0</v>
      </c>
      <c r="Z76" s="4">
        <v>1.0</v>
      </c>
      <c r="AA76" s="4">
        <v>0.0</v>
      </c>
      <c r="AB76" s="4">
        <v>1.0</v>
      </c>
      <c r="AC76" s="4">
        <v>0.0</v>
      </c>
      <c r="AD76" s="4">
        <v>1.0</v>
      </c>
      <c r="AE76" s="4">
        <v>0.0</v>
      </c>
    </row>
    <row r="77" ht="15.75" customHeight="1">
      <c r="A77" s="4">
        <v>15.0</v>
      </c>
      <c r="B77" s="4">
        <v>0.0</v>
      </c>
      <c r="C77" s="4">
        <v>0.0</v>
      </c>
      <c r="D77" s="4">
        <v>0.0</v>
      </c>
      <c r="E77" s="4">
        <v>1.0</v>
      </c>
      <c r="F77" s="4">
        <v>1.0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1.0</v>
      </c>
      <c r="M77" s="4">
        <v>0.0</v>
      </c>
      <c r="N77" s="4">
        <v>0.0</v>
      </c>
      <c r="O77" s="4">
        <v>1.0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1.0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1.0</v>
      </c>
      <c r="AE77" s="4">
        <v>0.0</v>
      </c>
    </row>
    <row r="78" ht="15.75" customHeight="1">
      <c r="A78" s="4">
        <v>16.0</v>
      </c>
      <c r="B78" s="4">
        <v>0.0</v>
      </c>
      <c r="C78" s="4">
        <v>0.0</v>
      </c>
      <c r="D78" s="4">
        <v>0.0</v>
      </c>
      <c r="E78" s="4">
        <v>1.0</v>
      </c>
      <c r="F78" s="4">
        <v>0.0</v>
      </c>
      <c r="G78" s="4">
        <v>0.0</v>
      </c>
      <c r="H78" s="4">
        <v>1.0</v>
      </c>
      <c r="I78" s="4">
        <v>1.0</v>
      </c>
      <c r="J78" s="4">
        <v>1.0</v>
      </c>
      <c r="K78" s="4">
        <v>1.0</v>
      </c>
      <c r="L78" s="4">
        <v>1.0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1.0</v>
      </c>
      <c r="X78" s="4">
        <v>0.0</v>
      </c>
      <c r="Y78" s="4">
        <v>0.0</v>
      </c>
      <c r="Z78" s="4">
        <v>0.0</v>
      </c>
      <c r="AA78" s="4">
        <v>0.0</v>
      </c>
      <c r="AB78" s="4">
        <v>0.0</v>
      </c>
      <c r="AC78" s="4">
        <v>0.0</v>
      </c>
      <c r="AD78" s="4">
        <v>1.0</v>
      </c>
      <c r="AE78" s="4">
        <v>0.0</v>
      </c>
    </row>
    <row r="79" ht="15.75" customHeight="1">
      <c r="A79" s="4">
        <v>17.0</v>
      </c>
      <c r="B79" s="4">
        <v>0.0</v>
      </c>
      <c r="C79" s="4">
        <v>0.0</v>
      </c>
      <c r="D79" s="4">
        <v>0.0</v>
      </c>
      <c r="E79" s="4">
        <v>1.0</v>
      </c>
      <c r="F79" s="4">
        <v>0.0</v>
      </c>
      <c r="G79" s="4">
        <v>1.0</v>
      </c>
      <c r="H79" s="4">
        <v>0.0</v>
      </c>
      <c r="I79" s="4">
        <v>1.0</v>
      </c>
      <c r="J79" s="4">
        <v>1.0</v>
      </c>
      <c r="K79" s="4">
        <v>1.0</v>
      </c>
      <c r="L79" s="4">
        <v>1.0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1.0</v>
      </c>
      <c r="X79" s="4">
        <v>0.0</v>
      </c>
      <c r="Y79" s="4">
        <v>0.0</v>
      </c>
      <c r="Z79" s="4">
        <v>1.0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</row>
    <row r="80" ht="15.75" customHeight="1">
      <c r="A80" s="4">
        <v>18.0</v>
      </c>
      <c r="B80" s="4">
        <v>0.0</v>
      </c>
      <c r="C80" s="4">
        <v>0.0</v>
      </c>
      <c r="D80" s="4">
        <v>0.0</v>
      </c>
      <c r="E80" s="4">
        <v>1.0</v>
      </c>
      <c r="F80" s="4">
        <v>0.0</v>
      </c>
      <c r="G80" s="4">
        <v>0.0</v>
      </c>
      <c r="H80" s="4">
        <v>0.0</v>
      </c>
      <c r="I80" s="4">
        <v>1.0</v>
      </c>
      <c r="J80" s="4">
        <v>1.0</v>
      </c>
      <c r="K80" s="4">
        <v>1.0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1.0</v>
      </c>
      <c r="X80" s="4">
        <v>1.0</v>
      </c>
      <c r="Y80" s="4">
        <v>0.0</v>
      </c>
      <c r="Z80" s="4">
        <v>1.0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</row>
    <row r="81" ht="15.75" customHeight="1">
      <c r="A81" s="4">
        <v>19.0</v>
      </c>
      <c r="B81" s="4">
        <v>0.0</v>
      </c>
      <c r="C81" s="4">
        <v>0.0</v>
      </c>
      <c r="D81" s="4">
        <v>0.0</v>
      </c>
      <c r="E81" s="4">
        <v>1.0</v>
      </c>
      <c r="F81" s="4">
        <v>0.0</v>
      </c>
      <c r="G81" s="4">
        <v>0.0</v>
      </c>
      <c r="H81" s="4">
        <v>0.0</v>
      </c>
      <c r="I81" s="4">
        <v>0.0</v>
      </c>
      <c r="J81" s="4">
        <v>1.0</v>
      </c>
      <c r="K81" s="4">
        <v>1.0</v>
      </c>
      <c r="L81" s="4">
        <v>1.0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1.0</v>
      </c>
      <c r="U81" s="4">
        <v>0.0</v>
      </c>
      <c r="V81" s="4">
        <v>0.0</v>
      </c>
      <c r="W81" s="4">
        <v>0.0</v>
      </c>
      <c r="X81" s="4">
        <v>1.0</v>
      </c>
      <c r="Y81" s="4">
        <v>0.0</v>
      </c>
      <c r="Z81" s="4">
        <v>1.0</v>
      </c>
      <c r="AA81" s="4">
        <v>0.0</v>
      </c>
      <c r="AB81" s="4">
        <v>0.0</v>
      </c>
      <c r="AC81" s="4">
        <v>0.0</v>
      </c>
      <c r="AD81" s="4">
        <v>1.0</v>
      </c>
      <c r="AE81" s="4">
        <v>0.0</v>
      </c>
    </row>
    <row r="82" ht="15.75" customHeight="1">
      <c r="A82" s="4">
        <v>20.0</v>
      </c>
      <c r="B82" s="4">
        <v>0.0</v>
      </c>
      <c r="C82" s="4">
        <v>0.0</v>
      </c>
      <c r="D82" s="4">
        <v>1.0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1.0</v>
      </c>
      <c r="K82" s="4">
        <v>1.0</v>
      </c>
      <c r="L82" s="4">
        <v>1.0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  <c r="T82" s="4">
        <v>0.0</v>
      </c>
      <c r="U82" s="4">
        <v>0.0</v>
      </c>
      <c r="V82" s="4">
        <v>0.0</v>
      </c>
      <c r="W82" s="4">
        <v>1.0</v>
      </c>
      <c r="X82" s="4">
        <v>1.0</v>
      </c>
      <c r="Y82" s="4">
        <v>0.0</v>
      </c>
      <c r="Z82" s="4">
        <v>0.0</v>
      </c>
      <c r="AA82" s="4">
        <v>0.0</v>
      </c>
      <c r="AB82" s="4">
        <v>0.0</v>
      </c>
      <c r="AC82" s="4">
        <v>0.0</v>
      </c>
      <c r="AD82" s="4">
        <v>1.0</v>
      </c>
      <c r="AE82" s="4">
        <v>0.0</v>
      </c>
    </row>
    <row r="83" ht="15.75" customHeight="1">
      <c r="A83" s="4">
        <v>21.0</v>
      </c>
      <c r="B83" s="4">
        <v>0.0</v>
      </c>
      <c r="C83" s="4">
        <v>0.0</v>
      </c>
      <c r="D83" s="4">
        <v>0.0</v>
      </c>
      <c r="E83" s="4">
        <v>1.0</v>
      </c>
      <c r="F83" s="4">
        <v>0.0</v>
      </c>
      <c r="G83" s="4">
        <v>0.0</v>
      </c>
      <c r="H83" s="4">
        <v>0.0</v>
      </c>
      <c r="I83" s="4">
        <v>0.0</v>
      </c>
      <c r="J83" s="4">
        <v>1.0</v>
      </c>
      <c r="K83" s="4">
        <v>1.0</v>
      </c>
      <c r="L83" s="4">
        <v>1.0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  <c r="T83" s="4">
        <v>0.0</v>
      </c>
      <c r="U83" s="4">
        <v>0.0</v>
      </c>
      <c r="V83" s="4">
        <v>0.0</v>
      </c>
      <c r="W83" s="4">
        <v>1.0</v>
      </c>
      <c r="X83" s="4">
        <v>1.0</v>
      </c>
      <c r="Y83" s="4">
        <v>0.0</v>
      </c>
      <c r="Z83" s="4">
        <v>0.0</v>
      </c>
      <c r="AA83" s="4">
        <v>0.0</v>
      </c>
      <c r="AB83" s="4">
        <v>0.0</v>
      </c>
      <c r="AC83" s="4">
        <v>0.0</v>
      </c>
      <c r="AD83" s="4">
        <v>1.0</v>
      </c>
      <c r="AE83" s="4">
        <v>0.0</v>
      </c>
    </row>
    <row r="84" ht="15.75" customHeight="1">
      <c r="A84" s="4">
        <v>22.0</v>
      </c>
      <c r="B84" s="4">
        <v>0.0</v>
      </c>
      <c r="C84" s="4">
        <v>0.0</v>
      </c>
      <c r="D84" s="4">
        <v>0.0</v>
      </c>
      <c r="E84" s="4">
        <v>1.0</v>
      </c>
      <c r="F84" s="4">
        <v>0.0</v>
      </c>
      <c r="G84" s="4">
        <v>0.0</v>
      </c>
      <c r="H84" s="4">
        <v>0.0</v>
      </c>
      <c r="I84" s="4">
        <v>0.0</v>
      </c>
      <c r="J84" s="4">
        <v>1.0</v>
      </c>
      <c r="K84" s="4">
        <v>1.0</v>
      </c>
      <c r="L84" s="4">
        <v>1.0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  <c r="T84" s="4">
        <v>1.0</v>
      </c>
      <c r="U84" s="4">
        <v>0.0</v>
      </c>
      <c r="V84" s="4">
        <v>0.0</v>
      </c>
      <c r="W84" s="4">
        <v>1.0</v>
      </c>
      <c r="X84" s="4">
        <v>1.0</v>
      </c>
      <c r="Y84" s="4">
        <v>0.0</v>
      </c>
      <c r="Z84" s="4">
        <v>0.0</v>
      </c>
      <c r="AA84" s="4">
        <v>0.0</v>
      </c>
      <c r="AB84" s="4">
        <v>0.0</v>
      </c>
      <c r="AC84" s="4">
        <v>0.0</v>
      </c>
      <c r="AD84" s="4">
        <v>0.0</v>
      </c>
      <c r="AE84" s="4">
        <v>0.0</v>
      </c>
    </row>
    <row r="85" ht="15.75" customHeight="1">
      <c r="A85" s="4">
        <v>23.0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1.0</v>
      </c>
      <c r="K85" s="4">
        <v>1.0</v>
      </c>
      <c r="L85" s="4">
        <v>1.0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0.0</v>
      </c>
      <c r="S85" s="4">
        <v>0.0</v>
      </c>
      <c r="T85" s="4">
        <v>1.0</v>
      </c>
      <c r="U85" s="4">
        <v>0.0</v>
      </c>
      <c r="V85" s="4">
        <v>0.0</v>
      </c>
      <c r="W85" s="4">
        <v>1.0</v>
      </c>
      <c r="X85" s="4">
        <v>1.0</v>
      </c>
      <c r="Y85" s="4">
        <v>0.0</v>
      </c>
      <c r="Z85" s="4">
        <v>1.0</v>
      </c>
      <c r="AA85" s="4">
        <v>1.0</v>
      </c>
      <c r="AB85" s="4">
        <v>0.0</v>
      </c>
      <c r="AC85" s="4">
        <v>0.0</v>
      </c>
      <c r="AD85" s="4">
        <v>0.0</v>
      </c>
      <c r="AE85" s="4">
        <v>0.0</v>
      </c>
    </row>
    <row r="86" ht="15.75" customHeight="1">
      <c r="A86" s="4">
        <v>24.0</v>
      </c>
      <c r="B86" s="4">
        <v>1.0</v>
      </c>
      <c r="C86" s="4">
        <v>0.0</v>
      </c>
      <c r="D86" s="4">
        <v>0.0</v>
      </c>
      <c r="E86" s="4">
        <v>0.0</v>
      </c>
      <c r="F86" s="4">
        <v>1.0</v>
      </c>
      <c r="G86" s="4">
        <v>0.0</v>
      </c>
      <c r="H86" s="4">
        <v>0.0</v>
      </c>
      <c r="I86" s="4">
        <v>0.0</v>
      </c>
      <c r="J86" s="4">
        <v>0.0</v>
      </c>
      <c r="K86" s="4">
        <v>1.0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  <c r="T86" s="4">
        <v>1.0</v>
      </c>
      <c r="U86" s="4">
        <v>0.0</v>
      </c>
      <c r="V86" s="4">
        <v>0.0</v>
      </c>
      <c r="W86" s="4">
        <v>1.0</v>
      </c>
      <c r="X86" s="4">
        <v>1.0</v>
      </c>
      <c r="Y86" s="4">
        <v>1.0</v>
      </c>
      <c r="Z86" s="4">
        <v>1.0</v>
      </c>
      <c r="AA86" s="4">
        <v>1.0</v>
      </c>
      <c r="AB86" s="4">
        <v>1.0</v>
      </c>
      <c r="AC86" s="4">
        <v>0.0</v>
      </c>
      <c r="AD86" s="4">
        <v>0.0</v>
      </c>
      <c r="AE86" s="4">
        <v>0.0</v>
      </c>
    </row>
    <row r="87" ht="15.75" customHeight="1">
      <c r="A87" s="4">
        <v>25.0</v>
      </c>
      <c r="B87" s="4">
        <v>1.0</v>
      </c>
      <c r="C87" s="4">
        <v>0.0</v>
      </c>
      <c r="D87" s="4">
        <v>0.0</v>
      </c>
      <c r="E87" s="4">
        <v>0.0</v>
      </c>
      <c r="F87" s="4">
        <v>1.0</v>
      </c>
      <c r="G87" s="4">
        <v>0.0</v>
      </c>
      <c r="H87" s="4">
        <v>1.0</v>
      </c>
      <c r="I87" s="4">
        <v>0.0</v>
      </c>
      <c r="J87" s="4">
        <v>1.0</v>
      </c>
      <c r="K87" s="4">
        <v>1.0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  <c r="T87" s="4">
        <v>1.0</v>
      </c>
      <c r="U87" s="4">
        <v>0.0</v>
      </c>
      <c r="V87" s="4">
        <v>1.0</v>
      </c>
      <c r="W87" s="4">
        <v>0.0</v>
      </c>
      <c r="X87" s="4">
        <v>1.0</v>
      </c>
      <c r="Y87" s="4">
        <v>1.0</v>
      </c>
      <c r="Z87" s="4">
        <v>1.0</v>
      </c>
      <c r="AA87" s="4">
        <v>1.0</v>
      </c>
      <c r="AB87" s="4">
        <v>1.0</v>
      </c>
      <c r="AC87" s="4">
        <v>0.0</v>
      </c>
      <c r="AD87" s="4">
        <v>0.0</v>
      </c>
      <c r="AE87" s="4">
        <v>0.0</v>
      </c>
    </row>
    <row r="88" ht="15.75" customHeight="1">
      <c r="A88" s="4" t="s">
        <v>23</v>
      </c>
    </row>
    <row r="89" ht="15.75" customHeight="1">
      <c r="A89" s="24" t="s">
        <v>24</v>
      </c>
      <c r="B89" s="4">
        <f t="shared" ref="B89:AE89" si="1">SUM(B16:B67)</f>
        <v>6</v>
      </c>
      <c r="C89" s="4">
        <f t="shared" si="1"/>
        <v>1</v>
      </c>
      <c r="D89" s="4">
        <f t="shared" si="1"/>
        <v>7</v>
      </c>
      <c r="E89" s="4">
        <f t="shared" si="1"/>
        <v>20</v>
      </c>
      <c r="F89" s="4">
        <f t="shared" si="1"/>
        <v>18</v>
      </c>
      <c r="G89" s="4">
        <f t="shared" si="1"/>
        <v>27</v>
      </c>
      <c r="H89" s="4">
        <f t="shared" si="1"/>
        <v>22</v>
      </c>
      <c r="I89" s="4">
        <f t="shared" si="1"/>
        <v>10</v>
      </c>
      <c r="J89" s="4">
        <f t="shared" si="1"/>
        <v>1</v>
      </c>
      <c r="K89" s="16">
        <f t="shared" si="1"/>
        <v>25</v>
      </c>
      <c r="L89" s="4">
        <f t="shared" si="1"/>
        <v>16</v>
      </c>
      <c r="M89" s="4">
        <f t="shared" si="1"/>
        <v>12</v>
      </c>
      <c r="N89" s="4">
        <f t="shared" si="1"/>
        <v>20</v>
      </c>
      <c r="O89" s="4">
        <f t="shared" si="1"/>
        <v>1</v>
      </c>
      <c r="P89" s="4">
        <f t="shared" si="1"/>
        <v>22</v>
      </c>
      <c r="Q89" s="4">
        <f t="shared" si="1"/>
        <v>5</v>
      </c>
      <c r="R89" s="4">
        <f t="shared" si="1"/>
        <v>11</v>
      </c>
      <c r="S89" s="4">
        <f t="shared" si="1"/>
        <v>10</v>
      </c>
      <c r="T89" s="4">
        <f t="shared" si="1"/>
        <v>11</v>
      </c>
      <c r="U89" s="4">
        <f t="shared" si="1"/>
        <v>14</v>
      </c>
      <c r="V89" s="4">
        <f t="shared" si="1"/>
        <v>20</v>
      </c>
      <c r="W89" s="4">
        <f t="shared" si="1"/>
        <v>16</v>
      </c>
      <c r="X89" s="4">
        <f t="shared" si="1"/>
        <v>1</v>
      </c>
      <c r="Y89" s="4">
        <f t="shared" si="1"/>
        <v>8</v>
      </c>
      <c r="Z89" s="4">
        <f t="shared" si="1"/>
        <v>7</v>
      </c>
      <c r="AA89" s="4">
        <f t="shared" si="1"/>
        <v>12</v>
      </c>
      <c r="AB89" s="4">
        <f t="shared" si="1"/>
        <v>11</v>
      </c>
      <c r="AC89" s="4">
        <f t="shared" si="1"/>
        <v>14</v>
      </c>
      <c r="AD89" s="4">
        <f t="shared" si="1"/>
        <v>7</v>
      </c>
      <c r="AE89" s="16">
        <f t="shared" si="1"/>
        <v>32</v>
      </c>
    </row>
    <row r="90" ht="15.75" customHeight="1">
      <c r="A90" s="25" t="s">
        <v>25</v>
      </c>
      <c r="B90" s="18">
        <f>SUM(B17:B77)</f>
        <v>5</v>
      </c>
      <c r="C90" s="18">
        <f t="shared" ref="C90:AE90" si="2">SUM(C17:C68)</f>
        <v>1</v>
      </c>
      <c r="D90" s="18">
        <f t="shared" si="2"/>
        <v>8</v>
      </c>
      <c r="E90" s="18">
        <f t="shared" si="2"/>
        <v>19</v>
      </c>
      <c r="F90" s="18">
        <f t="shared" si="2"/>
        <v>17</v>
      </c>
      <c r="G90" s="18">
        <f t="shared" si="2"/>
        <v>26</v>
      </c>
      <c r="H90" s="18">
        <f t="shared" si="2"/>
        <v>22</v>
      </c>
      <c r="I90" s="18">
        <f t="shared" si="2"/>
        <v>11</v>
      </c>
      <c r="J90" s="18">
        <f t="shared" si="2"/>
        <v>1</v>
      </c>
      <c r="K90" s="19">
        <f t="shared" si="2"/>
        <v>24</v>
      </c>
      <c r="L90" s="18">
        <f t="shared" si="2"/>
        <v>15</v>
      </c>
      <c r="M90" s="18">
        <f t="shared" si="2"/>
        <v>12</v>
      </c>
      <c r="N90" s="18">
        <f t="shared" si="2"/>
        <v>19</v>
      </c>
      <c r="O90" s="18">
        <f t="shared" si="2"/>
        <v>1</v>
      </c>
      <c r="P90" s="18">
        <f t="shared" si="2"/>
        <v>23</v>
      </c>
      <c r="Q90" s="18">
        <f t="shared" si="2"/>
        <v>4</v>
      </c>
      <c r="R90" s="18">
        <f t="shared" si="2"/>
        <v>10</v>
      </c>
      <c r="S90" s="18">
        <f t="shared" si="2"/>
        <v>10</v>
      </c>
      <c r="T90" s="18">
        <f t="shared" si="2"/>
        <v>12</v>
      </c>
      <c r="U90" s="18">
        <f t="shared" si="2"/>
        <v>14</v>
      </c>
      <c r="V90" s="18">
        <f t="shared" si="2"/>
        <v>21</v>
      </c>
      <c r="W90" s="18">
        <f t="shared" si="2"/>
        <v>16</v>
      </c>
      <c r="X90" s="18">
        <f t="shared" si="2"/>
        <v>0</v>
      </c>
      <c r="Y90" s="18">
        <f t="shared" si="2"/>
        <v>7</v>
      </c>
      <c r="Z90" s="18">
        <f t="shared" si="2"/>
        <v>7</v>
      </c>
      <c r="AA90" s="18">
        <f t="shared" si="2"/>
        <v>12</v>
      </c>
      <c r="AB90" s="18">
        <f t="shared" si="2"/>
        <v>10</v>
      </c>
      <c r="AC90" s="18">
        <f t="shared" si="2"/>
        <v>14</v>
      </c>
      <c r="AD90" s="18">
        <f t="shared" si="2"/>
        <v>7</v>
      </c>
      <c r="AE90" s="19">
        <f t="shared" si="2"/>
        <v>31</v>
      </c>
    </row>
    <row r="91" ht="15.75" customHeight="1">
      <c r="A91" s="24" t="s">
        <v>26</v>
      </c>
      <c r="B91" s="4">
        <f t="shared" ref="B91:AE91" si="3">SUM(B16:B87)</f>
        <v>8</v>
      </c>
      <c r="C91" s="4">
        <f t="shared" si="3"/>
        <v>3</v>
      </c>
      <c r="D91" s="4">
        <f t="shared" si="3"/>
        <v>13</v>
      </c>
      <c r="E91" s="4">
        <f t="shared" si="3"/>
        <v>31</v>
      </c>
      <c r="F91" s="4">
        <f t="shared" si="3"/>
        <v>23</v>
      </c>
      <c r="G91" s="4">
        <f t="shared" si="3"/>
        <v>30</v>
      </c>
      <c r="H91" s="4">
        <f t="shared" si="3"/>
        <v>26</v>
      </c>
      <c r="I91" s="4">
        <f t="shared" si="3"/>
        <v>22</v>
      </c>
      <c r="J91" s="4">
        <f t="shared" si="3"/>
        <v>10</v>
      </c>
      <c r="K91" s="16">
        <f t="shared" si="3"/>
        <v>35</v>
      </c>
      <c r="L91" s="15">
        <f t="shared" si="3"/>
        <v>27</v>
      </c>
      <c r="M91" s="4">
        <f t="shared" si="3"/>
        <v>18</v>
      </c>
      <c r="N91" s="4">
        <f t="shared" si="3"/>
        <v>20</v>
      </c>
      <c r="O91" s="4">
        <f t="shared" si="3"/>
        <v>5</v>
      </c>
      <c r="P91" s="4">
        <f t="shared" si="3"/>
        <v>28</v>
      </c>
      <c r="Q91" s="4">
        <f t="shared" si="3"/>
        <v>5</v>
      </c>
      <c r="R91" s="4">
        <f t="shared" si="3"/>
        <v>16</v>
      </c>
      <c r="S91" s="4">
        <f t="shared" si="3"/>
        <v>11</v>
      </c>
      <c r="T91" s="4">
        <f t="shared" si="3"/>
        <v>20</v>
      </c>
      <c r="U91" s="4">
        <f t="shared" si="3"/>
        <v>14</v>
      </c>
      <c r="V91" s="4">
        <f t="shared" si="3"/>
        <v>24</v>
      </c>
      <c r="W91" s="16">
        <f t="shared" si="3"/>
        <v>27</v>
      </c>
      <c r="X91" s="4">
        <f t="shared" si="3"/>
        <v>9</v>
      </c>
      <c r="Y91" s="4">
        <f t="shared" si="3"/>
        <v>10</v>
      </c>
      <c r="Z91" s="4">
        <f t="shared" si="3"/>
        <v>16</v>
      </c>
      <c r="AA91" s="4">
        <f t="shared" si="3"/>
        <v>15</v>
      </c>
      <c r="AB91" s="4">
        <f t="shared" si="3"/>
        <v>16</v>
      </c>
      <c r="AC91" s="4">
        <f t="shared" si="3"/>
        <v>14</v>
      </c>
      <c r="AD91" s="4">
        <f t="shared" si="3"/>
        <v>16</v>
      </c>
      <c r="AE91" s="16">
        <f t="shared" si="3"/>
        <v>32</v>
      </c>
    </row>
    <row r="92" ht="15.75" customHeight="1">
      <c r="A92" s="4" t="s">
        <v>27</v>
      </c>
      <c r="B92" s="4">
        <f t="shared" ref="B92:AE92" si="4">SUM(B2:B87)</f>
        <v>10</v>
      </c>
      <c r="C92" s="4">
        <f t="shared" si="4"/>
        <v>3</v>
      </c>
      <c r="D92" s="4">
        <f t="shared" si="4"/>
        <v>17</v>
      </c>
      <c r="E92" s="4">
        <f t="shared" si="4"/>
        <v>40</v>
      </c>
      <c r="F92" s="4">
        <f t="shared" si="4"/>
        <v>30</v>
      </c>
      <c r="G92" s="4">
        <f t="shared" si="4"/>
        <v>39</v>
      </c>
      <c r="H92" s="4">
        <f t="shared" si="4"/>
        <v>26</v>
      </c>
      <c r="I92" s="15">
        <f t="shared" si="4"/>
        <v>27</v>
      </c>
      <c r="J92" s="4">
        <f t="shared" si="4"/>
        <v>13</v>
      </c>
      <c r="K92" s="16">
        <f t="shared" si="4"/>
        <v>42</v>
      </c>
      <c r="L92" s="16">
        <f t="shared" si="4"/>
        <v>37</v>
      </c>
      <c r="M92" s="4">
        <f t="shared" si="4"/>
        <v>18</v>
      </c>
      <c r="N92" s="4">
        <f t="shared" si="4"/>
        <v>23</v>
      </c>
      <c r="O92" s="4">
        <f t="shared" si="4"/>
        <v>10</v>
      </c>
      <c r="P92" s="4">
        <f t="shared" si="4"/>
        <v>28</v>
      </c>
      <c r="Q92" s="4">
        <f t="shared" si="4"/>
        <v>7</v>
      </c>
      <c r="R92" s="4">
        <f t="shared" si="4"/>
        <v>20</v>
      </c>
      <c r="S92" s="4">
        <f t="shared" si="4"/>
        <v>13</v>
      </c>
      <c r="T92" s="4">
        <f t="shared" si="4"/>
        <v>24</v>
      </c>
      <c r="U92" s="4">
        <f t="shared" si="4"/>
        <v>16</v>
      </c>
      <c r="V92" s="4">
        <f t="shared" si="4"/>
        <v>26</v>
      </c>
      <c r="W92" s="16">
        <f t="shared" si="4"/>
        <v>36</v>
      </c>
      <c r="X92" s="4">
        <f t="shared" si="4"/>
        <v>17</v>
      </c>
      <c r="Y92" s="4">
        <f t="shared" si="4"/>
        <v>11</v>
      </c>
      <c r="Z92" s="4">
        <f t="shared" si="4"/>
        <v>27</v>
      </c>
      <c r="AA92" s="4">
        <f t="shared" si="4"/>
        <v>16</v>
      </c>
      <c r="AB92" s="4">
        <f t="shared" si="4"/>
        <v>22</v>
      </c>
      <c r="AC92" s="4">
        <f t="shared" si="4"/>
        <v>14</v>
      </c>
      <c r="AD92" s="4">
        <f t="shared" si="4"/>
        <v>25</v>
      </c>
      <c r="AE92" s="16">
        <f t="shared" si="4"/>
        <v>38</v>
      </c>
    </row>
    <row r="93" ht="15.75" customHeight="1">
      <c r="A93" s="26" t="s">
        <v>28</v>
      </c>
      <c r="B93" s="21">
        <v>40.0</v>
      </c>
      <c r="C93" s="21">
        <v>2921.0</v>
      </c>
      <c r="D93" s="21">
        <v>1376.0</v>
      </c>
      <c r="E93" s="21">
        <v>1147.0</v>
      </c>
      <c r="F93" s="21">
        <v>1640.0</v>
      </c>
      <c r="G93" s="21">
        <v>2580.0</v>
      </c>
      <c r="H93" s="21">
        <v>1280.0</v>
      </c>
      <c r="I93" s="21">
        <v>912.0</v>
      </c>
      <c r="J93" s="21">
        <v>350.0</v>
      </c>
      <c r="K93" s="21">
        <v>1331.0</v>
      </c>
      <c r="L93" s="21">
        <v>850.0</v>
      </c>
      <c r="M93" s="21">
        <v>592.0</v>
      </c>
      <c r="N93" s="21">
        <v>1341.0</v>
      </c>
      <c r="O93" s="21">
        <v>46.0</v>
      </c>
      <c r="P93" s="21">
        <v>686.0</v>
      </c>
      <c r="Q93" s="21">
        <v>82.0</v>
      </c>
      <c r="R93" s="21">
        <v>2038.0</v>
      </c>
      <c r="S93" s="21">
        <v>502.0</v>
      </c>
      <c r="T93" s="21">
        <v>738.0</v>
      </c>
      <c r="U93" s="21">
        <v>82.0</v>
      </c>
      <c r="V93" s="21">
        <v>1890.0</v>
      </c>
      <c r="W93" s="21">
        <v>819.0</v>
      </c>
      <c r="X93" s="21">
        <v>42.0</v>
      </c>
      <c r="Y93" s="21">
        <v>422.0</v>
      </c>
      <c r="Z93" s="21">
        <v>3176.0</v>
      </c>
      <c r="AA93" s="21">
        <v>3421.0</v>
      </c>
      <c r="AB93" s="21">
        <v>850.0</v>
      </c>
      <c r="AC93" s="21">
        <v>2968.0</v>
      </c>
      <c r="AD93" s="21">
        <v>2815.0</v>
      </c>
      <c r="AE93" s="21">
        <v>3065.0</v>
      </c>
    </row>
    <row r="94" ht="15.75" customHeight="1">
      <c r="A94" s="24" t="s">
        <v>29</v>
      </c>
      <c r="B94" s="4">
        <v>1.0</v>
      </c>
      <c r="C94" s="4">
        <v>4.0</v>
      </c>
      <c r="D94" s="4">
        <v>26.0</v>
      </c>
      <c r="E94" s="4">
        <v>22.0</v>
      </c>
      <c r="F94" s="4">
        <v>31.0</v>
      </c>
      <c r="G94" s="4">
        <v>50.0</v>
      </c>
      <c r="H94" s="4">
        <v>24.0</v>
      </c>
      <c r="I94" s="4">
        <v>16.0</v>
      </c>
      <c r="J94" s="4">
        <v>5.0</v>
      </c>
      <c r="K94" s="4">
        <v>25.0</v>
      </c>
      <c r="L94" s="4">
        <v>17.0</v>
      </c>
      <c r="M94" s="4">
        <v>11.0</v>
      </c>
      <c r="N94" s="4">
        <v>26.0</v>
      </c>
      <c r="O94" s="4">
        <v>1.0</v>
      </c>
      <c r="P94" s="4">
        <v>13.0</v>
      </c>
      <c r="Q94" s="4">
        <v>3.0</v>
      </c>
      <c r="R94" s="4">
        <v>39.0</v>
      </c>
      <c r="S94" s="4">
        <v>9.0</v>
      </c>
      <c r="T94" s="4">
        <v>14.0</v>
      </c>
      <c r="U94" s="4">
        <v>2.0</v>
      </c>
      <c r="V94" s="4">
        <v>34.0</v>
      </c>
      <c r="W94" s="4">
        <v>16.0</v>
      </c>
      <c r="X94" s="4">
        <v>1.0</v>
      </c>
      <c r="Y94" s="4">
        <v>7.0</v>
      </c>
      <c r="Z94" s="4">
        <v>61.0</v>
      </c>
      <c r="AA94" s="4">
        <v>66.0</v>
      </c>
      <c r="AB94" s="4">
        <v>16.0</v>
      </c>
      <c r="AC94" s="4">
        <v>57.0</v>
      </c>
      <c r="AD94" s="4">
        <v>54.0</v>
      </c>
      <c r="AE94" s="4">
        <v>59.0</v>
      </c>
    </row>
    <row r="95" ht="15.75" customHeight="1"/>
    <row r="96" ht="15.75" customHeight="1">
      <c r="A96" s="24" t="s">
        <v>38</v>
      </c>
    </row>
    <row r="97" ht="15.75" customHeight="1">
      <c r="A97" s="4" t="s">
        <v>39</v>
      </c>
    </row>
    <row r="98" ht="15.75" customHeight="1">
      <c r="A98" s="4" t="s">
        <v>15</v>
      </c>
      <c r="B98" s="4">
        <v>0.7392208360691616</v>
      </c>
      <c r="C98" s="4">
        <v>1.2237067488866047</v>
      </c>
      <c r="D98" s="4">
        <v>1.3914878649314097</v>
      </c>
      <c r="E98" s="4">
        <v>1.5166820801024403</v>
      </c>
      <c r="F98" s="4">
        <v>1.2834263884807526</v>
      </c>
      <c r="G98" s="4">
        <v>1.6501008893206788</v>
      </c>
      <c r="H98" s="4">
        <v>1.651051426191963</v>
      </c>
      <c r="I98" s="4">
        <v>1.5280638516992784</v>
      </c>
      <c r="J98" s="4">
        <v>0.25061282415172237</v>
      </c>
      <c r="K98" s="4">
        <v>1.6817869939772807</v>
      </c>
      <c r="L98" s="4">
        <v>1.5959495115167943</v>
      </c>
      <c r="M98" s="4">
        <v>0.8463237614389397</v>
      </c>
      <c r="N98" s="4">
        <v>0.91180092022552</v>
      </c>
      <c r="O98" s="4">
        <v>0.4408729910574701</v>
      </c>
      <c r="P98" s="4">
        <v>1.4209099126242837</v>
      </c>
      <c r="R98" s="4">
        <v>1.4309769540012058</v>
      </c>
      <c r="S98" s="4">
        <v>0.8101441942828231</v>
      </c>
      <c r="T98" s="4">
        <v>1.1820406088144637</v>
      </c>
      <c r="U98" s="4">
        <v>0.6678030927898039</v>
      </c>
      <c r="V98" s="4">
        <v>1.705886289706397</v>
      </c>
      <c r="W98" s="4">
        <v>0.955154809069935</v>
      </c>
      <c r="X98" s="4">
        <v>0.551267916207277</v>
      </c>
      <c r="Y98" s="4">
        <v>0.14039242219215164</v>
      </c>
      <c r="Z98" s="4">
        <v>1.2848551120831055</v>
      </c>
      <c r="AA98" s="4">
        <v>0.6457981983464277</v>
      </c>
      <c r="AB98" s="4">
        <v>0.8609616596384079</v>
      </c>
      <c r="AC98" s="4">
        <v>0.9553036365813242</v>
      </c>
      <c r="AD98" s="4">
        <v>1.4149588061101819</v>
      </c>
      <c r="AE98" s="4">
        <v>1.5430491787759737</v>
      </c>
    </row>
    <row r="99" ht="15.0" customHeight="1">
      <c r="A99" s="4" t="s">
        <v>16</v>
      </c>
      <c r="B99" s="4">
        <v>1.0</v>
      </c>
      <c r="C99" s="4">
        <v>0.4306598182536545</v>
      </c>
      <c r="D99" s="4">
        <v>1.4294996751137097</v>
      </c>
      <c r="E99" s="4">
        <v>0.9898546750754044</v>
      </c>
      <c r="F99" s="4">
        <v>1.814558979808714</v>
      </c>
      <c r="G99" s="4">
        <v>2.0479249011857705</v>
      </c>
      <c r="H99" s="4">
        <v>2.620164126611958</v>
      </c>
      <c r="I99" s="4">
        <v>2.0300608828006084</v>
      </c>
      <c r="J99" s="4">
        <v>0.1343183344526528</v>
      </c>
      <c r="K99" s="4">
        <v>2.261137573550014</v>
      </c>
      <c r="L99" s="4">
        <v>2.0223325062034743</v>
      </c>
      <c r="M99" s="4">
        <v>0.6626183247008396</v>
      </c>
      <c r="N99" s="4">
        <v>1.4374999999999996</v>
      </c>
      <c r="O99" s="4">
        <v>0.6636648394675019</v>
      </c>
      <c r="P99" s="4">
        <v>0.7785258070084586</v>
      </c>
      <c r="R99" s="4">
        <v>0.763147825347562</v>
      </c>
      <c r="S99" s="4">
        <v>1.4181794633798863</v>
      </c>
      <c r="T99" s="4">
        <v>0.8401094454506917</v>
      </c>
      <c r="U99" s="4">
        <v>0.2695041124331231</v>
      </c>
      <c r="V99" s="4">
        <v>1.6411059696078492</v>
      </c>
      <c r="W99" s="4">
        <v>0.8856254601979874</v>
      </c>
      <c r="X99" s="4">
        <v>0.8188003554933925</v>
      </c>
      <c r="Y99" s="4">
        <v>0.3813868938354334</v>
      </c>
      <c r="Z99" s="4">
        <v>2.0128674569188445</v>
      </c>
      <c r="AA99" s="4">
        <v>0.061728395061728406</v>
      </c>
      <c r="AB99" s="4">
        <v>1.4639962903261423</v>
      </c>
      <c r="AC99" s="4">
        <v>1.3408514018872681</v>
      </c>
      <c r="AD99" s="4">
        <v>0.9348006153117975</v>
      </c>
      <c r="AE99" s="4">
        <v>2.0923204091648797</v>
      </c>
    </row>
    <row r="100" ht="15.75" customHeight="1">
      <c r="A100" s="4" t="s">
        <v>17</v>
      </c>
      <c r="B100" s="4">
        <v>0.6671850699844479</v>
      </c>
      <c r="C100" s="4">
        <v>1.3075435203094774</v>
      </c>
      <c r="D100" s="4">
        <v>1.2810851544837984</v>
      </c>
      <c r="E100" s="4">
        <v>1.5213707399736398</v>
      </c>
      <c r="F100" s="4">
        <v>1.4993176057711055</v>
      </c>
      <c r="G100" s="4">
        <v>1.953516329392907</v>
      </c>
      <c r="H100" s="4">
        <v>1.1416094822208356</v>
      </c>
      <c r="I100" s="4">
        <v>1.5207111783620202</v>
      </c>
      <c r="J100" s="4">
        <v>0.16213683223992506</v>
      </c>
      <c r="K100" s="4">
        <v>1.8425259792166264</v>
      </c>
      <c r="L100" s="4">
        <v>0.9733464955577491</v>
      </c>
      <c r="M100" s="4">
        <v>0.9803528468323977</v>
      </c>
      <c r="N100" s="4">
        <v>0.9728340675477238</v>
      </c>
      <c r="O100" s="4">
        <v>0.16927322907083714</v>
      </c>
      <c r="P100" s="4">
        <v>2.5707589688119694</v>
      </c>
      <c r="R100" s="4">
        <v>2.4562761727135163</v>
      </c>
      <c r="S100" s="4">
        <v>0.40589505957772976</v>
      </c>
      <c r="T100" s="4">
        <v>0.5821078431372549</v>
      </c>
      <c r="U100" s="4">
        <v>0.9665510268445172</v>
      </c>
      <c r="V100" s="4">
        <v>2.183993586108686</v>
      </c>
      <c r="W100" s="4">
        <v>0.9765736325119221</v>
      </c>
      <c r="X100" s="4">
        <v>0.12577048585931835</v>
      </c>
      <c r="Y100" s="4">
        <v>0.04128393023015791</v>
      </c>
      <c r="Z100" s="4">
        <v>0.6512193918663356</v>
      </c>
      <c r="AA100" s="4">
        <v>0.8169964438770857</v>
      </c>
      <c r="AB100" s="4">
        <v>0.1701682047254402</v>
      </c>
      <c r="AC100" s="4">
        <v>1.2141944214720701</v>
      </c>
      <c r="AD100" s="4">
        <v>1.620339657688735</v>
      </c>
      <c r="AE100" s="4">
        <v>2.5259218835269346</v>
      </c>
    </row>
    <row r="101" ht="15.75" customHeight="1">
      <c r="A101" s="4" t="s">
        <v>18</v>
      </c>
      <c r="B101" s="4">
        <v>0.6138107416879798</v>
      </c>
      <c r="C101" s="4">
        <v>1.8552253116011508</v>
      </c>
      <c r="D101" s="4">
        <v>1.5549597855227884</v>
      </c>
      <c r="E101" s="4">
        <v>1.9474216380182001</v>
      </c>
      <c r="F101" s="4">
        <v>0.6507831458195455</v>
      </c>
      <c r="G101" s="4">
        <v>0.953399904897765</v>
      </c>
      <c r="H101" s="4">
        <v>1.130374479889043</v>
      </c>
      <c r="I101" s="4">
        <v>1.0556138509968522</v>
      </c>
      <c r="J101" s="4">
        <v>0.43976013083772497</v>
      </c>
      <c r="K101" s="4">
        <v>1.0724043715846996</v>
      </c>
      <c r="L101" s="4">
        <v>1.9611978068325606</v>
      </c>
      <c r="M101" s="4">
        <v>0.943692368059643</v>
      </c>
      <c r="N101" s="4">
        <v>0.24065234685759748</v>
      </c>
      <c r="O101" s="4">
        <v>0.520516717325228</v>
      </c>
      <c r="P101" s="4">
        <v>0.943692368059643</v>
      </c>
      <c r="R101" s="4">
        <v>0.993005472402421</v>
      </c>
      <c r="S101" s="4">
        <v>0.4173669996789484</v>
      </c>
      <c r="T101" s="4">
        <v>2.145799406073379</v>
      </c>
      <c r="U101" s="4">
        <v>0.7430650138785926</v>
      </c>
      <c r="V101" s="4">
        <v>1.3016261990079805</v>
      </c>
      <c r="W101" s="4">
        <v>1.038464916132432</v>
      </c>
      <c r="X101" s="4">
        <v>0.8676052859083608</v>
      </c>
      <c r="Y101" s="4">
        <v>0.013744354997054783</v>
      </c>
      <c r="Z101" s="4">
        <v>1.3883719198987567</v>
      </c>
      <c r="AA101" s="4">
        <v>1.1168213267474172</v>
      </c>
      <c r="AB101" s="4">
        <v>1.1606857629645404</v>
      </c>
      <c r="AC101" s="4">
        <v>0.3385461750052897</v>
      </c>
      <c r="AD101" s="4">
        <v>1.6779459987441565</v>
      </c>
      <c r="AE101" s="4">
        <v>0.1715848361901017</v>
      </c>
    </row>
    <row r="102" ht="15.75" customHeight="1"/>
    <row r="103" ht="15.75" customHeight="1">
      <c r="A103" s="4" t="s">
        <v>22</v>
      </c>
      <c r="B103" s="4">
        <v>1972.0</v>
      </c>
      <c r="C103" s="4">
        <v>1973.0</v>
      </c>
      <c r="D103" s="4">
        <v>1977.0</v>
      </c>
      <c r="E103" s="4">
        <v>1982.0</v>
      </c>
      <c r="F103" s="4">
        <v>1983.0</v>
      </c>
      <c r="G103" s="4">
        <v>1984.0</v>
      </c>
      <c r="H103" s="4">
        <v>1987.0</v>
      </c>
      <c r="I103" s="4">
        <v>1991.0</v>
      </c>
      <c r="J103" s="4">
        <v>1992.0</v>
      </c>
      <c r="K103" s="4">
        <v>1993.0</v>
      </c>
      <c r="L103" s="4">
        <v>1994.0</v>
      </c>
      <c r="M103" s="4">
        <v>1995.0</v>
      </c>
      <c r="N103" s="4">
        <v>1996.0</v>
      </c>
      <c r="O103" s="4">
        <v>1997.0</v>
      </c>
      <c r="P103" s="4">
        <v>1998.0</v>
      </c>
      <c r="Q103" s="4">
        <v>2002.0</v>
      </c>
      <c r="R103" s="4">
        <v>2004.0</v>
      </c>
      <c r="S103" s="4">
        <v>2005.0</v>
      </c>
      <c r="T103" s="4">
        <v>2006.0</v>
      </c>
      <c r="U103" s="4">
        <v>2007.0</v>
      </c>
      <c r="V103" s="4">
        <v>2008.0</v>
      </c>
      <c r="W103" s="4">
        <v>2009.0</v>
      </c>
      <c r="X103" s="4">
        <v>2010.0</v>
      </c>
      <c r="Y103" s="4">
        <v>2011.0</v>
      </c>
      <c r="Z103" s="4">
        <v>2012.0</v>
      </c>
      <c r="AA103" s="4">
        <v>2013.0</v>
      </c>
      <c r="AB103" s="4">
        <v>2014.0</v>
      </c>
      <c r="AC103" s="4">
        <v>2015.0</v>
      </c>
      <c r="AD103" s="4">
        <v>2016.0</v>
      </c>
      <c r="AE103" s="4">
        <v>2017.0</v>
      </c>
    </row>
    <row r="104" ht="15.75" customHeight="1"/>
    <row r="105" ht="15.75" customHeight="1">
      <c r="A105" s="24" t="s">
        <v>33</v>
      </c>
      <c r="B105" s="4">
        <f t="shared" ref="B105:AE105" si="5">SUM(B16:B35)</f>
        <v>6</v>
      </c>
      <c r="C105" s="4">
        <f t="shared" si="5"/>
        <v>1</v>
      </c>
      <c r="D105" s="4">
        <f t="shared" si="5"/>
        <v>4</v>
      </c>
      <c r="E105" s="4">
        <f t="shared" si="5"/>
        <v>12</v>
      </c>
      <c r="F105" s="4">
        <f t="shared" si="5"/>
        <v>11</v>
      </c>
      <c r="G105" s="4">
        <f t="shared" si="5"/>
        <v>15</v>
      </c>
      <c r="H105" s="4">
        <f t="shared" si="5"/>
        <v>10</v>
      </c>
      <c r="I105" s="4">
        <f t="shared" si="5"/>
        <v>0</v>
      </c>
      <c r="J105" s="4">
        <f t="shared" si="5"/>
        <v>1</v>
      </c>
      <c r="K105" s="4">
        <f t="shared" si="5"/>
        <v>11</v>
      </c>
      <c r="L105" s="4">
        <f t="shared" si="5"/>
        <v>12</v>
      </c>
      <c r="M105" s="4">
        <f t="shared" si="5"/>
        <v>8</v>
      </c>
      <c r="N105" s="4">
        <f t="shared" si="5"/>
        <v>11</v>
      </c>
      <c r="O105" s="4">
        <f t="shared" si="5"/>
        <v>1</v>
      </c>
      <c r="P105" s="4">
        <f t="shared" si="5"/>
        <v>12</v>
      </c>
      <c r="Q105" s="4">
        <f t="shared" si="5"/>
        <v>5</v>
      </c>
      <c r="R105" s="4">
        <f t="shared" si="5"/>
        <v>7</v>
      </c>
      <c r="S105" s="4">
        <f t="shared" si="5"/>
        <v>9</v>
      </c>
      <c r="T105" s="4">
        <f t="shared" si="5"/>
        <v>0</v>
      </c>
      <c r="U105" s="4">
        <f t="shared" si="5"/>
        <v>0</v>
      </c>
      <c r="V105" s="4">
        <f t="shared" si="5"/>
        <v>10</v>
      </c>
      <c r="W105" s="4">
        <f t="shared" si="5"/>
        <v>10</v>
      </c>
      <c r="X105" s="4">
        <f t="shared" si="5"/>
        <v>1</v>
      </c>
      <c r="Y105" s="4">
        <f t="shared" si="5"/>
        <v>8</v>
      </c>
      <c r="Z105" s="4">
        <f t="shared" si="5"/>
        <v>1</v>
      </c>
      <c r="AA105" s="4">
        <f t="shared" si="5"/>
        <v>0</v>
      </c>
      <c r="AB105" s="4">
        <f t="shared" si="5"/>
        <v>11</v>
      </c>
      <c r="AC105" s="4">
        <f t="shared" si="5"/>
        <v>5</v>
      </c>
      <c r="AD105" s="4">
        <f t="shared" si="5"/>
        <v>3</v>
      </c>
      <c r="AE105" s="4">
        <f t="shared" si="5"/>
        <v>15</v>
      </c>
    </row>
    <row r="106" ht="15.75" customHeight="1">
      <c r="A106" s="25" t="s">
        <v>34</v>
      </c>
      <c r="B106" s="18">
        <f t="shared" ref="B106:AE106" si="6">SUM(B36:B55)</f>
        <v>0</v>
      </c>
      <c r="C106" s="18">
        <f t="shared" si="6"/>
        <v>0</v>
      </c>
      <c r="D106" s="18">
        <f t="shared" si="6"/>
        <v>2</v>
      </c>
      <c r="E106" s="18">
        <f t="shared" si="6"/>
        <v>2</v>
      </c>
      <c r="F106" s="18">
        <f t="shared" si="6"/>
        <v>7</v>
      </c>
      <c r="G106" s="18">
        <f t="shared" si="6"/>
        <v>3</v>
      </c>
      <c r="H106" s="18">
        <f t="shared" si="6"/>
        <v>10</v>
      </c>
      <c r="I106" s="18">
        <f t="shared" si="6"/>
        <v>10</v>
      </c>
      <c r="J106" s="18">
        <f t="shared" si="6"/>
        <v>0</v>
      </c>
      <c r="K106" s="18">
        <f t="shared" si="6"/>
        <v>9</v>
      </c>
      <c r="L106" s="18">
        <f t="shared" si="6"/>
        <v>4</v>
      </c>
      <c r="M106" s="18">
        <f t="shared" si="6"/>
        <v>0</v>
      </c>
      <c r="N106" s="18">
        <f t="shared" si="6"/>
        <v>8</v>
      </c>
      <c r="O106" s="18">
        <f t="shared" si="6"/>
        <v>0</v>
      </c>
      <c r="P106" s="18">
        <f t="shared" si="6"/>
        <v>9</v>
      </c>
      <c r="Q106" s="18">
        <f t="shared" si="6"/>
        <v>0</v>
      </c>
      <c r="R106" s="18">
        <f t="shared" si="6"/>
        <v>3</v>
      </c>
      <c r="S106" s="18">
        <f t="shared" si="6"/>
        <v>1</v>
      </c>
      <c r="T106" s="18">
        <f t="shared" si="6"/>
        <v>3</v>
      </c>
      <c r="U106" s="18">
        <f t="shared" si="6"/>
        <v>4</v>
      </c>
      <c r="V106" s="18">
        <f t="shared" si="6"/>
        <v>4</v>
      </c>
      <c r="W106" s="18">
        <f t="shared" si="6"/>
        <v>3</v>
      </c>
      <c r="X106" s="18">
        <f t="shared" si="6"/>
        <v>0</v>
      </c>
      <c r="Y106" s="18">
        <f t="shared" si="6"/>
        <v>0</v>
      </c>
      <c r="Z106" s="18">
        <f t="shared" si="6"/>
        <v>6</v>
      </c>
      <c r="AA106" s="18">
        <f t="shared" si="6"/>
        <v>10</v>
      </c>
      <c r="AB106" s="18">
        <f t="shared" si="6"/>
        <v>0</v>
      </c>
      <c r="AC106" s="18">
        <f t="shared" si="6"/>
        <v>9</v>
      </c>
      <c r="AD106" s="18">
        <f t="shared" si="6"/>
        <v>4</v>
      </c>
      <c r="AE106" s="18">
        <f t="shared" si="6"/>
        <v>13</v>
      </c>
    </row>
    <row r="107" ht="15.75" customHeight="1">
      <c r="A107" s="24" t="s">
        <v>35</v>
      </c>
      <c r="B107" s="4">
        <f t="shared" ref="B107:AE107" si="7">SUM(B56:B77)</f>
        <v>0</v>
      </c>
      <c r="C107" s="4">
        <f t="shared" si="7"/>
        <v>2</v>
      </c>
      <c r="D107" s="4">
        <f t="shared" si="7"/>
        <v>6</v>
      </c>
      <c r="E107" s="4">
        <f t="shared" si="7"/>
        <v>11</v>
      </c>
      <c r="F107" s="4">
        <f t="shared" si="7"/>
        <v>3</v>
      </c>
      <c r="G107" s="4">
        <f t="shared" si="7"/>
        <v>11</v>
      </c>
      <c r="H107" s="4">
        <f t="shared" si="7"/>
        <v>4</v>
      </c>
      <c r="I107" s="4">
        <f t="shared" si="7"/>
        <v>9</v>
      </c>
      <c r="J107" s="4">
        <f t="shared" si="7"/>
        <v>0</v>
      </c>
      <c r="K107" s="4">
        <f t="shared" si="7"/>
        <v>5</v>
      </c>
      <c r="L107" s="4">
        <f t="shared" si="7"/>
        <v>4</v>
      </c>
      <c r="M107" s="4">
        <f t="shared" si="7"/>
        <v>10</v>
      </c>
      <c r="N107" s="4">
        <f t="shared" si="7"/>
        <v>1</v>
      </c>
      <c r="O107" s="4">
        <f t="shared" si="7"/>
        <v>4</v>
      </c>
      <c r="P107" s="4">
        <f t="shared" si="7"/>
        <v>7</v>
      </c>
      <c r="Q107" s="4">
        <f t="shared" si="7"/>
        <v>0</v>
      </c>
      <c r="R107" s="4">
        <f t="shared" si="7"/>
        <v>6</v>
      </c>
      <c r="S107" s="4">
        <f t="shared" si="7"/>
        <v>1</v>
      </c>
      <c r="T107" s="4">
        <f t="shared" si="7"/>
        <v>12</v>
      </c>
      <c r="U107" s="4">
        <f t="shared" si="7"/>
        <v>10</v>
      </c>
      <c r="V107" s="4">
        <f t="shared" si="7"/>
        <v>9</v>
      </c>
      <c r="W107" s="4">
        <f t="shared" si="7"/>
        <v>6</v>
      </c>
      <c r="X107" s="4">
        <f t="shared" si="7"/>
        <v>0</v>
      </c>
      <c r="Y107" s="4">
        <f t="shared" si="7"/>
        <v>0</v>
      </c>
      <c r="Z107" s="4">
        <f t="shared" si="7"/>
        <v>3</v>
      </c>
      <c r="AA107" s="4">
        <f t="shared" si="7"/>
        <v>2</v>
      </c>
      <c r="AB107" s="4">
        <f t="shared" si="7"/>
        <v>3</v>
      </c>
      <c r="AC107" s="4">
        <f t="shared" si="7"/>
        <v>0</v>
      </c>
      <c r="AD107" s="4">
        <f t="shared" si="7"/>
        <v>5</v>
      </c>
      <c r="AE107" s="4">
        <f t="shared" si="7"/>
        <v>4</v>
      </c>
    </row>
    <row r="108" ht="15.75" customHeight="1">
      <c r="A108" s="4" t="s">
        <v>36</v>
      </c>
      <c r="B108" s="4">
        <f t="shared" ref="B108:AE108" si="8">SUM(B105:B107)</f>
        <v>6</v>
      </c>
      <c r="C108" s="4">
        <f t="shared" si="8"/>
        <v>3</v>
      </c>
      <c r="D108" s="4">
        <f t="shared" si="8"/>
        <v>12</v>
      </c>
      <c r="E108" s="4">
        <f t="shared" si="8"/>
        <v>25</v>
      </c>
      <c r="F108" s="4">
        <f t="shared" si="8"/>
        <v>21</v>
      </c>
      <c r="G108" s="4">
        <f t="shared" si="8"/>
        <v>29</v>
      </c>
      <c r="H108" s="4">
        <f t="shared" si="8"/>
        <v>24</v>
      </c>
      <c r="I108" s="4">
        <f t="shared" si="8"/>
        <v>19</v>
      </c>
      <c r="J108" s="4">
        <f t="shared" si="8"/>
        <v>1</v>
      </c>
      <c r="K108" s="4">
        <f t="shared" si="8"/>
        <v>25</v>
      </c>
      <c r="L108" s="4">
        <f t="shared" si="8"/>
        <v>20</v>
      </c>
      <c r="M108" s="4">
        <f t="shared" si="8"/>
        <v>18</v>
      </c>
      <c r="N108" s="4">
        <f t="shared" si="8"/>
        <v>20</v>
      </c>
      <c r="O108" s="4">
        <f t="shared" si="8"/>
        <v>5</v>
      </c>
      <c r="P108" s="4">
        <f t="shared" si="8"/>
        <v>28</v>
      </c>
      <c r="Q108" s="4">
        <f t="shared" si="8"/>
        <v>5</v>
      </c>
      <c r="R108" s="4">
        <f t="shared" si="8"/>
        <v>16</v>
      </c>
      <c r="S108" s="4">
        <f t="shared" si="8"/>
        <v>11</v>
      </c>
      <c r="T108" s="4">
        <f t="shared" si="8"/>
        <v>15</v>
      </c>
      <c r="U108" s="4">
        <f t="shared" si="8"/>
        <v>14</v>
      </c>
      <c r="V108" s="4">
        <f t="shared" si="8"/>
        <v>23</v>
      </c>
      <c r="W108" s="4">
        <f t="shared" si="8"/>
        <v>19</v>
      </c>
      <c r="X108" s="4">
        <f t="shared" si="8"/>
        <v>1</v>
      </c>
      <c r="Y108" s="4">
        <f t="shared" si="8"/>
        <v>8</v>
      </c>
      <c r="Z108" s="4">
        <f t="shared" si="8"/>
        <v>10</v>
      </c>
      <c r="AA108" s="4">
        <f t="shared" si="8"/>
        <v>12</v>
      </c>
      <c r="AB108" s="4">
        <f t="shared" si="8"/>
        <v>14</v>
      </c>
      <c r="AC108" s="4">
        <f t="shared" si="8"/>
        <v>14</v>
      </c>
      <c r="AD108" s="4">
        <f t="shared" si="8"/>
        <v>12</v>
      </c>
      <c r="AE108" s="4">
        <f t="shared" si="8"/>
        <v>32</v>
      </c>
    </row>
    <row r="109" ht="15.75" customHeight="1"/>
    <row r="110" ht="15.75" customHeight="1">
      <c r="A110" s="4" t="s">
        <v>37</v>
      </c>
      <c r="B110" s="27">
        <f t="shared" ref="B110:P110" si="9">B105/SUM(B105:B107)</f>
        <v>1</v>
      </c>
      <c r="C110" s="27">
        <f t="shared" si="9"/>
        <v>0.3333333333</v>
      </c>
      <c r="D110" s="27">
        <f t="shared" si="9"/>
        <v>0.3333333333</v>
      </c>
      <c r="E110" s="27">
        <f t="shared" si="9"/>
        <v>0.48</v>
      </c>
      <c r="F110" s="27">
        <f t="shared" si="9"/>
        <v>0.5238095238</v>
      </c>
      <c r="G110" s="27">
        <f t="shared" si="9"/>
        <v>0.5172413793</v>
      </c>
      <c r="H110" s="27">
        <f t="shared" si="9"/>
        <v>0.4166666667</v>
      </c>
      <c r="I110" s="27">
        <f t="shared" si="9"/>
        <v>0</v>
      </c>
      <c r="J110" s="27">
        <f t="shared" si="9"/>
        <v>1</v>
      </c>
      <c r="K110" s="27">
        <f t="shared" si="9"/>
        <v>0.44</v>
      </c>
      <c r="L110" s="27">
        <f t="shared" si="9"/>
        <v>0.6</v>
      </c>
      <c r="M110" s="27">
        <f t="shared" si="9"/>
        <v>0.4444444444</v>
      </c>
      <c r="N110" s="27">
        <f t="shared" si="9"/>
        <v>0.55</v>
      </c>
      <c r="O110" s="27">
        <f t="shared" si="9"/>
        <v>0.2</v>
      </c>
      <c r="P110" s="27">
        <f t="shared" si="9"/>
        <v>0.4285714286</v>
      </c>
      <c r="Q110" s="27"/>
      <c r="R110" s="27">
        <f t="shared" ref="R110:AE110" si="10">R105/SUM(R105:R107)</f>
        <v>0.4375</v>
      </c>
      <c r="S110" s="27">
        <f t="shared" si="10"/>
        <v>0.8181818182</v>
      </c>
      <c r="T110" s="27">
        <f t="shared" si="10"/>
        <v>0</v>
      </c>
      <c r="U110" s="27">
        <f t="shared" si="10"/>
        <v>0</v>
      </c>
      <c r="V110" s="27">
        <f t="shared" si="10"/>
        <v>0.4347826087</v>
      </c>
      <c r="W110" s="27">
        <f t="shared" si="10"/>
        <v>0.5263157895</v>
      </c>
      <c r="X110" s="27">
        <f t="shared" si="10"/>
        <v>1</v>
      </c>
      <c r="Y110" s="27">
        <f t="shared" si="10"/>
        <v>1</v>
      </c>
      <c r="Z110" s="27">
        <f t="shared" si="10"/>
        <v>0.1</v>
      </c>
      <c r="AA110" s="27">
        <f t="shared" si="10"/>
        <v>0</v>
      </c>
      <c r="AB110" s="27">
        <f t="shared" si="10"/>
        <v>0.7857142857</v>
      </c>
      <c r="AC110" s="27">
        <f t="shared" si="10"/>
        <v>0.3571428571</v>
      </c>
      <c r="AD110" s="27">
        <f t="shared" si="10"/>
        <v>0.25</v>
      </c>
      <c r="AE110" s="27">
        <f t="shared" si="10"/>
        <v>0.46875</v>
      </c>
    </row>
    <row r="111" ht="15.75" customHeight="1">
      <c r="B111" s="27">
        <f t="shared" ref="B111:P111" si="11">B106/SUM(B105:B107)</f>
        <v>0</v>
      </c>
      <c r="C111" s="27">
        <f t="shared" si="11"/>
        <v>0</v>
      </c>
      <c r="D111" s="27">
        <f t="shared" si="11"/>
        <v>0.1666666667</v>
      </c>
      <c r="E111" s="27">
        <f t="shared" si="11"/>
        <v>0.08</v>
      </c>
      <c r="F111" s="27">
        <f t="shared" si="11"/>
        <v>0.3333333333</v>
      </c>
      <c r="G111" s="27">
        <f t="shared" si="11"/>
        <v>0.1034482759</v>
      </c>
      <c r="H111" s="27">
        <f t="shared" si="11"/>
        <v>0.4166666667</v>
      </c>
      <c r="I111" s="27">
        <f t="shared" si="11"/>
        <v>0.5263157895</v>
      </c>
      <c r="J111" s="27">
        <f t="shared" si="11"/>
        <v>0</v>
      </c>
      <c r="K111" s="27">
        <f t="shared" si="11"/>
        <v>0.36</v>
      </c>
      <c r="L111" s="27">
        <f t="shared" si="11"/>
        <v>0.2</v>
      </c>
      <c r="M111" s="27">
        <f t="shared" si="11"/>
        <v>0</v>
      </c>
      <c r="N111" s="27">
        <f t="shared" si="11"/>
        <v>0.4</v>
      </c>
      <c r="O111" s="27">
        <f t="shared" si="11"/>
        <v>0</v>
      </c>
      <c r="P111" s="27">
        <f t="shared" si="11"/>
        <v>0.3214285714</v>
      </c>
      <c r="Q111" s="27"/>
      <c r="R111" s="27">
        <f t="shared" ref="R111:AE111" si="12">R106/SUM(R105:R107)</f>
        <v>0.1875</v>
      </c>
      <c r="S111" s="27">
        <f t="shared" si="12"/>
        <v>0.09090909091</v>
      </c>
      <c r="T111" s="27">
        <f t="shared" si="12"/>
        <v>0.2</v>
      </c>
      <c r="U111" s="27">
        <f t="shared" si="12"/>
        <v>0.2857142857</v>
      </c>
      <c r="V111" s="27">
        <f t="shared" si="12"/>
        <v>0.1739130435</v>
      </c>
      <c r="W111" s="27">
        <f t="shared" si="12"/>
        <v>0.1578947368</v>
      </c>
      <c r="X111" s="27">
        <f t="shared" si="12"/>
        <v>0</v>
      </c>
      <c r="Y111" s="27">
        <f t="shared" si="12"/>
        <v>0</v>
      </c>
      <c r="Z111" s="27">
        <f t="shared" si="12"/>
        <v>0.6</v>
      </c>
      <c r="AA111" s="27">
        <f t="shared" si="12"/>
        <v>0.8333333333</v>
      </c>
      <c r="AB111" s="27">
        <f t="shared" si="12"/>
        <v>0</v>
      </c>
      <c r="AC111" s="27">
        <f t="shared" si="12"/>
        <v>0.6428571429</v>
      </c>
      <c r="AD111" s="27">
        <f t="shared" si="12"/>
        <v>0.3333333333</v>
      </c>
      <c r="AE111" s="27">
        <f t="shared" si="12"/>
        <v>0.40625</v>
      </c>
    </row>
    <row r="112" ht="15.75" customHeight="1">
      <c r="B112" s="27">
        <f t="shared" ref="B112:P112" si="13">B107/SUM(B105:B107)</f>
        <v>0</v>
      </c>
      <c r="C112" s="27">
        <f t="shared" si="13"/>
        <v>0.6666666667</v>
      </c>
      <c r="D112" s="27">
        <f t="shared" si="13"/>
        <v>0.5</v>
      </c>
      <c r="E112" s="27">
        <f t="shared" si="13"/>
        <v>0.44</v>
      </c>
      <c r="F112" s="27">
        <f t="shared" si="13"/>
        <v>0.1428571429</v>
      </c>
      <c r="G112" s="27">
        <f t="shared" si="13"/>
        <v>0.3793103448</v>
      </c>
      <c r="H112" s="27">
        <f t="shared" si="13"/>
        <v>0.1666666667</v>
      </c>
      <c r="I112" s="27">
        <f t="shared" si="13"/>
        <v>0.4736842105</v>
      </c>
      <c r="J112" s="27">
        <f t="shared" si="13"/>
        <v>0</v>
      </c>
      <c r="K112" s="27">
        <f t="shared" si="13"/>
        <v>0.2</v>
      </c>
      <c r="L112" s="27">
        <f t="shared" si="13"/>
        <v>0.2</v>
      </c>
      <c r="M112" s="27">
        <f t="shared" si="13"/>
        <v>0.5555555556</v>
      </c>
      <c r="N112" s="27">
        <f t="shared" si="13"/>
        <v>0.05</v>
      </c>
      <c r="O112" s="27">
        <f t="shared" si="13"/>
        <v>0.8</v>
      </c>
      <c r="P112" s="27">
        <f t="shared" si="13"/>
        <v>0.25</v>
      </c>
      <c r="Q112" s="27"/>
      <c r="R112" s="27">
        <f t="shared" ref="R112:AE112" si="14">R107/SUM(R105:R107)</f>
        <v>0.375</v>
      </c>
      <c r="S112" s="27">
        <f t="shared" si="14"/>
        <v>0.09090909091</v>
      </c>
      <c r="T112" s="27">
        <f t="shared" si="14"/>
        <v>0.8</v>
      </c>
      <c r="U112" s="27">
        <f t="shared" si="14"/>
        <v>0.7142857143</v>
      </c>
      <c r="V112" s="27">
        <f t="shared" si="14"/>
        <v>0.3913043478</v>
      </c>
      <c r="W112" s="27">
        <f t="shared" si="14"/>
        <v>0.3157894737</v>
      </c>
      <c r="X112" s="27">
        <f t="shared" si="14"/>
        <v>0</v>
      </c>
      <c r="Y112" s="27">
        <f t="shared" si="14"/>
        <v>0</v>
      </c>
      <c r="Z112" s="27">
        <f t="shared" si="14"/>
        <v>0.3</v>
      </c>
      <c r="AA112" s="27">
        <f t="shared" si="14"/>
        <v>0.1666666667</v>
      </c>
      <c r="AB112" s="27">
        <f t="shared" si="14"/>
        <v>0.2142857143</v>
      </c>
      <c r="AC112" s="27">
        <f t="shared" si="14"/>
        <v>0</v>
      </c>
      <c r="AD112" s="27">
        <f t="shared" si="14"/>
        <v>0.4166666667</v>
      </c>
      <c r="AE112" s="27">
        <f t="shared" si="14"/>
        <v>0.125</v>
      </c>
    </row>
    <row r="113" ht="15.75" customHeight="1">
      <c r="A113" s="4" t="s">
        <v>40</v>
      </c>
    </row>
    <row r="114" ht="15.75" customHeight="1">
      <c r="A114" s="4" t="s">
        <v>41</v>
      </c>
      <c r="B114" s="4">
        <v>1.414342629482072</v>
      </c>
      <c r="C114" s="4">
        <v>0.9961798413164856</v>
      </c>
      <c r="D114" s="4">
        <v>1.434478371501272</v>
      </c>
      <c r="E114" s="4">
        <v>1.7136812411847668</v>
      </c>
      <c r="F114" s="4">
        <v>1.022304832713755</v>
      </c>
      <c r="G114" s="4">
        <v>2.229385816084153</v>
      </c>
      <c r="H114" s="4">
        <v>3.8012205754141246</v>
      </c>
      <c r="I114" s="4">
        <v>0.6472727272727272</v>
      </c>
      <c r="J114" s="4">
        <v>0.18951358180669617</v>
      </c>
      <c r="K114" s="4">
        <v>1.847708408516781</v>
      </c>
      <c r="L114" s="4">
        <v>1.4125722543352601</v>
      </c>
      <c r="M114" s="4">
        <v>1.1020408163265307</v>
      </c>
      <c r="N114" s="4">
        <v>2.47603305785124</v>
      </c>
      <c r="O114" s="4">
        <v>0.5465084184377589</v>
      </c>
      <c r="P114" s="4">
        <v>3.191365227537922</v>
      </c>
      <c r="R114" s="4">
        <v>2.2634956142932836</v>
      </c>
      <c r="S114" s="4">
        <v>2.48050794486298</v>
      </c>
      <c r="T114" s="4">
        <v>0.7047253411869888</v>
      </c>
      <c r="U114" s="4">
        <v>0.5339791660587669</v>
      </c>
      <c r="V114" s="4">
        <v>1.783266858647612</v>
      </c>
      <c r="W114" s="4">
        <v>0.7811752702228741</v>
      </c>
      <c r="X114" s="4">
        <v>0.3522294049394994</v>
      </c>
      <c r="Y114" s="4">
        <v>0.12872611625735123</v>
      </c>
      <c r="Z114" s="4">
        <v>1.0484712082121097</v>
      </c>
      <c r="AA114" s="4">
        <v>0.0</v>
      </c>
      <c r="AB114" s="4">
        <v>1.1795985620131817</v>
      </c>
      <c r="AC114" s="4">
        <v>1.9736106451973614</v>
      </c>
      <c r="AD114" s="4">
        <v>0.24888351321176028</v>
      </c>
      <c r="AE114" s="4">
        <v>3.8708369925015194</v>
      </c>
    </row>
    <row r="115" ht="15.75" customHeight="1">
      <c r="A115" s="4" t="s">
        <v>42</v>
      </c>
      <c r="B115" s="4">
        <v>0.744372632048139</v>
      </c>
      <c r="C115" s="4">
        <v>1.898334290637564</v>
      </c>
      <c r="D115" s="4">
        <v>1.2598904443091907</v>
      </c>
      <c r="E115" s="4">
        <v>1.0813621003379257</v>
      </c>
      <c r="F115" s="4">
        <v>1.9275319275319276</v>
      </c>
      <c r="G115" s="4">
        <v>1.4114030184460593</v>
      </c>
      <c r="H115" s="4">
        <v>1.3608314387788236</v>
      </c>
      <c r="I115" s="4">
        <v>2.050704225352112</v>
      </c>
      <c r="J115" s="4">
        <v>0.12414383561643832</v>
      </c>
      <c r="K115" s="4">
        <v>1.3618441006976039</v>
      </c>
      <c r="L115" s="4">
        <v>1.2424969987995198</v>
      </c>
      <c r="M115" s="4">
        <v>0.7735961768219833</v>
      </c>
      <c r="N115" s="4">
        <v>0.5989304812834225</v>
      </c>
      <c r="O115" s="4">
        <v>0.17518248175182483</v>
      </c>
      <c r="P115" s="4">
        <v>1.9972752043596729</v>
      </c>
      <c r="R115" s="4">
        <v>1.9853905225697694</v>
      </c>
      <c r="S115" s="4">
        <v>0.2850627137970354</v>
      </c>
      <c r="T115" s="4">
        <v>0.4152580722442571</v>
      </c>
      <c r="U115" s="4">
        <v>0.7886435331230285</v>
      </c>
      <c r="V115" s="4">
        <v>2.7391487117722</v>
      </c>
      <c r="W115" s="4">
        <v>0.8957444981827547</v>
      </c>
      <c r="X115" s="4">
        <v>0.13660968904219534</v>
      </c>
      <c r="Y115" s="4">
        <v>0.009013678256754627</v>
      </c>
      <c r="Z115" s="4">
        <v>0.6822962088955009</v>
      </c>
      <c r="AA115" s="4">
        <v>0.8372450520189957</v>
      </c>
      <c r="AB115" s="4">
        <v>0.17646020822304573</v>
      </c>
      <c r="AC115" s="4">
        <v>0.7051225076289516</v>
      </c>
      <c r="AD115" s="4">
        <v>2.460507924787046</v>
      </c>
      <c r="AE115" s="4">
        <v>2.3816965681065194</v>
      </c>
    </row>
    <row r="116" ht="15.75" customHeight="1">
      <c r="A116" s="4" t="s">
        <v>43</v>
      </c>
      <c r="B116" s="4">
        <v>0.13617395124094003</v>
      </c>
      <c r="C116" s="4">
        <v>2.039525691699605</v>
      </c>
      <c r="D116" s="4">
        <v>1.548030407740152</v>
      </c>
      <c r="E116" s="4">
        <v>2.7825342465753424</v>
      </c>
      <c r="F116" s="4">
        <v>0.41927083333333337</v>
      </c>
      <c r="G116" s="4">
        <v>1.2547639988273231</v>
      </c>
      <c r="H116" s="4">
        <v>0.9414106939704209</v>
      </c>
      <c r="I116" s="4">
        <v>0.7423580786026202</v>
      </c>
      <c r="J116" s="4">
        <v>0.06963788300835655</v>
      </c>
      <c r="K116" s="4">
        <v>1.7146562905317773</v>
      </c>
      <c r="L116" s="4">
        <v>1.0662038184973963</v>
      </c>
      <c r="M116" s="4">
        <v>1.5641476274165205</v>
      </c>
      <c r="N116" s="4">
        <v>1.0401761144744084</v>
      </c>
      <c r="O116" s="4">
        <v>0.700507614213198</v>
      </c>
      <c r="P116" s="4">
        <v>0.880348868901608</v>
      </c>
      <c r="R116" s="4">
        <v>1.7898680247790213</v>
      </c>
      <c r="S116" s="4">
        <v>0.6958415185439399</v>
      </c>
      <c r="T116" s="4">
        <v>1.24071621855029</v>
      </c>
      <c r="U116" s="4">
        <v>1.075373461145443</v>
      </c>
      <c r="V116" s="4">
        <v>1.2165792230234722</v>
      </c>
      <c r="W116" s="4">
        <v>1.0067860718656134</v>
      </c>
      <c r="X116" s="4">
        <v>0.29087123589657227</v>
      </c>
      <c r="Y116" s="4">
        <v>0.06090990020147123</v>
      </c>
      <c r="Z116" s="4">
        <v>0.7839759727927212</v>
      </c>
      <c r="AA116" s="4">
        <v>1.0207290230510606</v>
      </c>
      <c r="AB116" s="4">
        <v>0.8063682414969504</v>
      </c>
      <c r="AC116" s="4">
        <v>1.2155201463438114</v>
      </c>
      <c r="AD116" s="4">
        <v>1.3267412060871338</v>
      </c>
      <c r="AE116" s="4">
        <v>0.3237795562851996</v>
      </c>
    </row>
    <row r="117" ht="15.75" customHeight="1">
      <c r="B117" s="4">
        <v>0.7383578431372549</v>
      </c>
      <c r="C117" s="4">
        <v>1.6610486891385765</v>
      </c>
      <c r="D117" s="4">
        <v>1.4269798533098126</v>
      </c>
      <c r="E117" s="4">
        <v>1.842544419358005</v>
      </c>
      <c r="F117" s="4">
        <v>1.0962918055976556</v>
      </c>
      <c r="G117" s="4">
        <v>1.6002415458937198</v>
      </c>
      <c r="H117" s="4">
        <v>2.0506177760063773</v>
      </c>
      <c r="I117" s="4">
        <v>1.117382485227974</v>
      </c>
      <c r="J117" s="4">
        <v>0.12160685006376386</v>
      </c>
      <c r="K117" s="4">
        <v>1.6345863146225934</v>
      </c>
      <c r="L117" s="4">
        <v>1.2187900917793355</v>
      </c>
      <c r="M117" s="4">
        <v>1.148940345368917</v>
      </c>
      <c r="N117" s="4">
        <v>1.2991633810943355</v>
      </c>
      <c r="O117" s="4">
        <v>0.485984710593375</v>
      </c>
      <c r="P117" s="4">
        <v>1.996842203027769</v>
      </c>
      <c r="R117" s="4">
        <v>1.998431204763433</v>
      </c>
      <c r="S117" s="4">
        <v>1.0410298824121689</v>
      </c>
      <c r="T117" s="4">
        <v>0.7749197890042958</v>
      </c>
      <c r="U117" s="4">
        <v>0.8159079762807079</v>
      </c>
      <c r="V117" s="4">
        <v>1.9500640602179022</v>
      </c>
      <c r="W117" s="4">
        <v>0.899649918835931</v>
      </c>
      <c r="X117" s="4">
        <v>0.2555969932499158</v>
      </c>
      <c r="Y117" s="4">
        <v>0.06393962836077732</v>
      </c>
      <c r="Z117" s="4">
        <v>0.8309721462776096</v>
      </c>
      <c r="AA117" s="4">
        <v>0.6092655291475312</v>
      </c>
      <c r="AB117" s="4">
        <v>0.6754518991092752</v>
      </c>
      <c r="AC117" s="4">
        <v>1.3045709501129912</v>
      </c>
      <c r="AD117" s="4">
        <v>1.2999584013311567</v>
      </c>
      <c r="AE117" s="4">
        <v>1.943920270821283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3" width="4.86"/>
    <col customWidth="1" min="4" max="4" width="5.71"/>
    <col customWidth="1" min="5" max="5" width="6.57"/>
    <col customWidth="1" min="6" max="6" width="5.0"/>
    <col customWidth="1" min="7" max="7" width="6.29"/>
    <col customWidth="1" min="8" max="8" width="5.71"/>
    <col customWidth="1" min="9" max="9" width="6.14"/>
    <col customWidth="1" min="10" max="11" width="4.71"/>
    <col customWidth="1" min="12" max="12" width="5.43"/>
    <col customWidth="1" min="13" max="13" width="5.29"/>
    <col customWidth="1" min="14" max="14" width="5.14"/>
    <col customWidth="1" min="15" max="16" width="5.29"/>
    <col customWidth="1" min="17" max="18" width="5.86"/>
    <col customWidth="1" min="19" max="19" width="5.14"/>
    <col customWidth="1" min="20" max="20" width="4.86"/>
    <col customWidth="1" min="21" max="21" width="5.0"/>
    <col customWidth="1" min="22" max="23" width="5.29"/>
    <col customWidth="1" min="24" max="24" width="5.43"/>
    <col customWidth="1" min="25" max="25" width="5.0"/>
    <col customWidth="1" min="26" max="26" width="5.29"/>
    <col customWidth="1" min="27" max="27" width="5.0"/>
    <col customWidth="1" min="28" max="28" width="4.86"/>
    <col customWidth="1" min="29" max="29" width="5.0"/>
    <col customWidth="1" min="30" max="30" width="5.14"/>
    <col customWidth="1" min="31" max="31" width="4.86"/>
  </cols>
  <sheetData>
    <row r="1">
      <c r="B1" s="4">
        <v>1972.0</v>
      </c>
      <c r="C1" s="4">
        <v>1973.0</v>
      </c>
      <c r="D1" s="4">
        <v>1977.0</v>
      </c>
      <c r="E1" s="4">
        <v>1982.0</v>
      </c>
      <c r="F1" s="4">
        <v>1983.0</v>
      </c>
      <c r="G1" s="4">
        <v>1984.0</v>
      </c>
      <c r="H1" s="4">
        <v>1987.0</v>
      </c>
      <c r="I1" s="4">
        <v>1991.0</v>
      </c>
      <c r="J1" s="4">
        <v>1992.0</v>
      </c>
      <c r="K1" s="4">
        <v>1993.0</v>
      </c>
      <c r="L1" s="4">
        <v>1994.0</v>
      </c>
      <c r="M1" s="4">
        <v>1995.0</v>
      </c>
      <c r="N1" s="4">
        <v>1996.0</v>
      </c>
      <c r="O1" s="4">
        <v>1997.0</v>
      </c>
      <c r="P1" s="4">
        <v>1998.0</v>
      </c>
      <c r="Q1" s="4">
        <v>2002.0</v>
      </c>
      <c r="R1" s="4">
        <v>2004.0</v>
      </c>
      <c r="S1" s="4">
        <v>2005.0</v>
      </c>
      <c r="T1" s="4">
        <v>2006.0</v>
      </c>
      <c r="U1" s="4">
        <v>2007.0</v>
      </c>
      <c r="V1" s="4">
        <v>2008.0</v>
      </c>
      <c r="W1" s="4">
        <v>2009.0</v>
      </c>
      <c r="X1" s="4">
        <v>2010.0</v>
      </c>
      <c r="Y1" s="4">
        <v>2011.0</v>
      </c>
      <c r="Z1" s="4">
        <v>2012.0</v>
      </c>
      <c r="AA1" s="4">
        <v>2013.0</v>
      </c>
      <c r="AB1" s="4">
        <v>2014.0</v>
      </c>
      <c r="AC1" s="4">
        <v>2015.0</v>
      </c>
      <c r="AD1" s="4">
        <v>2016.0</v>
      </c>
      <c r="AE1" s="4">
        <v>2017.0</v>
      </c>
    </row>
    <row r="2">
      <c r="A2" s="28">
        <v>43252.0</v>
      </c>
      <c r="B2" s="4">
        <v>3.6224999999999916</v>
      </c>
      <c r="C2" s="4" t="s">
        <v>44</v>
      </c>
      <c r="D2" s="4">
        <v>2.9134999999999955</v>
      </c>
      <c r="E2" s="4" t="s">
        <v>44</v>
      </c>
      <c r="F2" s="4" t="s">
        <v>44</v>
      </c>
      <c r="G2" s="4" t="s">
        <v>44</v>
      </c>
      <c r="H2" s="4" t="s">
        <v>44</v>
      </c>
      <c r="I2" s="4">
        <v>2.0565000000000104</v>
      </c>
      <c r="J2" s="4" t="s">
        <v>44</v>
      </c>
      <c r="K2" s="4" t="s">
        <v>44</v>
      </c>
      <c r="L2" s="4">
        <v>2.151500000000002</v>
      </c>
      <c r="M2" s="4" t="s">
        <v>44</v>
      </c>
      <c r="N2" s="4" t="s">
        <v>44</v>
      </c>
      <c r="O2" s="4">
        <v>4.414999999999996</v>
      </c>
      <c r="P2" s="4" t="s">
        <v>44</v>
      </c>
      <c r="Q2" s="4" t="s">
        <v>44</v>
      </c>
      <c r="R2" s="4" t="s">
        <v>44</v>
      </c>
      <c r="S2" s="4" t="s">
        <v>44</v>
      </c>
      <c r="T2" s="4" t="s">
        <v>44</v>
      </c>
      <c r="U2" s="4" t="s">
        <v>44</v>
      </c>
      <c r="V2" s="4">
        <v>0.3979700000000044</v>
      </c>
      <c r="W2" s="4" t="s">
        <v>44</v>
      </c>
      <c r="X2" s="4">
        <v>0.9629999999999797</v>
      </c>
      <c r="Y2" s="4" t="s">
        <v>44</v>
      </c>
      <c r="Z2" s="4" t="s">
        <v>44</v>
      </c>
      <c r="AA2" s="4" t="s">
        <v>44</v>
      </c>
      <c r="AB2" s="4" t="s">
        <v>44</v>
      </c>
      <c r="AC2" s="4" t="s">
        <v>44</v>
      </c>
      <c r="AD2" s="4" t="s">
        <v>44</v>
      </c>
      <c r="AE2" s="4">
        <v>3.3623450000000084</v>
      </c>
    </row>
    <row r="3">
      <c r="A3" s="4">
        <v>2.0</v>
      </c>
      <c r="B3" s="4">
        <v>3.1694999999999993</v>
      </c>
      <c r="C3" s="4" t="s">
        <v>44</v>
      </c>
      <c r="D3" s="4">
        <v>1.9290000000000056</v>
      </c>
      <c r="E3" s="4" t="s">
        <v>44</v>
      </c>
      <c r="F3" s="4" t="s">
        <v>44</v>
      </c>
      <c r="G3" s="4" t="s">
        <v>44</v>
      </c>
      <c r="H3" s="4" t="s">
        <v>44</v>
      </c>
      <c r="I3" s="4" t="s">
        <v>44</v>
      </c>
      <c r="J3" s="4" t="s">
        <v>44</v>
      </c>
      <c r="K3" s="4" t="s">
        <v>44</v>
      </c>
      <c r="L3" s="4" t="s">
        <v>44</v>
      </c>
      <c r="M3" s="4" t="s">
        <v>44</v>
      </c>
      <c r="N3" s="4" t="s">
        <v>44</v>
      </c>
      <c r="O3" s="4">
        <v>2.533499999999993</v>
      </c>
      <c r="P3" s="4" t="s">
        <v>44</v>
      </c>
      <c r="Q3" s="4" t="s">
        <v>44</v>
      </c>
      <c r="R3" s="4" t="s">
        <v>44</v>
      </c>
      <c r="S3" s="4" t="s">
        <v>44</v>
      </c>
      <c r="T3" s="4" t="s">
        <v>44</v>
      </c>
      <c r="U3" s="4" t="s">
        <v>44</v>
      </c>
      <c r="V3" s="4" t="s">
        <v>44</v>
      </c>
      <c r="W3" s="4">
        <v>1.249764999999993</v>
      </c>
      <c r="X3" s="4" t="s">
        <v>44</v>
      </c>
      <c r="Y3" s="4" t="s">
        <v>44</v>
      </c>
      <c r="Z3" s="4">
        <v>2.2433799999999913</v>
      </c>
      <c r="AA3" s="4" t="s">
        <v>44</v>
      </c>
      <c r="AB3" s="4" t="s">
        <v>44</v>
      </c>
      <c r="AC3" s="4" t="s">
        <v>44</v>
      </c>
      <c r="AD3" s="4">
        <v>2.0055800000000126</v>
      </c>
      <c r="AE3" s="4">
        <v>3.480219999999999</v>
      </c>
    </row>
    <row r="4">
      <c r="A4" s="4">
        <v>3.0</v>
      </c>
      <c r="B4" s="4" t="s">
        <v>44</v>
      </c>
      <c r="C4" s="4" t="s">
        <v>44</v>
      </c>
      <c r="D4" s="4" t="s">
        <v>44</v>
      </c>
      <c r="E4" s="4" t="s">
        <v>44</v>
      </c>
      <c r="F4" s="4" t="s">
        <v>44</v>
      </c>
      <c r="G4" s="4" t="s">
        <v>44</v>
      </c>
      <c r="H4" s="4" t="s">
        <v>44</v>
      </c>
      <c r="I4" s="4">
        <v>0.8625000000000149</v>
      </c>
      <c r="J4" s="4" t="s">
        <v>44</v>
      </c>
      <c r="K4" s="4" t="s">
        <v>44</v>
      </c>
      <c r="L4" s="4">
        <v>0.07300000000000395</v>
      </c>
      <c r="M4" s="4" t="s">
        <v>44</v>
      </c>
      <c r="N4" s="4" t="s">
        <v>44</v>
      </c>
      <c r="O4" s="4">
        <v>1.2165</v>
      </c>
      <c r="P4" s="4" t="s">
        <v>44</v>
      </c>
      <c r="Q4" s="4" t="s">
        <v>44</v>
      </c>
      <c r="R4" s="4" t="s">
        <v>44</v>
      </c>
      <c r="S4" s="4" t="s">
        <v>44</v>
      </c>
      <c r="T4" s="4">
        <v>1.933440000000001</v>
      </c>
      <c r="U4" s="4" t="s">
        <v>44</v>
      </c>
      <c r="V4" s="4">
        <v>1.3758250000000025</v>
      </c>
      <c r="W4" s="4">
        <v>2.6686200000000113</v>
      </c>
      <c r="X4" s="4" t="s">
        <v>44</v>
      </c>
      <c r="Y4" s="4" t="s">
        <v>44</v>
      </c>
      <c r="Z4" s="4">
        <v>1.7957200000000064</v>
      </c>
      <c r="AA4" s="4" t="s">
        <v>44</v>
      </c>
      <c r="AB4" s="4" t="s">
        <v>44</v>
      </c>
      <c r="AC4" s="4" t="s">
        <v>44</v>
      </c>
      <c r="AD4" s="4">
        <v>1.8579499999999989</v>
      </c>
      <c r="AE4" s="4" t="s">
        <v>44</v>
      </c>
    </row>
    <row r="5">
      <c r="A5" s="4">
        <v>4.0</v>
      </c>
      <c r="B5" s="4" t="s">
        <v>44</v>
      </c>
      <c r="C5" s="4" t="s">
        <v>44</v>
      </c>
      <c r="D5" s="4">
        <v>1.0065000000000204</v>
      </c>
      <c r="E5" s="4" t="s">
        <v>44</v>
      </c>
      <c r="F5" s="4">
        <v>0.9200000000000053</v>
      </c>
      <c r="G5" s="4" t="s">
        <v>44</v>
      </c>
      <c r="H5" s="4" t="s">
        <v>44</v>
      </c>
      <c r="I5" s="4" t="s">
        <v>44</v>
      </c>
      <c r="J5" s="4" t="s">
        <v>44</v>
      </c>
      <c r="K5" s="4">
        <v>0.1579999999999977</v>
      </c>
      <c r="L5" s="4" t="s">
        <v>44</v>
      </c>
      <c r="M5" s="4" t="s">
        <v>44</v>
      </c>
      <c r="N5" s="4" t="s">
        <v>44</v>
      </c>
      <c r="O5" s="4" t="s">
        <v>44</v>
      </c>
      <c r="P5" s="4" t="s">
        <v>44</v>
      </c>
      <c r="Q5" s="4" t="s">
        <v>44</v>
      </c>
      <c r="R5" s="4" t="s">
        <v>44</v>
      </c>
      <c r="S5" s="4" t="s">
        <v>44</v>
      </c>
      <c r="T5" s="4">
        <v>2.2872500000000002</v>
      </c>
      <c r="U5" s="4" t="s">
        <v>44</v>
      </c>
      <c r="V5" s="4" t="s">
        <v>44</v>
      </c>
      <c r="W5" s="4">
        <v>4.347085000000003</v>
      </c>
      <c r="X5" s="4" t="s">
        <v>44</v>
      </c>
      <c r="Y5" s="4" t="s">
        <v>44</v>
      </c>
      <c r="Z5" s="4">
        <v>0.1967100000000137</v>
      </c>
      <c r="AA5" s="4" t="s">
        <v>44</v>
      </c>
      <c r="AB5" s="4" t="s">
        <v>44</v>
      </c>
      <c r="AC5" s="4" t="s">
        <v>44</v>
      </c>
      <c r="AD5" s="4">
        <v>0.3423550000000084</v>
      </c>
      <c r="AE5" s="4" t="s">
        <v>44</v>
      </c>
    </row>
    <row r="6">
      <c r="A6" s="4">
        <v>5.0</v>
      </c>
      <c r="B6" s="4" t="s">
        <v>44</v>
      </c>
      <c r="C6" s="4" t="s">
        <v>44</v>
      </c>
      <c r="D6" s="4" t="s">
        <v>44</v>
      </c>
      <c r="E6" s="4">
        <v>0.9255000000000102</v>
      </c>
      <c r="F6" s="4">
        <v>2.0130000000000017</v>
      </c>
      <c r="G6" s="4" t="s">
        <v>44</v>
      </c>
      <c r="H6" s="4" t="s">
        <v>44</v>
      </c>
      <c r="I6" s="4" t="s">
        <v>44</v>
      </c>
      <c r="J6" s="4" t="s">
        <v>44</v>
      </c>
      <c r="K6" s="4">
        <v>0.2930000000000028</v>
      </c>
      <c r="L6" s="4" t="s">
        <v>44</v>
      </c>
      <c r="M6" s="4" t="s">
        <v>44</v>
      </c>
      <c r="N6" s="4" t="s">
        <v>44</v>
      </c>
      <c r="O6" s="4" t="s">
        <v>44</v>
      </c>
      <c r="P6" s="4" t="s">
        <v>44</v>
      </c>
      <c r="Q6" s="4" t="s">
        <v>44</v>
      </c>
      <c r="R6" s="4" t="s">
        <v>44</v>
      </c>
      <c r="S6" s="4" t="s">
        <v>44</v>
      </c>
      <c r="T6" s="4">
        <v>0.8152250000000016</v>
      </c>
      <c r="U6" s="4" t="s">
        <v>44</v>
      </c>
      <c r="V6" s="4" t="s">
        <v>44</v>
      </c>
      <c r="W6" s="4">
        <v>2.6582800000000013</v>
      </c>
      <c r="X6" s="4">
        <v>0.8334499999999849</v>
      </c>
      <c r="Y6" s="4" t="s">
        <v>44</v>
      </c>
      <c r="Z6" s="4">
        <v>0.1830700000000185</v>
      </c>
      <c r="AA6" s="4" t="s">
        <v>44</v>
      </c>
      <c r="AB6" s="4" t="s">
        <v>44</v>
      </c>
      <c r="AC6" s="4" t="s">
        <v>44</v>
      </c>
      <c r="AD6" s="4">
        <v>2.3157049999999906</v>
      </c>
      <c r="AE6" s="4" t="s">
        <v>44</v>
      </c>
    </row>
    <row r="7">
      <c r="A7" s="4">
        <v>6.0</v>
      </c>
      <c r="B7" s="4" t="s">
        <v>44</v>
      </c>
      <c r="C7" s="4" t="s">
        <v>44</v>
      </c>
      <c r="D7" s="4" t="s">
        <v>44</v>
      </c>
      <c r="E7" s="4">
        <v>0.9169999999999909</v>
      </c>
      <c r="F7" s="4">
        <v>2.6805000000000057</v>
      </c>
      <c r="G7" s="4">
        <v>2.3210000000000264</v>
      </c>
      <c r="H7" s="4" t="s">
        <v>44</v>
      </c>
      <c r="I7" s="4" t="s">
        <v>44</v>
      </c>
      <c r="J7" s="4">
        <v>0.6435000000000137</v>
      </c>
      <c r="K7" s="4">
        <v>0.8245000000000111</v>
      </c>
      <c r="L7" s="4" t="s">
        <v>44</v>
      </c>
      <c r="M7" s="4" t="s">
        <v>44</v>
      </c>
      <c r="N7" s="4" t="s">
        <v>44</v>
      </c>
      <c r="O7" s="4" t="s">
        <v>44</v>
      </c>
      <c r="P7" s="4" t="s">
        <v>44</v>
      </c>
      <c r="Q7" s="4" t="s">
        <v>44</v>
      </c>
      <c r="R7" s="4" t="s">
        <v>44</v>
      </c>
      <c r="S7" s="4" t="s">
        <v>44</v>
      </c>
      <c r="T7" s="4">
        <v>1.2033999999999985</v>
      </c>
      <c r="U7" s="4">
        <v>0.20125000000000526</v>
      </c>
      <c r="V7" s="4" t="s">
        <v>44</v>
      </c>
      <c r="W7" s="4">
        <v>4.388635000000001</v>
      </c>
      <c r="X7" s="4" t="s">
        <v>44</v>
      </c>
      <c r="Y7" s="4" t="s">
        <v>44</v>
      </c>
      <c r="Z7" s="4">
        <v>2.683099999999996</v>
      </c>
      <c r="AA7" s="4" t="s">
        <v>44</v>
      </c>
      <c r="AB7" s="4" t="s">
        <v>44</v>
      </c>
      <c r="AC7" s="4" t="s">
        <v>44</v>
      </c>
      <c r="AD7" s="4" t="s">
        <v>44</v>
      </c>
      <c r="AE7" s="4" t="s">
        <v>44</v>
      </c>
    </row>
    <row r="8">
      <c r="A8" s="4">
        <v>7.0</v>
      </c>
      <c r="B8" s="4" t="s">
        <v>44</v>
      </c>
      <c r="C8" s="4" t="s">
        <v>44</v>
      </c>
      <c r="D8" s="4" t="s">
        <v>44</v>
      </c>
      <c r="E8" s="4">
        <v>5.254499999999997</v>
      </c>
      <c r="F8" s="4">
        <v>1.546000000000003</v>
      </c>
      <c r="G8" s="4">
        <v>3.1985000000000205</v>
      </c>
      <c r="H8" s="4" t="s">
        <v>44</v>
      </c>
      <c r="I8" s="4" t="s">
        <v>44</v>
      </c>
      <c r="J8" s="4" t="s">
        <v>44</v>
      </c>
      <c r="K8" s="4">
        <v>1.8015000000000008</v>
      </c>
      <c r="L8" s="4">
        <v>2.905500000000025</v>
      </c>
      <c r="M8" s="4" t="s">
        <v>44</v>
      </c>
      <c r="N8" s="4" t="s">
        <v>44</v>
      </c>
      <c r="O8" s="4" t="s">
        <v>44</v>
      </c>
      <c r="P8" s="4" t="s">
        <v>44</v>
      </c>
      <c r="Q8" s="4" t="s">
        <v>44</v>
      </c>
      <c r="R8" s="4" t="s">
        <v>44</v>
      </c>
      <c r="S8" s="4" t="s">
        <v>44</v>
      </c>
      <c r="T8" s="4" t="s">
        <v>44</v>
      </c>
      <c r="U8" s="4">
        <v>0.11970000000001235</v>
      </c>
      <c r="V8" s="4" t="s">
        <v>44</v>
      </c>
      <c r="W8" s="4">
        <v>2.694990000000004</v>
      </c>
      <c r="X8" s="4">
        <v>1.8972499999999854</v>
      </c>
      <c r="Y8" s="4" t="s">
        <v>44</v>
      </c>
      <c r="Z8" s="4">
        <v>2.6069499999999977</v>
      </c>
      <c r="AA8" s="4">
        <v>0.022699999999986176</v>
      </c>
      <c r="AB8" s="4" t="s">
        <v>44</v>
      </c>
      <c r="AC8" s="4" t="s">
        <v>44</v>
      </c>
      <c r="AD8" s="4">
        <v>0.8608849999999926</v>
      </c>
      <c r="AE8" s="4" t="s">
        <v>44</v>
      </c>
    </row>
    <row r="9">
      <c r="A9" s="4">
        <v>8.0</v>
      </c>
      <c r="B9" s="4" t="s">
        <v>44</v>
      </c>
      <c r="C9" s="4" t="s">
        <v>44</v>
      </c>
      <c r="D9" s="4" t="s">
        <v>44</v>
      </c>
      <c r="E9" s="4">
        <v>5.913000000000007</v>
      </c>
      <c r="F9" s="4">
        <v>0.9060000000000166</v>
      </c>
      <c r="G9" s="4">
        <v>4.322000000000006</v>
      </c>
      <c r="H9" s="4" t="s">
        <v>44</v>
      </c>
      <c r="I9" s="4" t="s">
        <v>44</v>
      </c>
      <c r="J9" s="4">
        <v>1.4365000000000236</v>
      </c>
      <c r="K9" s="4">
        <v>0.7815000000000047</v>
      </c>
      <c r="L9" s="4">
        <v>2.0884999999999785</v>
      </c>
      <c r="M9" s="4" t="s">
        <v>44</v>
      </c>
      <c r="N9" s="4" t="s">
        <v>44</v>
      </c>
      <c r="O9" s="4" t="s">
        <v>44</v>
      </c>
      <c r="P9" s="4" t="s">
        <v>44</v>
      </c>
      <c r="Q9" s="4" t="s">
        <v>44</v>
      </c>
      <c r="R9" s="4" t="s">
        <v>44</v>
      </c>
      <c r="S9" s="4" t="s">
        <v>44</v>
      </c>
      <c r="T9" s="4" t="s">
        <v>44</v>
      </c>
      <c r="U9" s="4" t="s">
        <v>44</v>
      </c>
      <c r="V9" s="4" t="s">
        <v>44</v>
      </c>
      <c r="W9" s="4">
        <v>2.042199999999994</v>
      </c>
      <c r="X9" s="4">
        <v>0.7835500000000053</v>
      </c>
      <c r="Y9" s="4" t="s">
        <v>44</v>
      </c>
      <c r="Z9" s="4">
        <v>3.280850000000015</v>
      </c>
      <c r="AA9" s="4" t="s">
        <v>44</v>
      </c>
      <c r="AB9" s="4" t="s">
        <v>44</v>
      </c>
      <c r="AC9" s="4" t="s">
        <v>44</v>
      </c>
      <c r="AD9" s="4">
        <v>1.5265900000000023</v>
      </c>
      <c r="AE9" s="4" t="s">
        <v>44</v>
      </c>
    </row>
    <row r="10">
      <c r="A10" s="4">
        <v>9.0</v>
      </c>
      <c r="B10" s="4" t="s">
        <v>44</v>
      </c>
      <c r="C10" s="4" t="s">
        <v>44</v>
      </c>
      <c r="D10" s="4" t="s">
        <v>44</v>
      </c>
      <c r="E10" s="4">
        <v>5.888000000000002</v>
      </c>
      <c r="F10" s="4">
        <v>0.07499999999999929</v>
      </c>
      <c r="G10" s="4">
        <v>4.0894999999999975</v>
      </c>
      <c r="H10" s="4" t="s">
        <v>44</v>
      </c>
      <c r="I10" s="4" t="s">
        <v>44</v>
      </c>
      <c r="J10" s="4">
        <v>0.9529999999999994</v>
      </c>
      <c r="K10" s="4" t="s">
        <v>44</v>
      </c>
      <c r="L10" s="4">
        <v>1.0860000000000234</v>
      </c>
      <c r="M10" s="4" t="s">
        <v>44</v>
      </c>
      <c r="N10" s="4" t="s">
        <v>44</v>
      </c>
      <c r="O10" s="4" t="s">
        <v>44</v>
      </c>
      <c r="P10" s="4" t="s">
        <v>44</v>
      </c>
      <c r="Q10" s="4" t="s">
        <v>44</v>
      </c>
      <c r="R10" s="4">
        <v>3.6892049999999976</v>
      </c>
      <c r="S10" s="4" t="s">
        <v>44</v>
      </c>
      <c r="T10" s="4" t="s">
        <v>44</v>
      </c>
      <c r="U10" s="4" t="s">
        <v>44</v>
      </c>
      <c r="V10" s="4" t="s">
        <v>44</v>
      </c>
      <c r="W10" s="4">
        <v>2.0647500000000036</v>
      </c>
      <c r="X10" s="4" t="s">
        <v>44</v>
      </c>
      <c r="Y10" s="4" t="s">
        <v>44</v>
      </c>
      <c r="Z10" s="4">
        <v>1.9784999999999968</v>
      </c>
      <c r="AA10" s="4" t="s">
        <v>44</v>
      </c>
      <c r="AB10" s="4">
        <v>2.733450000000019</v>
      </c>
      <c r="AC10" s="4" t="s">
        <v>44</v>
      </c>
      <c r="AD10" s="4">
        <v>1.7629600000000174</v>
      </c>
      <c r="AE10" s="4" t="s">
        <v>44</v>
      </c>
    </row>
    <row r="11">
      <c r="A11" s="4">
        <v>10.0</v>
      </c>
      <c r="B11" s="4" t="s">
        <v>44</v>
      </c>
      <c r="C11" s="4" t="s">
        <v>44</v>
      </c>
      <c r="D11" s="4">
        <v>0.1074999999999875</v>
      </c>
      <c r="E11" s="4">
        <v>3.8239999999999945</v>
      </c>
      <c r="F11" s="4" t="s">
        <v>44</v>
      </c>
      <c r="G11" s="4">
        <v>4.4944999999999915</v>
      </c>
      <c r="H11" s="4" t="s">
        <v>44</v>
      </c>
      <c r="I11" s="4" t="s">
        <v>44</v>
      </c>
      <c r="J11" s="4" t="s">
        <v>44</v>
      </c>
      <c r="K11" s="4">
        <v>0.06750000000000611</v>
      </c>
      <c r="L11" s="4" t="s">
        <v>44</v>
      </c>
      <c r="M11" s="4" t="s">
        <v>44</v>
      </c>
      <c r="N11" s="4" t="s">
        <v>44</v>
      </c>
      <c r="O11" s="4" t="s">
        <v>44</v>
      </c>
      <c r="P11" s="4" t="s">
        <v>44</v>
      </c>
      <c r="Q11" s="4" t="s">
        <v>44</v>
      </c>
      <c r="R11" s="4" t="s">
        <v>44</v>
      </c>
      <c r="S11" s="4" t="s">
        <v>44</v>
      </c>
      <c r="T11" s="4" t="s">
        <v>44</v>
      </c>
      <c r="U11" s="4" t="s">
        <v>44</v>
      </c>
      <c r="V11" s="4" t="s">
        <v>44</v>
      </c>
      <c r="W11" s="4">
        <v>1.005100000000013</v>
      </c>
      <c r="X11" s="4">
        <v>1.6216999999999757</v>
      </c>
      <c r="Y11" s="4" t="s">
        <v>44</v>
      </c>
      <c r="Z11" s="4">
        <v>2.5843500000000006</v>
      </c>
      <c r="AA11" s="4" t="s">
        <v>44</v>
      </c>
      <c r="AB11" s="4">
        <v>3.8586999999999776</v>
      </c>
      <c r="AC11" s="4" t="s">
        <v>44</v>
      </c>
      <c r="AD11" s="4" t="s">
        <v>44</v>
      </c>
      <c r="AE11" s="4" t="s">
        <v>44</v>
      </c>
    </row>
    <row r="12">
      <c r="A12" s="4">
        <v>11.0</v>
      </c>
      <c r="B12" s="4" t="s">
        <v>44</v>
      </c>
      <c r="C12" s="4" t="s">
        <v>44</v>
      </c>
      <c r="D12" s="4" t="s">
        <v>44</v>
      </c>
      <c r="E12" s="4">
        <v>3.4289999999999985</v>
      </c>
      <c r="F12" s="4" t="s">
        <v>44</v>
      </c>
      <c r="G12" s="4">
        <v>2.8220000000000063</v>
      </c>
      <c r="H12" s="4" t="s">
        <v>44</v>
      </c>
      <c r="I12" s="4" t="s">
        <v>44</v>
      </c>
      <c r="J12" s="4" t="s">
        <v>44</v>
      </c>
      <c r="K12" s="4">
        <v>0.7310000000000052</v>
      </c>
      <c r="L12" s="4">
        <v>2.5315000000000047</v>
      </c>
      <c r="M12" s="4" t="s">
        <v>44</v>
      </c>
      <c r="N12" s="4" t="s">
        <v>44</v>
      </c>
      <c r="O12" s="4" t="s">
        <v>44</v>
      </c>
      <c r="P12" s="4" t="s">
        <v>44</v>
      </c>
      <c r="Q12" s="4" t="s">
        <v>44</v>
      </c>
      <c r="R12" s="4" t="s">
        <v>44</v>
      </c>
      <c r="S12" s="4" t="s">
        <v>44</v>
      </c>
      <c r="T12" s="4" t="s">
        <v>44</v>
      </c>
      <c r="U12" s="4" t="s">
        <v>44</v>
      </c>
      <c r="V12" s="4" t="s">
        <v>44</v>
      </c>
      <c r="W12" s="4" t="s">
        <v>44</v>
      </c>
      <c r="X12" s="4">
        <v>2.1728000000000094</v>
      </c>
      <c r="Y12" s="4" t="s">
        <v>44</v>
      </c>
      <c r="Z12" s="4">
        <v>1.5456999999999965</v>
      </c>
      <c r="AA12" s="4" t="s">
        <v>44</v>
      </c>
      <c r="AB12" s="4">
        <v>2.742050000000006</v>
      </c>
      <c r="AC12" s="4" t="s">
        <v>44</v>
      </c>
      <c r="AD12" s="4">
        <v>2.2457600000000078</v>
      </c>
      <c r="AE12" s="4">
        <v>1.408649999999998</v>
      </c>
    </row>
    <row r="13">
      <c r="A13" s="4">
        <v>12.0</v>
      </c>
      <c r="B13" s="4" t="s">
        <v>44</v>
      </c>
      <c r="C13" s="4" t="s">
        <v>44</v>
      </c>
      <c r="D13" s="4" t="s">
        <v>44</v>
      </c>
      <c r="E13" s="4">
        <v>2.0909999999999904</v>
      </c>
      <c r="F13" s="4">
        <v>0.4045000000000094</v>
      </c>
      <c r="G13" s="4">
        <v>5.092000000000009</v>
      </c>
      <c r="H13" s="4" t="s">
        <v>44</v>
      </c>
      <c r="I13" s="4">
        <v>1.2814999999999976</v>
      </c>
      <c r="J13" s="4" t="s">
        <v>44</v>
      </c>
      <c r="K13" s="4" t="s">
        <v>44</v>
      </c>
      <c r="L13" s="4">
        <v>0.6925000000000203</v>
      </c>
      <c r="M13" s="4" t="s">
        <v>44</v>
      </c>
      <c r="N13" s="4">
        <v>0.32549999999998747</v>
      </c>
      <c r="O13" s="4" t="s">
        <v>44</v>
      </c>
      <c r="P13" s="4" t="s">
        <v>44</v>
      </c>
      <c r="Q13" s="4" t="s">
        <v>44</v>
      </c>
      <c r="R13" s="4">
        <v>0.6992099999999972</v>
      </c>
      <c r="S13" s="4" t="s">
        <v>44</v>
      </c>
      <c r="T13" s="4" t="s">
        <v>44</v>
      </c>
      <c r="U13" s="4" t="s">
        <v>44</v>
      </c>
      <c r="V13" s="4" t="s">
        <v>44</v>
      </c>
      <c r="W13" s="4" t="s">
        <v>44</v>
      </c>
      <c r="X13" s="4">
        <v>0.5489500000000049</v>
      </c>
      <c r="Y13" s="4" t="s">
        <v>44</v>
      </c>
      <c r="Z13" s="4">
        <v>0.23999999999998067</v>
      </c>
      <c r="AA13" s="4" t="s">
        <v>44</v>
      </c>
      <c r="AB13" s="4">
        <v>1.5585000000000058</v>
      </c>
      <c r="AC13" s="4" t="s">
        <v>44</v>
      </c>
      <c r="AD13" s="4">
        <v>1.829319999999992</v>
      </c>
      <c r="AE13" s="4">
        <v>3.69329999999999</v>
      </c>
    </row>
    <row r="14">
      <c r="A14" s="4">
        <v>13.0</v>
      </c>
      <c r="B14" s="4" t="s">
        <v>44</v>
      </c>
      <c r="C14" s="4" t="s">
        <v>44</v>
      </c>
      <c r="D14" s="4" t="s">
        <v>44</v>
      </c>
      <c r="E14" s="4">
        <v>2.6550000000000047</v>
      </c>
      <c r="F14" s="4" t="s">
        <v>44</v>
      </c>
      <c r="G14" s="4">
        <v>3.01799999999999</v>
      </c>
      <c r="H14" s="4" t="s">
        <v>44</v>
      </c>
      <c r="I14" s="4">
        <v>3.540999999999997</v>
      </c>
      <c r="J14" s="4" t="s">
        <v>44</v>
      </c>
      <c r="K14" s="4" t="s">
        <v>44</v>
      </c>
      <c r="L14" s="4">
        <v>1.5510000000000197</v>
      </c>
      <c r="M14" s="4" t="s">
        <v>44</v>
      </c>
      <c r="N14" s="4">
        <v>2.205500000000008</v>
      </c>
      <c r="O14" s="4">
        <v>0.05200000000002092</v>
      </c>
      <c r="P14" s="4" t="s">
        <v>44</v>
      </c>
      <c r="Q14" s="4">
        <v>0.26450000000000884</v>
      </c>
      <c r="R14" s="4">
        <v>1.219020000000004</v>
      </c>
      <c r="S14" s="4">
        <v>1.6532499999999857</v>
      </c>
      <c r="T14" s="4" t="s">
        <v>44</v>
      </c>
      <c r="U14" s="4" t="s">
        <v>44</v>
      </c>
      <c r="V14" s="4" t="s">
        <v>44</v>
      </c>
      <c r="W14" s="4" t="s">
        <v>44</v>
      </c>
      <c r="X14" s="4" t="s">
        <v>44</v>
      </c>
      <c r="Y14" s="4" t="s">
        <v>44</v>
      </c>
      <c r="Z14" s="4" t="s">
        <v>44</v>
      </c>
      <c r="AA14" s="4" t="s">
        <v>44</v>
      </c>
      <c r="AB14" s="4">
        <v>2.8210000000000086</v>
      </c>
      <c r="AC14" s="4" t="s">
        <v>44</v>
      </c>
      <c r="AD14" s="4" t="s">
        <v>44</v>
      </c>
      <c r="AE14" s="4">
        <v>0.6283500000000011</v>
      </c>
    </row>
    <row r="15">
      <c r="A15" s="4">
        <v>14.0</v>
      </c>
      <c r="B15" s="4" t="s">
        <v>44</v>
      </c>
      <c r="C15" s="4" t="s">
        <v>44</v>
      </c>
      <c r="D15" s="4" t="s">
        <v>44</v>
      </c>
      <c r="E15" s="4" t="s">
        <v>44</v>
      </c>
      <c r="F15" s="4" t="s">
        <v>44</v>
      </c>
      <c r="G15" s="4">
        <v>2.8860000000000063</v>
      </c>
      <c r="H15" s="4" t="s">
        <v>44</v>
      </c>
      <c r="I15" s="4">
        <v>0.6269999999999953</v>
      </c>
      <c r="J15" s="4" t="s">
        <v>44</v>
      </c>
      <c r="K15" s="4" t="s">
        <v>44</v>
      </c>
      <c r="L15" s="4" t="s">
        <v>44</v>
      </c>
      <c r="M15" s="4" t="s">
        <v>44</v>
      </c>
      <c r="N15" s="4">
        <v>3.4404999999999966</v>
      </c>
      <c r="O15" s="4">
        <v>1.274000000000001</v>
      </c>
      <c r="P15" s="4" t="s">
        <v>44</v>
      </c>
      <c r="Q15" s="4">
        <v>0.40999999999999304</v>
      </c>
      <c r="R15" s="4">
        <v>1.6176900000000067</v>
      </c>
      <c r="S15" s="4">
        <v>1.5331999999999795</v>
      </c>
      <c r="T15" s="4" t="s">
        <v>44</v>
      </c>
      <c r="U15" s="4" t="s">
        <v>44</v>
      </c>
      <c r="V15" s="4" t="s">
        <v>44</v>
      </c>
      <c r="W15" s="4" t="s">
        <v>44</v>
      </c>
      <c r="X15" s="4">
        <v>1.9119499999999903</v>
      </c>
      <c r="Y15" s="4">
        <v>0.5139999999999958</v>
      </c>
      <c r="Z15" s="4" t="s">
        <v>44</v>
      </c>
      <c r="AA15" s="4" t="s">
        <v>44</v>
      </c>
      <c r="AB15" s="4">
        <v>2.3020399999999945</v>
      </c>
      <c r="AC15" s="4" t="s">
        <v>44</v>
      </c>
      <c r="AD15" s="4" t="s">
        <v>44</v>
      </c>
      <c r="AE15" s="4">
        <v>1.0314999999999976</v>
      </c>
    </row>
    <row r="16">
      <c r="A16" s="4">
        <v>15.0</v>
      </c>
      <c r="B16" s="4">
        <v>0.5999999999999979</v>
      </c>
      <c r="C16" s="4" t="s">
        <v>44</v>
      </c>
      <c r="D16" s="4" t="s">
        <v>44</v>
      </c>
      <c r="E16" s="4">
        <v>1.5045000000000073</v>
      </c>
      <c r="F16" s="4">
        <v>1.0024999999999835</v>
      </c>
      <c r="G16" s="4">
        <v>0.3769999999999918</v>
      </c>
      <c r="H16" s="4" t="s">
        <v>44</v>
      </c>
      <c r="I16" s="4" t="s">
        <v>44</v>
      </c>
      <c r="J16" s="4" t="s">
        <v>44</v>
      </c>
      <c r="K16" s="4">
        <v>0.8719999999999963</v>
      </c>
      <c r="L16" s="4">
        <v>0.2859999999999978</v>
      </c>
      <c r="M16" s="4">
        <v>0.23299999999998988</v>
      </c>
      <c r="N16" s="4">
        <v>1.4755000000000003</v>
      </c>
      <c r="O16" s="4" t="s">
        <v>44</v>
      </c>
      <c r="P16" s="4" t="s">
        <v>44</v>
      </c>
      <c r="Q16" s="4">
        <v>1.3514999999999908</v>
      </c>
      <c r="R16" s="4">
        <v>2.9761300000000084</v>
      </c>
      <c r="S16" s="4" t="s">
        <v>44</v>
      </c>
      <c r="T16" s="4" t="s">
        <v>44</v>
      </c>
      <c r="U16" s="4" t="s">
        <v>44</v>
      </c>
      <c r="V16" s="4" t="s">
        <v>44</v>
      </c>
      <c r="W16" s="4" t="s">
        <v>44</v>
      </c>
      <c r="X16" s="4">
        <v>0.29324999999998624</v>
      </c>
      <c r="Y16" s="4">
        <v>2.034949999999995</v>
      </c>
      <c r="Z16" s="4" t="s">
        <v>44</v>
      </c>
      <c r="AA16" s="4" t="s">
        <v>44</v>
      </c>
      <c r="AB16" s="4">
        <v>2.814279999999993</v>
      </c>
      <c r="AC16" s="4" t="s">
        <v>44</v>
      </c>
      <c r="AD16" s="4" t="s">
        <v>44</v>
      </c>
      <c r="AE16" s="4">
        <v>2.6219000000000072</v>
      </c>
    </row>
    <row r="17">
      <c r="A17" s="4">
        <v>16.0</v>
      </c>
      <c r="B17" s="4">
        <v>0.38200000000000145</v>
      </c>
      <c r="C17" s="4">
        <v>1.8245000000000182</v>
      </c>
      <c r="D17" s="4" t="s">
        <v>44</v>
      </c>
      <c r="E17" s="4">
        <v>2.271999999999995</v>
      </c>
      <c r="F17" s="4" t="s">
        <v>44</v>
      </c>
      <c r="G17" s="4">
        <v>2.671000000000003</v>
      </c>
      <c r="H17" s="4" t="s">
        <v>44</v>
      </c>
      <c r="I17" s="4" t="s">
        <v>44</v>
      </c>
      <c r="J17" s="4" t="s">
        <v>44</v>
      </c>
      <c r="K17" s="4" t="s">
        <v>44</v>
      </c>
      <c r="L17" s="4">
        <v>0.37800000000000367</v>
      </c>
      <c r="M17" s="4">
        <v>0.34900000000000375</v>
      </c>
      <c r="N17" s="4">
        <v>2.1870000000000225</v>
      </c>
      <c r="O17" s="4" t="s">
        <v>44</v>
      </c>
      <c r="P17" s="4" t="s">
        <v>44</v>
      </c>
      <c r="Q17" s="4" t="s">
        <v>44</v>
      </c>
      <c r="R17" s="4">
        <v>2.1890299999999883</v>
      </c>
      <c r="S17" s="4" t="s">
        <v>44</v>
      </c>
      <c r="T17" s="4" t="s">
        <v>44</v>
      </c>
      <c r="U17" s="4" t="s">
        <v>44</v>
      </c>
      <c r="V17" s="4" t="s">
        <v>44</v>
      </c>
      <c r="W17" s="4">
        <v>0.39101500000002076</v>
      </c>
      <c r="X17" s="4" t="s">
        <v>44</v>
      </c>
      <c r="Y17" s="4">
        <v>0.7427999999999741</v>
      </c>
      <c r="Z17" s="4" t="s">
        <v>44</v>
      </c>
      <c r="AA17" s="4" t="s">
        <v>44</v>
      </c>
      <c r="AB17" s="4">
        <v>1.174160000000004</v>
      </c>
      <c r="AC17" s="4">
        <v>0.7397249999999964</v>
      </c>
      <c r="AD17" s="4" t="s">
        <v>44</v>
      </c>
      <c r="AE17" s="4">
        <v>0.397249999999989</v>
      </c>
    </row>
    <row r="18">
      <c r="A18" s="4">
        <v>17.0</v>
      </c>
      <c r="B18" s="4">
        <v>1.0114999999999945</v>
      </c>
      <c r="C18" s="4" t="s">
        <v>44</v>
      </c>
      <c r="D18" s="4" t="s">
        <v>44</v>
      </c>
      <c r="E18" s="4">
        <v>0.5014999999999823</v>
      </c>
      <c r="F18" s="4" t="s">
        <v>44</v>
      </c>
      <c r="G18" s="4">
        <v>1.8534999999999933</v>
      </c>
      <c r="H18" s="4" t="s">
        <v>44</v>
      </c>
      <c r="I18" s="4" t="s">
        <v>44</v>
      </c>
      <c r="J18" s="4" t="s">
        <v>44</v>
      </c>
      <c r="K18" s="4" t="s">
        <v>44</v>
      </c>
      <c r="L18" s="4">
        <v>1.3990000000000045</v>
      </c>
      <c r="M18" s="4">
        <v>0.6269999999999953</v>
      </c>
      <c r="N18" s="4">
        <v>2.0089999999999897</v>
      </c>
      <c r="O18" s="4" t="s">
        <v>44</v>
      </c>
      <c r="P18" s="4" t="s">
        <v>44</v>
      </c>
      <c r="Q18" s="4" t="s">
        <v>44</v>
      </c>
      <c r="R18" s="4">
        <v>0.5061199999999957</v>
      </c>
      <c r="S18" s="4">
        <v>2.7006500000000138</v>
      </c>
      <c r="T18" s="4" t="s">
        <v>44</v>
      </c>
      <c r="U18" s="4" t="s">
        <v>44</v>
      </c>
      <c r="V18" s="4" t="s">
        <v>44</v>
      </c>
      <c r="W18" s="4">
        <v>2.174489999999995</v>
      </c>
      <c r="X18" s="4" t="s">
        <v>44</v>
      </c>
      <c r="Y18" s="4">
        <v>0.29999999999998295</v>
      </c>
      <c r="Z18" s="4" t="s">
        <v>44</v>
      </c>
      <c r="AA18" s="4" t="s">
        <v>44</v>
      </c>
      <c r="AB18" s="4">
        <v>3.9453099999999957</v>
      </c>
      <c r="AC18" s="4" t="s">
        <v>44</v>
      </c>
      <c r="AD18" s="4" t="s">
        <v>44</v>
      </c>
      <c r="AE18" s="4" t="s">
        <v>44</v>
      </c>
    </row>
    <row r="19">
      <c r="A19" s="4">
        <v>18.0</v>
      </c>
      <c r="B19" s="4" t="s">
        <v>44</v>
      </c>
      <c r="C19" s="4" t="s">
        <v>44</v>
      </c>
      <c r="D19" s="4" t="s">
        <v>44</v>
      </c>
      <c r="E19" s="4" t="s">
        <v>44</v>
      </c>
      <c r="F19" s="4">
        <v>1.48500000000001</v>
      </c>
      <c r="G19" s="4">
        <v>2.169500000000003</v>
      </c>
      <c r="H19" s="4">
        <v>1.4214999999999947</v>
      </c>
      <c r="I19" s="4" t="s">
        <v>44</v>
      </c>
      <c r="J19" s="4" t="s">
        <v>44</v>
      </c>
      <c r="K19" s="4" t="s">
        <v>44</v>
      </c>
      <c r="L19" s="4" t="s">
        <v>44</v>
      </c>
      <c r="M19" s="4">
        <v>0.4290000000000127</v>
      </c>
      <c r="N19" s="4">
        <v>0.1574999999999953</v>
      </c>
      <c r="O19" s="4">
        <v>0.014499999999987523</v>
      </c>
      <c r="P19" s="4" t="s">
        <v>44</v>
      </c>
      <c r="Q19" s="4" t="s">
        <v>44</v>
      </c>
      <c r="R19" s="4">
        <v>0.46414999999998585</v>
      </c>
      <c r="S19" s="4">
        <v>1.358100000000011</v>
      </c>
      <c r="T19" s="4" t="s">
        <v>44</v>
      </c>
      <c r="U19" s="4" t="s">
        <v>44</v>
      </c>
      <c r="V19" s="4" t="s">
        <v>44</v>
      </c>
      <c r="W19" s="4" t="s">
        <v>44</v>
      </c>
      <c r="X19" s="4" t="s">
        <v>44</v>
      </c>
      <c r="Y19" s="4">
        <v>1.0187999999999988</v>
      </c>
      <c r="Z19" s="4" t="s">
        <v>44</v>
      </c>
      <c r="AA19" s="4" t="s">
        <v>44</v>
      </c>
      <c r="AB19" s="4">
        <v>3.73264</v>
      </c>
      <c r="AC19" s="4" t="s">
        <v>44</v>
      </c>
      <c r="AD19" s="4">
        <v>0.40645000000000664</v>
      </c>
      <c r="AE19" s="4">
        <v>0.9626000000000197</v>
      </c>
    </row>
    <row r="20">
      <c r="A20" s="4">
        <v>19.0</v>
      </c>
      <c r="B20" s="4">
        <v>0.4494999999999969</v>
      </c>
      <c r="C20" s="4" t="s">
        <v>44</v>
      </c>
      <c r="D20" s="4" t="s">
        <v>44</v>
      </c>
      <c r="E20" s="4">
        <v>0.5139999999999993</v>
      </c>
      <c r="F20" s="4">
        <v>4.014000000000014</v>
      </c>
      <c r="G20" s="4" t="s">
        <v>44</v>
      </c>
      <c r="H20" s="4">
        <v>3.242999999999995</v>
      </c>
      <c r="I20" s="4" t="s">
        <v>44</v>
      </c>
      <c r="J20" s="4" t="s">
        <v>44</v>
      </c>
      <c r="K20" s="4" t="s">
        <v>44</v>
      </c>
      <c r="L20" s="4">
        <v>1.3039999999999985</v>
      </c>
      <c r="M20" s="4">
        <v>2.3365000000000116</v>
      </c>
      <c r="N20" s="4" t="s">
        <v>44</v>
      </c>
      <c r="O20" s="4" t="s">
        <v>44</v>
      </c>
      <c r="P20" s="4" t="s">
        <v>44</v>
      </c>
      <c r="Q20" s="4" t="s">
        <v>44</v>
      </c>
      <c r="R20" s="4" t="s">
        <v>44</v>
      </c>
      <c r="S20" s="4" t="s">
        <v>44</v>
      </c>
      <c r="T20" s="4" t="s">
        <v>44</v>
      </c>
      <c r="U20" s="4" t="s">
        <v>44</v>
      </c>
      <c r="V20" s="4" t="s">
        <v>44</v>
      </c>
      <c r="W20" s="4">
        <v>0.7158000000000122</v>
      </c>
      <c r="X20" s="4" t="s">
        <v>44</v>
      </c>
      <c r="Y20" s="4">
        <v>2.337299999999985</v>
      </c>
      <c r="Z20" s="4" t="s">
        <v>44</v>
      </c>
      <c r="AA20" s="4" t="s">
        <v>44</v>
      </c>
      <c r="AB20" s="4">
        <v>4.029900000000012</v>
      </c>
      <c r="AC20" s="4" t="s">
        <v>44</v>
      </c>
      <c r="AD20" s="4" t="s">
        <v>44</v>
      </c>
      <c r="AE20" s="4">
        <v>3.0588000000000086</v>
      </c>
    </row>
    <row r="21" ht="15.75" customHeight="1">
      <c r="A21" s="4">
        <v>20.0</v>
      </c>
      <c r="B21" s="4">
        <v>0.4805000000000028</v>
      </c>
      <c r="C21" s="4" t="s">
        <v>44</v>
      </c>
      <c r="D21" s="4">
        <v>0.4745000000000026</v>
      </c>
      <c r="E21" s="4" t="s">
        <v>44</v>
      </c>
      <c r="F21" s="4">
        <v>3.992000000000001</v>
      </c>
      <c r="G21" s="4">
        <v>2.6439999999999912</v>
      </c>
      <c r="H21" s="4">
        <v>3.1819999999999915</v>
      </c>
      <c r="I21" s="4" t="s">
        <v>44</v>
      </c>
      <c r="J21" s="4" t="s">
        <v>44</v>
      </c>
      <c r="K21" s="4" t="s">
        <v>44</v>
      </c>
      <c r="L21" s="4">
        <v>3.669500000000017</v>
      </c>
      <c r="M21" s="4">
        <v>2.0040000000000155</v>
      </c>
      <c r="N21" s="4" t="s">
        <v>44</v>
      </c>
      <c r="O21" s="4" t="s">
        <v>44</v>
      </c>
      <c r="P21" s="4">
        <v>0.07749999999998636</v>
      </c>
      <c r="Q21" s="4" t="s">
        <v>44</v>
      </c>
      <c r="R21" s="4" t="s">
        <v>44</v>
      </c>
      <c r="S21" s="4">
        <v>2.5037700000000065</v>
      </c>
      <c r="T21" s="4" t="s">
        <v>44</v>
      </c>
      <c r="U21" s="4" t="s">
        <v>44</v>
      </c>
      <c r="V21" s="4" t="s">
        <v>44</v>
      </c>
      <c r="W21" s="4">
        <v>1.8856000000000002</v>
      </c>
      <c r="X21" s="4" t="s">
        <v>44</v>
      </c>
      <c r="Y21" s="4">
        <v>1.3051499999999834</v>
      </c>
      <c r="Z21" s="4" t="s">
        <v>44</v>
      </c>
      <c r="AA21" s="4" t="s">
        <v>44</v>
      </c>
      <c r="AB21" s="4">
        <v>2.8101999999999947</v>
      </c>
      <c r="AC21" s="4" t="s">
        <v>44</v>
      </c>
      <c r="AD21" s="4" t="s">
        <v>44</v>
      </c>
      <c r="AE21" s="4">
        <v>0.6788900000000133</v>
      </c>
    </row>
    <row r="22" ht="15.75" customHeight="1">
      <c r="A22" s="4">
        <v>21.0</v>
      </c>
      <c r="B22" s="4" t="s">
        <v>44</v>
      </c>
      <c r="C22" s="4" t="s">
        <v>44</v>
      </c>
      <c r="D22" s="4">
        <v>3.5500000000000007</v>
      </c>
      <c r="E22" s="4" t="s">
        <v>44</v>
      </c>
      <c r="F22" s="4">
        <v>4.9205000000000005</v>
      </c>
      <c r="G22" s="4">
        <v>1.4634999999999962</v>
      </c>
      <c r="H22" s="4">
        <v>2.052499999999995</v>
      </c>
      <c r="I22" s="4" t="s">
        <v>44</v>
      </c>
      <c r="J22" s="4" t="s">
        <v>44</v>
      </c>
      <c r="K22" s="4" t="s">
        <v>44</v>
      </c>
      <c r="L22" s="4">
        <v>2.6970000000000134</v>
      </c>
      <c r="M22" s="4">
        <v>2.4135000000000026</v>
      </c>
      <c r="N22" s="4" t="s">
        <v>44</v>
      </c>
      <c r="O22" s="4" t="s">
        <v>44</v>
      </c>
      <c r="P22" s="4">
        <v>0.8535000000000146</v>
      </c>
      <c r="Q22" s="4" t="s">
        <v>44</v>
      </c>
      <c r="R22" s="4" t="s">
        <v>44</v>
      </c>
      <c r="S22" s="4" t="s">
        <v>44</v>
      </c>
      <c r="T22" s="4" t="s">
        <v>44</v>
      </c>
      <c r="U22" s="4" t="s">
        <v>44</v>
      </c>
      <c r="V22" s="4">
        <v>0.29830000000001533</v>
      </c>
      <c r="W22" s="4">
        <v>1.2906999999999904</v>
      </c>
      <c r="X22" s="4" t="s">
        <v>44</v>
      </c>
      <c r="Y22" s="4">
        <v>3.1496000000000066</v>
      </c>
      <c r="Z22" s="4" t="s">
        <v>44</v>
      </c>
      <c r="AA22" s="4" t="s">
        <v>44</v>
      </c>
      <c r="AB22" s="4">
        <v>2.5447300000000084</v>
      </c>
      <c r="AC22" s="4" t="s">
        <v>44</v>
      </c>
      <c r="AD22" s="4" t="s">
        <v>44</v>
      </c>
      <c r="AE22" s="4">
        <v>2.8965549999999887</v>
      </c>
    </row>
    <row r="23" ht="15.75" customHeight="1">
      <c r="A23" s="4">
        <v>22.0</v>
      </c>
      <c r="B23" s="4" t="s">
        <v>44</v>
      </c>
      <c r="C23" s="4" t="s">
        <v>44</v>
      </c>
      <c r="D23" s="4" t="s">
        <v>44</v>
      </c>
      <c r="E23" s="4" t="s">
        <v>44</v>
      </c>
      <c r="F23" s="4">
        <v>6.2400000000000055</v>
      </c>
      <c r="G23" s="4">
        <v>0.8599999999999959</v>
      </c>
      <c r="H23" s="4">
        <v>1.913000000000011</v>
      </c>
      <c r="I23" s="4" t="s">
        <v>44</v>
      </c>
      <c r="J23" s="4" t="s">
        <v>44</v>
      </c>
      <c r="K23" s="4">
        <v>0.6514999999999951</v>
      </c>
      <c r="L23" s="4">
        <v>0.8045000000000009</v>
      </c>
      <c r="M23" s="4" t="s">
        <v>44</v>
      </c>
      <c r="N23" s="4" t="s">
        <v>44</v>
      </c>
      <c r="O23" s="4" t="s">
        <v>44</v>
      </c>
      <c r="P23" s="4">
        <v>3.036000000000005</v>
      </c>
      <c r="Q23" s="4" t="s">
        <v>44</v>
      </c>
      <c r="R23" s="4" t="s">
        <v>44</v>
      </c>
      <c r="S23" s="4" t="s">
        <v>44</v>
      </c>
      <c r="T23" s="4" t="s">
        <v>44</v>
      </c>
      <c r="U23" s="4" t="s">
        <v>44</v>
      </c>
      <c r="V23" s="4">
        <v>0.34240000000000137</v>
      </c>
      <c r="W23" s="4" t="s">
        <v>44</v>
      </c>
      <c r="X23" s="4" t="s">
        <v>44</v>
      </c>
      <c r="Y23" s="4">
        <v>2.106500000000011</v>
      </c>
      <c r="Z23" s="4" t="s">
        <v>44</v>
      </c>
      <c r="AA23" s="4" t="s">
        <v>44</v>
      </c>
      <c r="AB23" s="4">
        <v>2.3721850000000124</v>
      </c>
      <c r="AC23" s="4" t="s">
        <v>44</v>
      </c>
      <c r="AD23" s="4" t="s">
        <v>44</v>
      </c>
      <c r="AE23" s="4">
        <v>2.7433100000000046</v>
      </c>
    </row>
    <row r="24" ht="15.75" customHeight="1">
      <c r="A24" s="4">
        <v>23.0</v>
      </c>
      <c r="B24" s="4" t="s">
        <v>44</v>
      </c>
      <c r="C24" s="4" t="s">
        <v>44</v>
      </c>
      <c r="D24" s="4">
        <v>2.868499999999994</v>
      </c>
      <c r="E24" s="4" t="s">
        <v>44</v>
      </c>
      <c r="F24" s="4">
        <v>3.6744999999999983</v>
      </c>
      <c r="G24" s="4" t="s">
        <v>44</v>
      </c>
      <c r="H24" s="4">
        <v>0.630999999999986</v>
      </c>
      <c r="I24" s="4" t="s">
        <v>44</v>
      </c>
      <c r="J24" s="4" t="s">
        <v>44</v>
      </c>
      <c r="K24" s="4">
        <v>2.204000000000004</v>
      </c>
      <c r="L24" s="4">
        <v>2.1254999999999846</v>
      </c>
      <c r="M24" s="4" t="s">
        <v>44</v>
      </c>
      <c r="N24" s="4" t="s">
        <v>44</v>
      </c>
      <c r="O24" s="4" t="s">
        <v>44</v>
      </c>
      <c r="P24" s="4">
        <v>3.4649999999999856</v>
      </c>
      <c r="Q24" s="4">
        <v>0.46849999999999525</v>
      </c>
      <c r="R24" s="4" t="s">
        <v>44</v>
      </c>
      <c r="S24" s="4" t="s">
        <v>44</v>
      </c>
      <c r="T24" s="4" t="s">
        <v>44</v>
      </c>
      <c r="U24" s="4" t="s">
        <v>44</v>
      </c>
      <c r="V24" s="4" t="s">
        <v>44</v>
      </c>
      <c r="W24" s="4" t="s">
        <v>44</v>
      </c>
      <c r="X24" s="4" t="s">
        <v>44</v>
      </c>
      <c r="Y24" s="4" t="s">
        <v>44</v>
      </c>
      <c r="Z24" s="4" t="s">
        <v>44</v>
      </c>
      <c r="AA24" s="4" t="s">
        <v>44</v>
      </c>
      <c r="AB24" s="4">
        <v>3.1908700000000074</v>
      </c>
      <c r="AC24" s="4" t="s">
        <v>44</v>
      </c>
      <c r="AD24" s="4" t="s">
        <v>44</v>
      </c>
      <c r="AE24" s="4">
        <v>1.34410999999999</v>
      </c>
    </row>
    <row r="25" ht="15.75" customHeight="1">
      <c r="A25" s="4">
        <v>24.0</v>
      </c>
      <c r="B25" s="4" t="s">
        <v>44</v>
      </c>
      <c r="C25" s="4" t="s">
        <v>44</v>
      </c>
      <c r="D25" s="4">
        <v>3.23800000000001</v>
      </c>
      <c r="E25" s="4" t="s">
        <v>44</v>
      </c>
      <c r="F25" s="4">
        <v>2.4955000000000105</v>
      </c>
      <c r="G25" s="4">
        <v>2.3069999999999844</v>
      </c>
      <c r="H25" s="4">
        <v>2.2195000000000107</v>
      </c>
      <c r="I25" s="4" t="s">
        <v>44</v>
      </c>
      <c r="J25" s="4" t="s">
        <v>44</v>
      </c>
      <c r="K25" s="4">
        <v>1.5109999999999992</v>
      </c>
      <c r="L25" s="4">
        <v>3.4094999999999978</v>
      </c>
      <c r="M25" s="4" t="s">
        <v>44</v>
      </c>
      <c r="N25" s="4">
        <v>0.17150000000000531</v>
      </c>
      <c r="O25" s="4" t="s">
        <v>44</v>
      </c>
      <c r="P25" s="4">
        <v>2.535</v>
      </c>
      <c r="Q25" s="4">
        <v>1.3529999999999802</v>
      </c>
      <c r="R25" s="4" t="s">
        <v>44</v>
      </c>
      <c r="S25" s="4" t="s">
        <v>44</v>
      </c>
      <c r="T25" s="4" t="s">
        <v>44</v>
      </c>
      <c r="U25" s="4" t="s">
        <v>44</v>
      </c>
      <c r="V25" s="4">
        <v>1.4735499999999924</v>
      </c>
      <c r="W25" s="4">
        <v>0.6422499999999971</v>
      </c>
      <c r="X25" s="4" t="s">
        <v>44</v>
      </c>
      <c r="Y25" s="4" t="s">
        <v>44</v>
      </c>
      <c r="Z25" s="4">
        <v>0.042600000000003746</v>
      </c>
      <c r="AA25" s="4" t="s">
        <v>44</v>
      </c>
      <c r="AB25" s="4">
        <v>2.807570000000002</v>
      </c>
      <c r="AC25" s="4" t="s">
        <v>44</v>
      </c>
      <c r="AD25" s="4" t="s">
        <v>44</v>
      </c>
      <c r="AE25" s="4" t="s">
        <v>44</v>
      </c>
    </row>
    <row r="26" ht="15.75" customHeight="1">
      <c r="A26" s="4">
        <v>25.0</v>
      </c>
      <c r="B26" s="4" t="s">
        <v>44</v>
      </c>
      <c r="C26" s="4" t="s">
        <v>44</v>
      </c>
      <c r="D26" s="4" t="s">
        <v>44</v>
      </c>
      <c r="E26" s="4">
        <v>3.190500000000018</v>
      </c>
      <c r="F26" s="4">
        <v>0.4985000000000035</v>
      </c>
      <c r="G26" s="4" t="s">
        <v>44</v>
      </c>
      <c r="H26" s="4">
        <v>1.8060000000000045</v>
      </c>
      <c r="I26" s="4" t="s">
        <v>44</v>
      </c>
      <c r="J26" s="4" t="s">
        <v>44</v>
      </c>
      <c r="K26" s="4">
        <v>2.640000000000004</v>
      </c>
      <c r="L26" s="4">
        <v>0.05049999999999599</v>
      </c>
      <c r="M26" s="4" t="s">
        <v>44</v>
      </c>
      <c r="N26" s="4">
        <v>0.17850000000001032</v>
      </c>
      <c r="O26" s="4" t="s">
        <v>44</v>
      </c>
      <c r="P26" s="4">
        <v>1.0485000000000149</v>
      </c>
      <c r="Q26" s="4">
        <v>1.2504999999999882</v>
      </c>
      <c r="R26" s="4" t="s">
        <v>44</v>
      </c>
      <c r="S26" s="4" t="s">
        <v>44</v>
      </c>
      <c r="T26" s="4" t="s">
        <v>44</v>
      </c>
      <c r="U26" s="4" t="s">
        <v>44</v>
      </c>
      <c r="V26" s="4">
        <v>2.935950000000009</v>
      </c>
      <c r="W26" s="4" t="s">
        <v>44</v>
      </c>
      <c r="X26" s="4" t="s">
        <v>44</v>
      </c>
      <c r="Y26" s="4" t="s">
        <v>44</v>
      </c>
      <c r="Z26" s="4" t="s">
        <v>44</v>
      </c>
      <c r="AA26" s="4" t="s">
        <v>44</v>
      </c>
      <c r="AB26" s="4">
        <v>0.042520000000020985</v>
      </c>
      <c r="AC26" s="4" t="s">
        <v>44</v>
      </c>
      <c r="AD26" s="4" t="s">
        <v>44</v>
      </c>
      <c r="AE26" s="4" t="s">
        <v>44</v>
      </c>
    </row>
    <row r="27" ht="15.75" customHeight="1">
      <c r="A27" s="4">
        <v>26.0</v>
      </c>
      <c r="B27" s="4" t="s">
        <v>44</v>
      </c>
      <c r="C27" s="4" t="s">
        <v>44</v>
      </c>
      <c r="D27" s="4" t="s">
        <v>44</v>
      </c>
      <c r="E27" s="4">
        <v>1.9235000000000149</v>
      </c>
      <c r="F27" s="4">
        <v>1.1534999999999975</v>
      </c>
      <c r="G27" s="4">
        <v>0.7329999999999934</v>
      </c>
      <c r="H27" s="4">
        <v>1.9530000000000207</v>
      </c>
      <c r="I27" s="4" t="s">
        <v>44</v>
      </c>
      <c r="J27" s="4" t="s">
        <v>44</v>
      </c>
      <c r="K27" s="4">
        <v>2.9649999999999928</v>
      </c>
      <c r="L27" s="4" t="s">
        <v>44</v>
      </c>
      <c r="M27" s="4" t="s">
        <v>44</v>
      </c>
      <c r="N27" s="4" t="s">
        <v>44</v>
      </c>
      <c r="O27" s="4" t="s">
        <v>44</v>
      </c>
      <c r="P27" s="4">
        <v>2.507500000000004</v>
      </c>
      <c r="Q27" s="4">
        <v>0.002999999999985903</v>
      </c>
      <c r="R27" s="4" t="s">
        <v>44</v>
      </c>
      <c r="S27" s="4">
        <v>0.7005000000000052</v>
      </c>
      <c r="T27" s="4" t="s">
        <v>44</v>
      </c>
      <c r="U27" s="4" t="s">
        <v>44</v>
      </c>
      <c r="V27" s="4">
        <v>1.3273500000000134</v>
      </c>
      <c r="W27" s="4" t="s">
        <v>44</v>
      </c>
      <c r="X27" s="4" t="s">
        <v>44</v>
      </c>
      <c r="Y27" s="4" t="s">
        <v>44</v>
      </c>
      <c r="Z27" s="4" t="s">
        <v>44</v>
      </c>
      <c r="AA27" s="4" t="s">
        <v>44</v>
      </c>
      <c r="AB27" s="4" t="s">
        <v>44</v>
      </c>
      <c r="AC27" s="4">
        <v>0.4327000000000112</v>
      </c>
      <c r="AD27" s="4" t="s">
        <v>44</v>
      </c>
      <c r="AE27" s="4">
        <v>0.7295500000000033</v>
      </c>
    </row>
    <row r="28" ht="15.75" customHeight="1">
      <c r="A28" s="4">
        <v>27.0</v>
      </c>
      <c r="B28" s="4" t="s">
        <v>44</v>
      </c>
      <c r="C28" s="4" t="s">
        <v>44</v>
      </c>
      <c r="D28" s="4" t="s">
        <v>44</v>
      </c>
      <c r="E28" s="4" t="s">
        <v>44</v>
      </c>
      <c r="F28" s="4" t="s">
        <v>44</v>
      </c>
      <c r="G28" s="4">
        <v>0.11000000000000298</v>
      </c>
      <c r="H28" s="4" t="s">
        <v>44</v>
      </c>
      <c r="I28" s="4" t="s">
        <v>44</v>
      </c>
      <c r="J28" s="4" t="s">
        <v>44</v>
      </c>
      <c r="K28" s="4">
        <v>2.655500000000007</v>
      </c>
      <c r="L28" s="4" t="s">
        <v>44</v>
      </c>
      <c r="M28" s="4" t="s">
        <v>44</v>
      </c>
      <c r="N28" s="4">
        <v>1.7054999999999971</v>
      </c>
      <c r="O28" s="4" t="s">
        <v>44</v>
      </c>
      <c r="P28" s="4" t="s">
        <v>44</v>
      </c>
      <c r="Q28" s="4" t="s">
        <v>44</v>
      </c>
      <c r="R28" s="4" t="s">
        <v>44</v>
      </c>
      <c r="S28" s="4">
        <v>2.050950000000011</v>
      </c>
      <c r="T28" s="4" t="s">
        <v>44</v>
      </c>
      <c r="U28" s="4" t="s">
        <v>44</v>
      </c>
      <c r="V28" s="4" t="s">
        <v>44</v>
      </c>
      <c r="W28" s="4" t="s">
        <v>44</v>
      </c>
      <c r="X28" s="4" t="s">
        <v>44</v>
      </c>
      <c r="Y28" s="4" t="s">
        <v>44</v>
      </c>
      <c r="Z28" s="4" t="s">
        <v>44</v>
      </c>
      <c r="AA28" s="4" t="s">
        <v>44</v>
      </c>
      <c r="AB28" s="4" t="s">
        <v>44</v>
      </c>
      <c r="AC28" s="4">
        <v>1.550299999999993</v>
      </c>
      <c r="AD28" s="4" t="s">
        <v>44</v>
      </c>
      <c r="AE28" s="4" t="s">
        <v>44</v>
      </c>
    </row>
    <row r="29" ht="15.75" customHeight="1">
      <c r="A29" s="4">
        <v>28.0</v>
      </c>
      <c r="B29" s="4" t="s">
        <v>44</v>
      </c>
      <c r="C29" s="4" t="s">
        <v>44</v>
      </c>
      <c r="D29" s="4" t="s">
        <v>44</v>
      </c>
      <c r="E29" s="4">
        <v>3.648999999999983</v>
      </c>
      <c r="F29" s="4" t="s">
        <v>44</v>
      </c>
      <c r="G29" s="4" t="s">
        <v>44</v>
      </c>
      <c r="H29" s="4">
        <v>0.03749999999999787</v>
      </c>
      <c r="I29" s="4" t="s">
        <v>44</v>
      </c>
      <c r="J29" s="4" t="s">
        <v>44</v>
      </c>
      <c r="K29" s="4">
        <v>1.7780000000000094</v>
      </c>
      <c r="L29" s="4" t="s">
        <v>44</v>
      </c>
      <c r="M29" s="4" t="s">
        <v>44</v>
      </c>
      <c r="N29" s="4">
        <v>2.8930000000000042</v>
      </c>
      <c r="O29" s="4" t="s">
        <v>44</v>
      </c>
      <c r="P29" s="4" t="s">
        <v>44</v>
      </c>
      <c r="Q29" s="4" t="s">
        <v>44</v>
      </c>
      <c r="R29" s="4" t="s">
        <v>44</v>
      </c>
      <c r="S29" s="4">
        <v>2.5714000000000077</v>
      </c>
      <c r="T29" s="4" t="s">
        <v>44</v>
      </c>
      <c r="U29" s="4" t="s">
        <v>44</v>
      </c>
      <c r="V29" s="4">
        <v>0.9055000000000035</v>
      </c>
      <c r="W29" s="4" t="s">
        <v>44</v>
      </c>
      <c r="X29" s="4" t="s">
        <v>44</v>
      </c>
      <c r="Y29" s="4" t="s">
        <v>44</v>
      </c>
      <c r="Z29" s="4" t="s">
        <v>44</v>
      </c>
      <c r="AA29" s="4" t="s">
        <v>44</v>
      </c>
      <c r="AB29" s="4" t="s">
        <v>44</v>
      </c>
      <c r="AC29" s="4">
        <v>1.0317500000000166</v>
      </c>
      <c r="AD29" s="4" t="s">
        <v>44</v>
      </c>
      <c r="AE29" s="4" t="s">
        <v>44</v>
      </c>
    </row>
    <row r="30" ht="15.75" customHeight="1">
      <c r="A30" s="4">
        <v>29.0</v>
      </c>
      <c r="B30" s="4" t="s">
        <v>44</v>
      </c>
      <c r="C30" s="4" t="s">
        <v>44</v>
      </c>
      <c r="D30" s="4" t="s">
        <v>44</v>
      </c>
      <c r="E30" s="4">
        <v>2.273500000000002</v>
      </c>
      <c r="F30" s="4" t="s">
        <v>44</v>
      </c>
      <c r="G30" s="4">
        <v>0.7444999999999986</v>
      </c>
      <c r="H30" s="4" t="s">
        <v>44</v>
      </c>
      <c r="I30" s="4" t="s">
        <v>44</v>
      </c>
      <c r="J30" s="4" t="s">
        <v>44</v>
      </c>
      <c r="K30" s="4">
        <v>1.7675000000000018</v>
      </c>
      <c r="L30" s="4" t="s">
        <v>44</v>
      </c>
      <c r="M30" s="4" t="s">
        <v>44</v>
      </c>
      <c r="N30" s="4">
        <v>2.6260000000000154</v>
      </c>
      <c r="O30" s="4" t="s">
        <v>44</v>
      </c>
      <c r="P30" s="4" t="s">
        <v>44</v>
      </c>
      <c r="Q30" s="4" t="s">
        <v>44</v>
      </c>
      <c r="R30" s="4" t="s">
        <v>44</v>
      </c>
      <c r="S30" s="4">
        <v>0.950849999999992</v>
      </c>
      <c r="T30" s="4" t="s">
        <v>44</v>
      </c>
      <c r="U30" s="4" t="s">
        <v>44</v>
      </c>
      <c r="V30" s="4">
        <v>0.7782499999999715</v>
      </c>
      <c r="W30" s="4" t="s">
        <v>44</v>
      </c>
      <c r="X30" s="4" t="s">
        <v>44</v>
      </c>
      <c r="Y30" s="4" t="s">
        <v>44</v>
      </c>
      <c r="Z30" s="4" t="s">
        <v>44</v>
      </c>
      <c r="AA30" s="4" t="s">
        <v>44</v>
      </c>
      <c r="AB30" s="4" t="s">
        <v>44</v>
      </c>
      <c r="AC30" s="4" t="s">
        <v>44</v>
      </c>
      <c r="AD30" s="4" t="s">
        <v>44</v>
      </c>
      <c r="AE30" s="4">
        <v>0.9007500000000164</v>
      </c>
    </row>
    <row r="31" ht="15.75" customHeight="1">
      <c r="A31" s="4">
        <v>30.0</v>
      </c>
      <c r="B31" s="4" t="s">
        <v>44</v>
      </c>
      <c r="C31" s="4" t="s">
        <v>44</v>
      </c>
      <c r="D31" s="4" t="s">
        <v>44</v>
      </c>
      <c r="E31" s="4">
        <v>0.9845000000000006</v>
      </c>
      <c r="F31" s="4" t="s">
        <v>44</v>
      </c>
      <c r="G31" s="4">
        <v>1.787500000000005</v>
      </c>
      <c r="H31" s="4" t="s">
        <v>44</v>
      </c>
      <c r="I31" s="4" t="s">
        <v>44</v>
      </c>
      <c r="J31" s="4">
        <v>0.015500000000002956</v>
      </c>
      <c r="K31" s="4">
        <v>2.3420000000000023</v>
      </c>
      <c r="L31" s="4" t="s">
        <v>44</v>
      </c>
      <c r="M31" s="4" t="s">
        <v>44</v>
      </c>
      <c r="N31" s="4" t="s">
        <v>44</v>
      </c>
      <c r="O31" s="4" t="s">
        <v>44</v>
      </c>
      <c r="P31" s="4">
        <v>0.2035000000000089</v>
      </c>
      <c r="Q31" s="4" t="s">
        <v>44</v>
      </c>
      <c r="R31" s="4" t="s">
        <v>44</v>
      </c>
      <c r="S31" s="4">
        <v>0.3008500000000076</v>
      </c>
      <c r="T31" s="4" t="s">
        <v>44</v>
      </c>
      <c r="U31" s="4" t="s">
        <v>44</v>
      </c>
      <c r="V31" s="4" t="s">
        <v>44</v>
      </c>
      <c r="W31" s="4" t="s">
        <v>44</v>
      </c>
      <c r="X31" s="4" t="s">
        <v>44</v>
      </c>
      <c r="Y31" s="4" t="s">
        <v>44</v>
      </c>
      <c r="Z31" s="4" t="s">
        <v>44</v>
      </c>
      <c r="AA31" s="4" t="s">
        <v>44</v>
      </c>
      <c r="AB31" s="4" t="s">
        <v>44</v>
      </c>
      <c r="AC31" s="4">
        <v>0.008049999999997226</v>
      </c>
      <c r="AD31" s="4" t="s">
        <v>44</v>
      </c>
      <c r="AE31" s="4">
        <v>1.3832000000000022</v>
      </c>
    </row>
    <row r="32" ht="15.75" customHeight="1">
      <c r="A32" s="28">
        <v>43282.0</v>
      </c>
      <c r="B32" s="4" t="s">
        <v>44</v>
      </c>
      <c r="C32" s="4" t="s">
        <v>44</v>
      </c>
      <c r="D32" s="4" t="s">
        <v>44</v>
      </c>
      <c r="E32" s="4" t="s">
        <v>44</v>
      </c>
      <c r="F32" s="4" t="s">
        <v>44</v>
      </c>
      <c r="G32" s="4">
        <v>0.18349999999999866</v>
      </c>
      <c r="H32" s="4" t="s">
        <v>44</v>
      </c>
      <c r="I32" s="4" t="s">
        <v>44</v>
      </c>
      <c r="J32" s="4" t="s">
        <v>44</v>
      </c>
      <c r="K32" s="4" t="s">
        <v>44</v>
      </c>
      <c r="L32" s="4" t="s">
        <v>44</v>
      </c>
      <c r="M32" s="4" t="s">
        <v>44</v>
      </c>
      <c r="N32" s="4">
        <v>0.477999999999998</v>
      </c>
      <c r="O32" s="4" t="s">
        <v>44</v>
      </c>
      <c r="P32" s="4">
        <v>3.724</v>
      </c>
      <c r="Q32" s="4" t="s">
        <v>44</v>
      </c>
      <c r="R32" s="4" t="s">
        <v>44</v>
      </c>
      <c r="S32" s="4">
        <v>0.5521999999999849</v>
      </c>
      <c r="T32" s="4" t="s">
        <v>44</v>
      </c>
      <c r="U32" s="4" t="s">
        <v>44</v>
      </c>
      <c r="V32" s="4" t="s">
        <v>44</v>
      </c>
      <c r="W32" s="4">
        <v>1.943369999999998</v>
      </c>
      <c r="X32" s="4" t="s">
        <v>44</v>
      </c>
      <c r="Y32" s="4" t="s">
        <v>44</v>
      </c>
      <c r="Z32" s="4" t="s">
        <v>44</v>
      </c>
      <c r="AA32" s="4" t="s">
        <v>44</v>
      </c>
      <c r="AB32" s="4" t="s">
        <v>44</v>
      </c>
      <c r="AC32" s="4" t="s">
        <v>44</v>
      </c>
      <c r="AD32" s="4" t="s">
        <v>44</v>
      </c>
      <c r="AE32" s="4">
        <v>0.365799999999993</v>
      </c>
    </row>
    <row r="33" ht="15.75" customHeight="1">
      <c r="A33" s="4">
        <v>2.0</v>
      </c>
      <c r="B33" s="4">
        <v>0.8915000000000042</v>
      </c>
      <c r="C33" s="4" t="s">
        <v>44</v>
      </c>
      <c r="D33" s="4" t="s">
        <v>44</v>
      </c>
      <c r="E33" s="4">
        <v>2.546499999999998</v>
      </c>
      <c r="F33" s="4" t="s">
        <v>44</v>
      </c>
      <c r="G33" s="4">
        <v>1.3654999999999937</v>
      </c>
      <c r="H33" s="4" t="s">
        <v>44</v>
      </c>
      <c r="I33" s="4" t="s">
        <v>44</v>
      </c>
      <c r="J33" s="4" t="s">
        <v>44</v>
      </c>
      <c r="K33" s="4" t="s">
        <v>44</v>
      </c>
      <c r="L33" s="4">
        <v>1.4240000000000101</v>
      </c>
      <c r="M33" s="4">
        <v>0.7384999999999913</v>
      </c>
      <c r="N33" s="4">
        <v>0.2895000000000145</v>
      </c>
      <c r="O33" s="4" t="s">
        <v>44</v>
      </c>
      <c r="P33" s="4">
        <v>2.253499999999992</v>
      </c>
      <c r="Q33" s="4" t="s">
        <v>44</v>
      </c>
      <c r="R33" s="4">
        <v>0.12320000000000064</v>
      </c>
      <c r="S33" s="4" t="s">
        <v>44</v>
      </c>
      <c r="T33" s="4" t="s">
        <v>44</v>
      </c>
      <c r="U33" s="4" t="s">
        <v>44</v>
      </c>
      <c r="V33" s="4">
        <v>0.5495500000000106</v>
      </c>
      <c r="W33" s="4">
        <v>3.3574749999999973</v>
      </c>
      <c r="X33" s="4" t="s">
        <v>44</v>
      </c>
      <c r="Y33" s="4" t="s">
        <v>44</v>
      </c>
      <c r="Z33" s="4" t="s">
        <v>44</v>
      </c>
      <c r="AA33" s="4" t="s">
        <v>44</v>
      </c>
      <c r="AB33" s="4" t="s">
        <v>44</v>
      </c>
      <c r="AC33" s="4" t="s">
        <v>44</v>
      </c>
      <c r="AD33" s="4" t="s">
        <v>44</v>
      </c>
      <c r="AE33" s="4">
        <v>2.819950000000002</v>
      </c>
    </row>
    <row r="34" ht="15.75" customHeight="1">
      <c r="A34" s="4">
        <v>3.0</v>
      </c>
      <c r="B34" s="4" t="s">
        <v>44</v>
      </c>
      <c r="C34" s="4" t="s">
        <v>44</v>
      </c>
      <c r="D34" s="4" t="s">
        <v>44</v>
      </c>
      <c r="E34" s="4">
        <v>1.7059999999999889</v>
      </c>
      <c r="F34" s="4">
        <v>0.958500000000015</v>
      </c>
      <c r="G34" s="4">
        <v>1.6870000000000083</v>
      </c>
      <c r="H34" s="4" t="s">
        <v>44</v>
      </c>
      <c r="I34" s="4" t="s">
        <v>44</v>
      </c>
      <c r="J34" s="4" t="s">
        <v>44</v>
      </c>
      <c r="K34" s="4" t="s">
        <v>44</v>
      </c>
      <c r="L34" s="4">
        <v>2.1024999999999956</v>
      </c>
      <c r="M34" s="4" t="s">
        <v>44</v>
      </c>
      <c r="N34" s="4" t="s">
        <v>44</v>
      </c>
      <c r="O34" s="4" t="s">
        <v>44</v>
      </c>
      <c r="P34" s="4">
        <v>0.6475000000000044</v>
      </c>
      <c r="Q34" s="4" t="s">
        <v>44</v>
      </c>
      <c r="R34" s="4">
        <v>3.2127000000000017</v>
      </c>
      <c r="S34" s="4" t="s">
        <v>44</v>
      </c>
      <c r="T34" s="4" t="s">
        <v>44</v>
      </c>
      <c r="U34" s="4" t="s">
        <v>44</v>
      </c>
      <c r="V34" s="4">
        <v>0.3556499999999687</v>
      </c>
      <c r="W34" s="4">
        <v>0.3962400000000166</v>
      </c>
      <c r="X34" s="4" t="s">
        <v>44</v>
      </c>
      <c r="Y34" s="4" t="s">
        <v>44</v>
      </c>
      <c r="Z34" s="4" t="s">
        <v>44</v>
      </c>
      <c r="AA34" s="4" t="s">
        <v>44</v>
      </c>
      <c r="AB34" s="4" t="s">
        <v>44</v>
      </c>
      <c r="AC34" s="4" t="s">
        <v>44</v>
      </c>
      <c r="AD34" s="4">
        <v>1.1520999999999901</v>
      </c>
      <c r="AE34" s="4">
        <v>1.7033999999999914</v>
      </c>
    </row>
    <row r="35" ht="15.75" customHeight="1">
      <c r="A35" s="4">
        <v>4.0</v>
      </c>
      <c r="B35" s="4" t="s">
        <v>44</v>
      </c>
      <c r="C35" s="4" t="s">
        <v>44</v>
      </c>
      <c r="D35" s="4" t="s">
        <v>44</v>
      </c>
      <c r="E35" s="4">
        <v>0.6020000000000039</v>
      </c>
      <c r="F35" s="4" t="s">
        <v>44</v>
      </c>
      <c r="G35" s="4" t="s">
        <v>44</v>
      </c>
      <c r="H35" s="4" t="s">
        <v>44</v>
      </c>
      <c r="I35" s="4" t="s">
        <v>44</v>
      </c>
      <c r="J35" s="4" t="s">
        <v>44</v>
      </c>
      <c r="K35" s="4">
        <v>0.14849999999999497</v>
      </c>
      <c r="L35" s="4" t="s">
        <v>44</v>
      </c>
      <c r="M35" s="4" t="s">
        <v>44</v>
      </c>
      <c r="N35" s="4" t="s">
        <v>44</v>
      </c>
      <c r="O35" s="4" t="s">
        <v>44</v>
      </c>
      <c r="P35" s="4">
        <v>2.6209999999999916</v>
      </c>
      <c r="Q35" s="4" t="s">
        <v>44</v>
      </c>
      <c r="R35" s="4">
        <v>1.9488999999999947</v>
      </c>
      <c r="S35" s="4" t="s">
        <v>44</v>
      </c>
      <c r="T35" s="4" t="s">
        <v>44</v>
      </c>
      <c r="U35" s="4" t="s">
        <v>44</v>
      </c>
      <c r="V35" s="4">
        <v>1.7423499999999734</v>
      </c>
      <c r="W35" s="4">
        <v>2.4421950000000017</v>
      </c>
      <c r="X35" s="4" t="s">
        <v>44</v>
      </c>
      <c r="Y35" s="4" t="s">
        <v>44</v>
      </c>
      <c r="Z35" s="4" t="s">
        <v>44</v>
      </c>
      <c r="AA35" s="4" t="s">
        <v>44</v>
      </c>
      <c r="AB35" s="4" t="s">
        <v>44</v>
      </c>
      <c r="AC35" s="4" t="s">
        <v>44</v>
      </c>
      <c r="AD35" s="4">
        <v>1.7549499999999796</v>
      </c>
      <c r="AE35" s="4">
        <v>2.5573999999999906</v>
      </c>
    </row>
    <row r="36" ht="15.75" customHeight="1">
      <c r="A36" s="4">
        <v>5.0</v>
      </c>
      <c r="B36" s="4" t="s">
        <v>44</v>
      </c>
      <c r="C36" s="4" t="s">
        <v>44</v>
      </c>
      <c r="D36" s="4" t="s">
        <v>44</v>
      </c>
      <c r="E36" s="4" t="s">
        <v>44</v>
      </c>
      <c r="F36" s="4">
        <v>2.85250000000001</v>
      </c>
      <c r="G36" s="4" t="s">
        <v>44</v>
      </c>
      <c r="H36" s="4" t="s">
        <v>44</v>
      </c>
      <c r="I36" s="4" t="s">
        <v>44</v>
      </c>
      <c r="J36" s="4" t="s">
        <v>44</v>
      </c>
      <c r="K36" s="4" t="s">
        <v>44</v>
      </c>
      <c r="L36" s="4" t="s">
        <v>44</v>
      </c>
      <c r="M36" s="4" t="s">
        <v>44</v>
      </c>
      <c r="N36" s="4" t="s">
        <v>44</v>
      </c>
      <c r="O36" s="4" t="s">
        <v>44</v>
      </c>
      <c r="P36" s="4">
        <v>1.1434999999999995</v>
      </c>
      <c r="Q36" s="4" t="s">
        <v>44</v>
      </c>
      <c r="R36" s="4" t="s">
        <v>44</v>
      </c>
      <c r="S36" s="4" t="s">
        <v>44</v>
      </c>
      <c r="T36" s="4" t="s">
        <v>44</v>
      </c>
      <c r="U36" s="4" t="s">
        <v>44</v>
      </c>
      <c r="V36" s="4">
        <v>0.9796499999999781</v>
      </c>
      <c r="W36" s="4">
        <v>2.4293299999999967</v>
      </c>
      <c r="X36" s="4" t="s">
        <v>44</v>
      </c>
      <c r="Y36" s="4" t="s">
        <v>44</v>
      </c>
      <c r="Z36" s="4" t="s">
        <v>44</v>
      </c>
      <c r="AA36" s="4" t="s">
        <v>44</v>
      </c>
      <c r="AB36" s="4" t="s">
        <v>44</v>
      </c>
      <c r="AC36" s="4" t="s">
        <v>44</v>
      </c>
      <c r="AD36" s="4">
        <v>1.6831000000000031</v>
      </c>
      <c r="AE36" s="4">
        <v>1.74720000000001</v>
      </c>
    </row>
    <row r="37" ht="15.75" customHeight="1">
      <c r="A37" s="4">
        <v>6.0</v>
      </c>
      <c r="B37" s="4" t="s">
        <v>44</v>
      </c>
      <c r="C37" s="4" t="s">
        <v>44</v>
      </c>
      <c r="D37" s="4" t="s">
        <v>44</v>
      </c>
      <c r="E37" s="4" t="s">
        <v>44</v>
      </c>
      <c r="F37" s="4">
        <v>2.3990000000000045</v>
      </c>
      <c r="G37" s="4">
        <v>2.131499999999999</v>
      </c>
      <c r="H37" s="4">
        <v>0.3210000000000015</v>
      </c>
      <c r="I37" s="4" t="s">
        <v>44</v>
      </c>
      <c r="J37" s="4" t="s">
        <v>44</v>
      </c>
      <c r="K37" s="4" t="s">
        <v>44</v>
      </c>
      <c r="L37" s="4" t="s">
        <v>44</v>
      </c>
      <c r="M37" s="4" t="s">
        <v>44</v>
      </c>
      <c r="N37" s="4" t="s">
        <v>44</v>
      </c>
      <c r="O37" s="4" t="s">
        <v>44</v>
      </c>
      <c r="P37" s="4" t="s">
        <v>44</v>
      </c>
      <c r="Q37" s="4" t="s">
        <v>44</v>
      </c>
      <c r="R37" s="4" t="s">
        <v>44</v>
      </c>
      <c r="S37" s="4" t="s">
        <v>44</v>
      </c>
      <c r="T37" s="4" t="s">
        <v>44</v>
      </c>
      <c r="U37" s="4" t="s">
        <v>44</v>
      </c>
      <c r="V37" s="4" t="s">
        <v>44</v>
      </c>
      <c r="W37" s="4">
        <v>0.4502799999999958</v>
      </c>
      <c r="X37" s="4" t="s">
        <v>44</v>
      </c>
      <c r="Y37" s="4" t="s">
        <v>44</v>
      </c>
      <c r="Z37" s="4" t="s">
        <v>44</v>
      </c>
      <c r="AA37" s="4" t="s">
        <v>44</v>
      </c>
      <c r="AB37" s="4" t="s">
        <v>44</v>
      </c>
      <c r="AC37" s="4" t="s">
        <v>44</v>
      </c>
      <c r="AD37" s="4" t="s">
        <v>44</v>
      </c>
      <c r="AE37" s="4">
        <v>1.2622999999999998</v>
      </c>
    </row>
    <row r="38" ht="15.75" customHeight="1">
      <c r="A38" s="4">
        <v>7.0</v>
      </c>
      <c r="B38" s="4" t="s">
        <v>44</v>
      </c>
      <c r="C38" s="4" t="s">
        <v>44</v>
      </c>
      <c r="D38" s="4" t="s">
        <v>44</v>
      </c>
      <c r="E38" s="4" t="s">
        <v>44</v>
      </c>
      <c r="F38" s="4">
        <v>1.480000000000004</v>
      </c>
      <c r="G38" s="4" t="s">
        <v>44</v>
      </c>
      <c r="H38" s="4">
        <v>1.2439999999999998</v>
      </c>
      <c r="I38" s="4">
        <v>0.07199999999998852</v>
      </c>
      <c r="J38" s="4" t="s">
        <v>44</v>
      </c>
      <c r="K38" s="4">
        <v>1.2290000000000099</v>
      </c>
      <c r="L38" s="4" t="s">
        <v>44</v>
      </c>
      <c r="M38" s="4" t="s">
        <v>44</v>
      </c>
      <c r="N38" s="4" t="s">
        <v>44</v>
      </c>
      <c r="O38" s="4" t="s">
        <v>44</v>
      </c>
      <c r="P38" s="4" t="s">
        <v>44</v>
      </c>
      <c r="Q38" s="4" t="s">
        <v>44</v>
      </c>
      <c r="R38" s="4" t="s">
        <v>44</v>
      </c>
      <c r="S38" s="4" t="s">
        <v>44</v>
      </c>
      <c r="T38" s="4" t="s">
        <v>44</v>
      </c>
      <c r="U38" s="4" t="s">
        <v>44</v>
      </c>
      <c r="V38" s="4">
        <v>0.2452500000000022</v>
      </c>
      <c r="W38" s="4" t="s">
        <v>44</v>
      </c>
      <c r="X38" s="4" t="s">
        <v>44</v>
      </c>
      <c r="Y38" s="4" t="s">
        <v>44</v>
      </c>
      <c r="Z38" s="4" t="s">
        <v>44</v>
      </c>
      <c r="AA38" s="4" t="s">
        <v>44</v>
      </c>
      <c r="AB38" s="4" t="s">
        <v>44</v>
      </c>
      <c r="AC38" s="4" t="s">
        <v>44</v>
      </c>
      <c r="AD38" s="4" t="s">
        <v>44</v>
      </c>
      <c r="AE38" s="4">
        <v>0.06405000000000527</v>
      </c>
    </row>
    <row r="39" ht="15.75" customHeight="1">
      <c r="A39" s="4">
        <v>8.0</v>
      </c>
      <c r="B39" s="4" t="s">
        <v>44</v>
      </c>
      <c r="C39" s="4" t="s">
        <v>44</v>
      </c>
      <c r="D39" s="4" t="s">
        <v>44</v>
      </c>
      <c r="E39" s="4" t="s">
        <v>44</v>
      </c>
      <c r="F39" s="4" t="s">
        <v>44</v>
      </c>
      <c r="G39" s="4" t="s">
        <v>44</v>
      </c>
      <c r="H39" s="4">
        <v>1.235500000000016</v>
      </c>
      <c r="I39" s="4">
        <v>0.3574999999999733</v>
      </c>
      <c r="J39" s="4" t="s">
        <v>44</v>
      </c>
      <c r="K39" s="4" t="s">
        <v>44</v>
      </c>
      <c r="L39" s="4" t="s">
        <v>44</v>
      </c>
      <c r="M39" s="4" t="s">
        <v>44</v>
      </c>
      <c r="N39" s="4" t="s">
        <v>44</v>
      </c>
      <c r="O39" s="4" t="s">
        <v>44</v>
      </c>
      <c r="P39" s="4" t="s">
        <v>44</v>
      </c>
      <c r="Q39" s="4" t="s">
        <v>44</v>
      </c>
      <c r="R39" s="4" t="s">
        <v>44</v>
      </c>
      <c r="S39" s="4" t="s">
        <v>44</v>
      </c>
      <c r="T39" s="4" t="s">
        <v>44</v>
      </c>
      <c r="U39" s="4" t="s">
        <v>44</v>
      </c>
      <c r="V39" s="4">
        <v>1.0145499999999856</v>
      </c>
      <c r="W39" s="4" t="s">
        <v>44</v>
      </c>
      <c r="X39" s="4" t="s">
        <v>44</v>
      </c>
      <c r="Y39" s="4" t="s">
        <v>44</v>
      </c>
      <c r="Z39" s="4" t="s">
        <v>44</v>
      </c>
      <c r="AA39" s="4" t="s">
        <v>44</v>
      </c>
      <c r="AB39" s="4" t="s">
        <v>44</v>
      </c>
      <c r="AC39" s="4" t="s">
        <v>44</v>
      </c>
      <c r="AD39" s="4" t="s">
        <v>44</v>
      </c>
      <c r="AE39" s="4">
        <v>2.090649999999993</v>
      </c>
    </row>
    <row r="40" ht="15.75" customHeight="1">
      <c r="A40" s="4">
        <v>9.0</v>
      </c>
      <c r="B40" s="4" t="s">
        <v>44</v>
      </c>
      <c r="C40" s="4" t="s">
        <v>44</v>
      </c>
      <c r="D40" s="4" t="s">
        <v>44</v>
      </c>
      <c r="E40" s="4" t="s">
        <v>44</v>
      </c>
      <c r="F40" s="4">
        <v>0.25250000000001194</v>
      </c>
      <c r="G40" s="4" t="s">
        <v>44</v>
      </c>
      <c r="H40" s="4" t="s">
        <v>44</v>
      </c>
      <c r="I40" s="4" t="s">
        <v>44</v>
      </c>
      <c r="J40" s="4" t="s">
        <v>44</v>
      </c>
      <c r="K40" s="4" t="s">
        <v>44</v>
      </c>
      <c r="L40" s="4" t="s">
        <v>44</v>
      </c>
      <c r="M40" s="4" t="s">
        <v>44</v>
      </c>
      <c r="N40" s="4" t="s">
        <v>44</v>
      </c>
      <c r="O40" s="4" t="s">
        <v>44</v>
      </c>
      <c r="P40" s="4">
        <v>1.9034999999999904</v>
      </c>
      <c r="Q40" s="4" t="s">
        <v>44</v>
      </c>
      <c r="R40" s="4" t="s">
        <v>44</v>
      </c>
      <c r="S40" s="4" t="s">
        <v>44</v>
      </c>
      <c r="T40" s="4" t="s">
        <v>44</v>
      </c>
      <c r="U40" s="4" t="s">
        <v>44</v>
      </c>
      <c r="V40" s="4" t="s">
        <v>44</v>
      </c>
      <c r="W40" s="4" t="s">
        <v>44</v>
      </c>
      <c r="X40" s="4" t="s">
        <v>44</v>
      </c>
      <c r="Y40" s="4" t="s">
        <v>44</v>
      </c>
      <c r="Z40" s="4" t="s">
        <v>44</v>
      </c>
      <c r="AA40" s="4" t="s">
        <v>44</v>
      </c>
      <c r="AB40" s="4" t="s">
        <v>44</v>
      </c>
      <c r="AC40" s="4">
        <v>0.6937000000000069</v>
      </c>
      <c r="AD40" s="4" t="s">
        <v>44</v>
      </c>
      <c r="AE40" s="4">
        <v>1.4482000000000035</v>
      </c>
    </row>
    <row r="41" ht="15.75" customHeight="1">
      <c r="A41" s="4">
        <v>10.0</v>
      </c>
      <c r="B41" s="4" t="s">
        <v>44</v>
      </c>
      <c r="C41" s="4" t="s">
        <v>44</v>
      </c>
      <c r="D41" s="4" t="s">
        <v>44</v>
      </c>
      <c r="E41" s="4" t="s">
        <v>44</v>
      </c>
      <c r="F41" s="4" t="s">
        <v>44</v>
      </c>
      <c r="G41" s="4">
        <v>0.306500000000014</v>
      </c>
      <c r="H41" s="4">
        <v>2.975500000000011</v>
      </c>
      <c r="I41" s="4" t="s">
        <v>44</v>
      </c>
      <c r="J41" s="4" t="s">
        <v>44</v>
      </c>
      <c r="K41" s="4" t="s">
        <v>44</v>
      </c>
      <c r="L41" s="4" t="s">
        <v>44</v>
      </c>
      <c r="M41" s="4" t="s">
        <v>44</v>
      </c>
      <c r="N41" s="4" t="s">
        <v>44</v>
      </c>
      <c r="O41" s="4" t="s">
        <v>44</v>
      </c>
      <c r="P41" s="4" t="s">
        <v>44</v>
      </c>
      <c r="Q41" s="4" t="s">
        <v>44</v>
      </c>
      <c r="R41" s="4" t="s">
        <v>44</v>
      </c>
      <c r="S41" s="4" t="s">
        <v>44</v>
      </c>
      <c r="T41" s="4" t="s">
        <v>44</v>
      </c>
      <c r="U41" s="4" t="s">
        <v>44</v>
      </c>
      <c r="V41" s="4" t="s">
        <v>44</v>
      </c>
      <c r="W41" s="4" t="s">
        <v>44</v>
      </c>
      <c r="X41" s="4" t="s">
        <v>44</v>
      </c>
      <c r="Y41" s="4" t="s">
        <v>44</v>
      </c>
      <c r="Z41" s="4" t="s">
        <v>44</v>
      </c>
      <c r="AA41" s="4" t="s">
        <v>44</v>
      </c>
      <c r="AB41" s="4" t="s">
        <v>44</v>
      </c>
      <c r="AC41" s="4">
        <v>0.8422499999999928</v>
      </c>
      <c r="AD41" s="4" t="s">
        <v>44</v>
      </c>
      <c r="AE41" s="4" t="s">
        <v>44</v>
      </c>
    </row>
    <row r="42" ht="15.75" customHeight="1">
      <c r="A42" s="4">
        <v>11.0</v>
      </c>
      <c r="B42" s="4" t="s">
        <v>44</v>
      </c>
      <c r="C42" s="4" t="s">
        <v>44</v>
      </c>
      <c r="D42" s="4" t="s">
        <v>44</v>
      </c>
      <c r="E42" s="4" t="s">
        <v>44</v>
      </c>
      <c r="F42" s="4" t="s">
        <v>44</v>
      </c>
      <c r="G42" s="4" t="s">
        <v>44</v>
      </c>
      <c r="H42" s="4">
        <v>3.1505000000000116</v>
      </c>
      <c r="I42" s="4" t="s">
        <v>44</v>
      </c>
      <c r="J42" s="4" t="s">
        <v>44</v>
      </c>
      <c r="K42" s="4" t="s">
        <v>44</v>
      </c>
      <c r="L42" s="4" t="s">
        <v>44</v>
      </c>
      <c r="M42" s="4" t="s">
        <v>44</v>
      </c>
      <c r="N42" s="4" t="s">
        <v>44</v>
      </c>
      <c r="O42" s="4" t="s">
        <v>44</v>
      </c>
      <c r="P42" s="4">
        <v>2.197999999999979</v>
      </c>
      <c r="Q42" s="4" t="s">
        <v>44</v>
      </c>
      <c r="R42" s="4" t="s">
        <v>44</v>
      </c>
      <c r="S42" s="4" t="s">
        <v>44</v>
      </c>
      <c r="T42" s="4" t="s">
        <v>44</v>
      </c>
      <c r="U42" s="4" t="s">
        <v>44</v>
      </c>
      <c r="V42" s="4" t="s">
        <v>44</v>
      </c>
      <c r="W42" s="4" t="s">
        <v>44</v>
      </c>
      <c r="X42" s="4" t="s">
        <v>44</v>
      </c>
      <c r="Y42" s="4" t="s">
        <v>44</v>
      </c>
      <c r="Z42" s="4">
        <v>1.7196500000000015</v>
      </c>
      <c r="AA42" s="4" t="s">
        <v>44</v>
      </c>
      <c r="AB42" s="4" t="s">
        <v>44</v>
      </c>
      <c r="AC42" s="4">
        <v>0.22429999999998884</v>
      </c>
      <c r="AD42" s="4" t="s">
        <v>44</v>
      </c>
      <c r="AE42" s="4" t="s">
        <v>44</v>
      </c>
    </row>
    <row r="43" ht="15.75" customHeight="1">
      <c r="A43" s="4">
        <v>12.0</v>
      </c>
      <c r="B43" s="4" t="s">
        <v>44</v>
      </c>
      <c r="C43" s="4" t="s">
        <v>44</v>
      </c>
      <c r="D43" s="4" t="s">
        <v>44</v>
      </c>
      <c r="E43" s="4" t="s">
        <v>44</v>
      </c>
      <c r="F43" s="4" t="s">
        <v>44</v>
      </c>
      <c r="G43" s="4" t="s">
        <v>44</v>
      </c>
      <c r="H43" s="4">
        <v>2.5425000000000217</v>
      </c>
      <c r="I43" s="4">
        <v>0.4355000000000082</v>
      </c>
      <c r="J43" s="4" t="s">
        <v>44</v>
      </c>
      <c r="K43" s="4">
        <v>1.253499999999999</v>
      </c>
      <c r="L43" s="4" t="s">
        <v>44</v>
      </c>
      <c r="M43" s="4" t="s">
        <v>44</v>
      </c>
      <c r="N43" s="4" t="s">
        <v>44</v>
      </c>
      <c r="O43" s="4" t="s">
        <v>44</v>
      </c>
      <c r="P43" s="4">
        <v>2.6030000000000015</v>
      </c>
      <c r="Q43" s="4" t="s">
        <v>44</v>
      </c>
      <c r="R43" s="4" t="s">
        <v>44</v>
      </c>
      <c r="S43" s="4" t="s">
        <v>44</v>
      </c>
      <c r="T43" s="4" t="s">
        <v>44</v>
      </c>
      <c r="U43" s="4" t="s">
        <v>44</v>
      </c>
      <c r="V43" s="4" t="s">
        <v>44</v>
      </c>
      <c r="W43" s="4" t="s">
        <v>44</v>
      </c>
      <c r="X43" s="4" t="s">
        <v>44</v>
      </c>
      <c r="Y43" s="4" t="s">
        <v>44</v>
      </c>
      <c r="Z43" s="4" t="s">
        <v>44</v>
      </c>
      <c r="AA43" s="4" t="s">
        <v>44</v>
      </c>
      <c r="AB43" s="4" t="s">
        <v>44</v>
      </c>
      <c r="AC43" s="4">
        <v>1.310050000000004</v>
      </c>
      <c r="AD43" s="4" t="s">
        <v>44</v>
      </c>
      <c r="AE43" s="4">
        <v>1.4899000000000058</v>
      </c>
    </row>
    <row r="44" ht="15.75" customHeight="1">
      <c r="A44" s="4">
        <v>13.0</v>
      </c>
      <c r="B44" s="4" t="s">
        <v>44</v>
      </c>
      <c r="C44" s="4" t="s">
        <v>44</v>
      </c>
      <c r="D44" s="4">
        <v>0.7590000000000039</v>
      </c>
      <c r="E44" s="4" t="s">
        <v>44</v>
      </c>
      <c r="F44" s="4" t="s">
        <v>44</v>
      </c>
      <c r="G44" s="4" t="s">
        <v>44</v>
      </c>
      <c r="H44" s="4">
        <v>0.9375000000000036</v>
      </c>
      <c r="I44" s="4" t="s">
        <v>44</v>
      </c>
      <c r="J44" s="4" t="s">
        <v>44</v>
      </c>
      <c r="K44" s="4">
        <v>2.8075000000000045</v>
      </c>
      <c r="L44" s="4" t="s">
        <v>44</v>
      </c>
      <c r="M44" s="4" t="s">
        <v>44</v>
      </c>
      <c r="N44" s="4" t="s">
        <v>44</v>
      </c>
      <c r="O44" s="4" t="s">
        <v>44</v>
      </c>
      <c r="P44" s="4">
        <v>3.346499999999992</v>
      </c>
      <c r="Q44" s="4" t="s">
        <v>44</v>
      </c>
      <c r="R44" s="4">
        <v>1.3235999999999848</v>
      </c>
      <c r="S44" s="4" t="s">
        <v>44</v>
      </c>
      <c r="T44" s="4" t="s">
        <v>44</v>
      </c>
      <c r="U44" s="4">
        <v>0.06504999999999939</v>
      </c>
      <c r="V44" s="4" t="s">
        <v>44</v>
      </c>
      <c r="W44" s="4" t="s">
        <v>44</v>
      </c>
      <c r="X44" s="4" t="s">
        <v>44</v>
      </c>
      <c r="Y44" s="4" t="s">
        <v>44</v>
      </c>
      <c r="Z44" s="4" t="s">
        <v>44</v>
      </c>
      <c r="AA44" s="4" t="s">
        <v>44</v>
      </c>
      <c r="AB44" s="4" t="s">
        <v>44</v>
      </c>
      <c r="AC44" s="4">
        <v>2.787149999999997</v>
      </c>
      <c r="AD44" s="4" t="s">
        <v>44</v>
      </c>
      <c r="AE44" s="4">
        <v>1.9821000000000026</v>
      </c>
    </row>
    <row r="45" ht="15.75" customHeight="1">
      <c r="A45" s="4">
        <v>14.0</v>
      </c>
      <c r="B45" s="4" t="s">
        <v>44</v>
      </c>
      <c r="C45" s="4" t="s">
        <v>44</v>
      </c>
      <c r="D45" s="4" t="s">
        <v>44</v>
      </c>
      <c r="E45" s="4" t="s">
        <v>44</v>
      </c>
      <c r="F45" s="4" t="s">
        <v>44</v>
      </c>
      <c r="G45" s="4" t="s">
        <v>44</v>
      </c>
      <c r="H45" s="4">
        <v>1.1040000000000028</v>
      </c>
      <c r="I45" s="4" t="s">
        <v>44</v>
      </c>
      <c r="J45" s="4" t="s">
        <v>44</v>
      </c>
      <c r="K45" s="4">
        <v>2.9630000000000223</v>
      </c>
      <c r="L45" s="4" t="s">
        <v>44</v>
      </c>
      <c r="M45" s="4" t="s">
        <v>44</v>
      </c>
      <c r="N45" s="4" t="s">
        <v>44</v>
      </c>
      <c r="O45" s="4" t="s">
        <v>44</v>
      </c>
      <c r="P45" s="4">
        <v>1.788499999999999</v>
      </c>
      <c r="Q45" s="4" t="s">
        <v>44</v>
      </c>
      <c r="R45" s="4">
        <v>1.6410000000000053</v>
      </c>
      <c r="S45" s="4" t="s">
        <v>44</v>
      </c>
      <c r="T45" s="4" t="s">
        <v>44</v>
      </c>
      <c r="U45" s="4" t="s">
        <v>44</v>
      </c>
      <c r="V45" s="4" t="s">
        <v>44</v>
      </c>
      <c r="W45" s="4" t="s">
        <v>44</v>
      </c>
      <c r="X45" s="4" t="s">
        <v>44</v>
      </c>
      <c r="Y45" s="4" t="s">
        <v>44</v>
      </c>
      <c r="Z45" s="4">
        <v>0.1259499999999889</v>
      </c>
      <c r="AA45" s="4" t="s">
        <v>44</v>
      </c>
      <c r="AB45" s="4" t="s">
        <v>44</v>
      </c>
      <c r="AC45" s="4">
        <v>1.9398999999999944</v>
      </c>
      <c r="AD45" s="4" t="s">
        <v>44</v>
      </c>
      <c r="AE45" s="4">
        <v>2.0182999999999964</v>
      </c>
    </row>
    <row r="46" ht="15.75" customHeight="1">
      <c r="A46" s="4">
        <v>15.0</v>
      </c>
      <c r="B46" s="4" t="s">
        <v>44</v>
      </c>
      <c r="C46" s="4" t="s">
        <v>44</v>
      </c>
      <c r="D46" s="4" t="s">
        <v>44</v>
      </c>
      <c r="E46" s="4" t="s">
        <v>44</v>
      </c>
      <c r="F46" s="4" t="s">
        <v>44</v>
      </c>
      <c r="G46" s="4">
        <v>0.132000000000005</v>
      </c>
      <c r="H46" s="4">
        <v>1.1045000000000051</v>
      </c>
      <c r="I46" s="4">
        <v>0.40300000000000935</v>
      </c>
      <c r="J46" s="4" t="s">
        <v>44</v>
      </c>
      <c r="K46" s="4">
        <v>2.759999999999991</v>
      </c>
      <c r="L46" s="4" t="s">
        <v>44</v>
      </c>
      <c r="M46" s="4" t="s">
        <v>44</v>
      </c>
      <c r="N46" s="4" t="s">
        <v>44</v>
      </c>
      <c r="O46" s="4" t="s">
        <v>44</v>
      </c>
      <c r="P46" s="4">
        <v>1.8179999999999836</v>
      </c>
      <c r="Q46" s="4" t="s">
        <v>44</v>
      </c>
      <c r="R46" s="4" t="s">
        <v>44</v>
      </c>
      <c r="S46" s="4" t="s">
        <v>44</v>
      </c>
      <c r="T46" s="4" t="s">
        <v>44</v>
      </c>
      <c r="U46" s="4" t="s">
        <v>44</v>
      </c>
      <c r="V46" s="4" t="s">
        <v>44</v>
      </c>
      <c r="W46" s="4" t="s">
        <v>44</v>
      </c>
      <c r="X46" s="4" t="s">
        <v>44</v>
      </c>
      <c r="Y46" s="4" t="s">
        <v>44</v>
      </c>
      <c r="Z46" s="4" t="s">
        <v>44</v>
      </c>
      <c r="AA46" s="4">
        <v>1.682699999999997</v>
      </c>
      <c r="AB46" s="4" t="s">
        <v>44</v>
      </c>
      <c r="AC46" s="4" t="s">
        <v>44</v>
      </c>
      <c r="AD46" s="4" t="s">
        <v>44</v>
      </c>
      <c r="AE46" s="4">
        <v>1.3016999999999967</v>
      </c>
    </row>
    <row r="47" ht="15.75" customHeight="1">
      <c r="A47" s="4">
        <v>16.0</v>
      </c>
      <c r="B47" s="4" t="s">
        <v>44</v>
      </c>
      <c r="C47" s="4" t="s">
        <v>44</v>
      </c>
      <c r="D47" s="4" t="s">
        <v>44</v>
      </c>
      <c r="E47" s="4" t="s">
        <v>44</v>
      </c>
      <c r="F47" s="4" t="s">
        <v>44</v>
      </c>
      <c r="G47" s="4" t="s">
        <v>44</v>
      </c>
      <c r="H47" s="4" t="s">
        <v>44</v>
      </c>
      <c r="I47" s="4" t="s">
        <v>44</v>
      </c>
      <c r="J47" s="4" t="s">
        <v>44</v>
      </c>
      <c r="K47" s="4">
        <v>0.8689999999999856</v>
      </c>
      <c r="L47" s="4" t="s">
        <v>44</v>
      </c>
      <c r="M47" s="4" t="s">
        <v>44</v>
      </c>
      <c r="N47" s="4" t="s">
        <v>44</v>
      </c>
      <c r="O47" s="4" t="s">
        <v>44</v>
      </c>
      <c r="P47" s="4">
        <v>2.3919999999999817</v>
      </c>
      <c r="Q47" s="4" t="s">
        <v>44</v>
      </c>
      <c r="R47" s="4" t="s">
        <v>44</v>
      </c>
      <c r="S47" s="4" t="s">
        <v>44</v>
      </c>
      <c r="T47" s="4" t="s">
        <v>44</v>
      </c>
      <c r="U47" s="4" t="s">
        <v>44</v>
      </c>
      <c r="V47" s="4" t="s">
        <v>44</v>
      </c>
      <c r="W47" s="4" t="s">
        <v>44</v>
      </c>
      <c r="X47" s="4" t="s">
        <v>44</v>
      </c>
      <c r="Y47" s="4" t="s">
        <v>44</v>
      </c>
      <c r="Z47" s="4" t="s">
        <v>44</v>
      </c>
      <c r="AA47" s="4">
        <v>1.5686999999999927</v>
      </c>
      <c r="AB47" s="4" t="s">
        <v>44</v>
      </c>
      <c r="AC47" s="4">
        <v>1.4377500000000012</v>
      </c>
      <c r="AD47" s="4" t="s">
        <v>44</v>
      </c>
      <c r="AE47" s="4">
        <v>2.3423999999999836</v>
      </c>
    </row>
    <row r="48" ht="15.75" customHeight="1">
      <c r="A48" s="4">
        <v>17.0</v>
      </c>
      <c r="B48" s="4" t="s">
        <v>44</v>
      </c>
      <c r="C48" s="4" t="s">
        <v>44</v>
      </c>
      <c r="D48" s="4" t="s">
        <v>44</v>
      </c>
      <c r="E48" s="4" t="s">
        <v>44</v>
      </c>
      <c r="F48" s="4" t="s">
        <v>44</v>
      </c>
      <c r="G48" s="4" t="s">
        <v>44</v>
      </c>
      <c r="H48" s="4" t="s">
        <v>44</v>
      </c>
      <c r="I48" s="4" t="s">
        <v>44</v>
      </c>
      <c r="J48" s="4" t="s">
        <v>44</v>
      </c>
      <c r="K48" s="4">
        <v>1.6569999999999965</v>
      </c>
      <c r="L48" s="4">
        <v>0.16100000000000136</v>
      </c>
      <c r="M48" s="4" t="s">
        <v>44</v>
      </c>
      <c r="N48" s="4">
        <v>0.006999999999994344</v>
      </c>
      <c r="O48" s="4" t="s">
        <v>44</v>
      </c>
      <c r="P48" s="4" t="s">
        <v>44</v>
      </c>
      <c r="Q48" s="4" t="s">
        <v>44</v>
      </c>
      <c r="R48" s="4" t="s">
        <v>44</v>
      </c>
      <c r="S48" s="4">
        <v>1.141999999999996</v>
      </c>
      <c r="T48" s="4" t="s">
        <v>44</v>
      </c>
      <c r="U48" s="4" t="s">
        <v>44</v>
      </c>
      <c r="V48" s="4" t="s">
        <v>44</v>
      </c>
      <c r="W48" s="4" t="s">
        <v>44</v>
      </c>
      <c r="X48" s="4" t="s">
        <v>44</v>
      </c>
      <c r="Y48" s="4" t="s">
        <v>44</v>
      </c>
      <c r="Z48" s="4">
        <v>0.9703499999999927</v>
      </c>
      <c r="AA48" s="4">
        <v>1.1079000000000043</v>
      </c>
      <c r="AB48" s="4" t="s">
        <v>44</v>
      </c>
      <c r="AC48" s="4">
        <v>1.155300000000004</v>
      </c>
      <c r="AD48" s="4" t="s">
        <v>44</v>
      </c>
      <c r="AE48" s="4">
        <v>2.74969999999999</v>
      </c>
    </row>
    <row r="49" ht="15.75" customHeight="1">
      <c r="A49" s="4">
        <v>18.0</v>
      </c>
      <c r="B49" s="4" t="s">
        <v>44</v>
      </c>
      <c r="C49" s="4" t="s">
        <v>44</v>
      </c>
      <c r="D49" s="4" t="s">
        <v>44</v>
      </c>
      <c r="E49" s="4" t="s">
        <v>44</v>
      </c>
      <c r="F49" s="4" t="s">
        <v>44</v>
      </c>
      <c r="G49" s="4" t="s">
        <v>44</v>
      </c>
      <c r="H49" s="4">
        <v>0.12449999999999406</v>
      </c>
      <c r="I49" s="4">
        <v>0.3404999999999916</v>
      </c>
      <c r="J49" s="4" t="s">
        <v>44</v>
      </c>
      <c r="K49" s="4" t="s">
        <v>44</v>
      </c>
      <c r="L49" s="4">
        <v>2.066999999999993</v>
      </c>
      <c r="M49" s="4" t="s">
        <v>44</v>
      </c>
      <c r="N49" s="4">
        <v>0.2609999999999921</v>
      </c>
      <c r="O49" s="4" t="s">
        <v>44</v>
      </c>
      <c r="P49" s="4" t="s">
        <v>44</v>
      </c>
      <c r="Q49" s="4" t="s">
        <v>44</v>
      </c>
      <c r="R49" s="4" t="s">
        <v>44</v>
      </c>
      <c r="S49" s="4" t="s">
        <v>44</v>
      </c>
      <c r="T49" s="4" t="s">
        <v>44</v>
      </c>
      <c r="U49" s="4" t="s">
        <v>44</v>
      </c>
      <c r="V49" s="4">
        <v>1.2117999999999682</v>
      </c>
      <c r="W49" s="4" t="s">
        <v>44</v>
      </c>
      <c r="X49" s="4" t="s">
        <v>44</v>
      </c>
      <c r="Y49" s="4" t="s">
        <v>44</v>
      </c>
      <c r="Z49" s="4">
        <v>2.2562499999999943</v>
      </c>
      <c r="AA49" s="4">
        <v>0.8643500000000053</v>
      </c>
      <c r="AB49" s="4" t="s">
        <v>44</v>
      </c>
      <c r="AC49" s="4">
        <v>0.9939500000000123</v>
      </c>
      <c r="AD49" s="4">
        <v>1.3928499999999957</v>
      </c>
      <c r="AE49" s="4">
        <v>2.2184999999999775</v>
      </c>
    </row>
    <row r="50" ht="15.75" customHeight="1">
      <c r="A50" s="4">
        <v>19.0</v>
      </c>
      <c r="B50" s="4" t="s">
        <v>44</v>
      </c>
      <c r="C50" s="4" t="s">
        <v>44</v>
      </c>
      <c r="D50" s="4" t="s">
        <v>44</v>
      </c>
      <c r="E50" s="4" t="s">
        <v>44</v>
      </c>
      <c r="F50" s="4" t="s">
        <v>44</v>
      </c>
      <c r="G50" s="4" t="s">
        <v>44</v>
      </c>
      <c r="H50" s="4" t="s">
        <v>44</v>
      </c>
      <c r="I50" s="4">
        <v>2.6894999999999953</v>
      </c>
      <c r="J50" s="4" t="s">
        <v>44</v>
      </c>
      <c r="K50" s="4" t="s">
        <v>44</v>
      </c>
      <c r="L50" s="4">
        <v>3.060999999999993</v>
      </c>
      <c r="M50" s="4" t="s">
        <v>44</v>
      </c>
      <c r="N50" s="4">
        <v>0.35700000000001</v>
      </c>
      <c r="O50" s="4" t="s">
        <v>44</v>
      </c>
      <c r="P50" s="4">
        <v>0.5435000000000088</v>
      </c>
      <c r="Q50" s="4" t="s">
        <v>44</v>
      </c>
      <c r="R50" s="4" t="s">
        <v>44</v>
      </c>
      <c r="S50" s="4" t="s">
        <v>44</v>
      </c>
      <c r="T50" s="4">
        <v>1.922545000000003</v>
      </c>
      <c r="U50" s="4" t="s">
        <v>44</v>
      </c>
      <c r="V50" s="4" t="s">
        <v>44</v>
      </c>
      <c r="W50" s="4" t="s">
        <v>44</v>
      </c>
      <c r="X50" s="4" t="s">
        <v>44</v>
      </c>
      <c r="Y50" s="4" t="s">
        <v>44</v>
      </c>
      <c r="Z50" s="4">
        <v>1.2496499999999884</v>
      </c>
      <c r="AA50" s="4">
        <v>2.4519500000000107</v>
      </c>
      <c r="AB50" s="4" t="s">
        <v>44</v>
      </c>
      <c r="AC50" s="4" t="s">
        <v>44</v>
      </c>
      <c r="AD50" s="4">
        <v>1.650899999999993</v>
      </c>
      <c r="AE50" s="4">
        <v>1.2582999999999913</v>
      </c>
    </row>
    <row r="51" ht="15.75" customHeight="1">
      <c r="A51" s="4">
        <v>20.0</v>
      </c>
      <c r="B51" s="4" t="s">
        <v>44</v>
      </c>
      <c r="C51" s="4" t="s">
        <v>44</v>
      </c>
      <c r="D51" s="4">
        <v>0.03100000000000236</v>
      </c>
      <c r="E51" s="4">
        <v>0.7445000000000164</v>
      </c>
      <c r="F51" s="4">
        <v>0.7709999999999901</v>
      </c>
      <c r="G51" s="4" t="s">
        <v>44</v>
      </c>
      <c r="H51" s="4" t="s">
        <v>44</v>
      </c>
      <c r="I51" s="4">
        <v>3.5655000000000214</v>
      </c>
      <c r="J51" s="4" t="s">
        <v>44</v>
      </c>
      <c r="K51" s="4" t="s">
        <v>44</v>
      </c>
      <c r="L51" s="4">
        <v>0.8245000000000111</v>
      </c>
      <c r="M51" s="4" t="s">
        <v>44</v>
      </c>
      <c r="N51" s="4">
        <v>1.513499999999997</v>
      </c>
      <c r="O51" s="4" t="s">
        <v>44</v>
      </c>
      <c r="P51" s="4" t="s">
        <v>44</v>
      </c>
      <c r="Q51" s="4" t="s">
        <v>44</v>
      </c>
      <c r="R51" s="4" t="s">
        <v>44</v>
      </c>
      <c r="S51" s="4" t="s">
        <v>44</v>
      </c>
      <c r="T51" s="4" t="s">
        <v>44</v>
      </c>
      <c r="U51" s="4" t="s">
        <v>44</v>
      </c>
      <c r="V51" s="4" t="s">
        <v>44</v>
      </c>
      <c r="W51" s="4" t="s">
        <v>44</v>
      </c>
      <c r="X51" s="4" t="s">
        <v>44</v>
      </c>
      <c r="Y51" s="4" t="s">
        <v>44</v>
      </c>
      <c r="Z51" s="4">
        <v>0.31759999999999877</v>
      </c>
      <c r="AA51" s="4">
        <v>2.4802000000000106</v>
      </c>
      <c r="AB51" s="4" t="s">
        <v>44</v>
      </c>
      <c r="AC51" s="4" t="s">
        <v>44</v>
      </c>
      <c r="AD51" s="4">
        <v>0.6899499999999676</v>
      </c>
      <c r="AE51" s="4" t="s">
        <v>44</v>
      </c>
    </row>
    <row r="52" ht="15.75" customHeight="1">
      <c r="A52" s="4">
        <v>21.0</v>
      </c>
      <c r="B52" s="4" t="s">
        <v>44</v>
      </c>
      <c r="C52" s="4" t="s">
        <v>44</v>
      </c>
      <c r="D52" s="4" t="s">
        <v>44</v>
      </c>
      <c r="E52" s="4" t="s">
        <v>44</v>
      </c>
      <c r="F52" s="4" t="s">
        <v>44</v>
      </c>
      <c r="G52" s="4" t="s">
        <v>44</v>
      </c>
      <c r="H52" s="4" t="s">
        <v>44</v>
      </c>
      <c r="I52" s="4">
        <v>2.8954999999999984</v>
      </c>
      <c r="J52" s="4" t="s">
        <v>44</v>
      </c>
      <c r="K52" s="4">
        <v>1.2309999999999945</v>
      </c>
      <c r="L52" s="4" t="s">
        <v>44</v>
      </c>
      <c r="M52" s="4" t="s">
        <v>44</v>
      </c>
      <c r="N52" s="4">
        <v>2.8945000000000114</v>
      </c>
      <c r="O52" s="4" t="s">
        <v>44</v>
      </c>
      <c r="P52" s="4" t="s">
        <v>44</v>
      </c>
      <c r="Q52" s="4" t="s">
        <v>44</v>
      </c>
      <c r="R52" s="4" t="s">
        <v>44</v>
      </c>
      <c r="S52" s="4" t="s">
        <v>44</v>
      </c>
      <c r="T52" s="4" t="s">
        <v>44</v>
      </c>
      <c r="U52" s="4">
        <v>3.0075300000000027</v>
      </c>
      <c r="V52" s="4" t="s">
        <v>44</v>
      </c>
      <c r="W52" s="4">
        <v>0.48980000000001667</v>
      </c>
      <c r="X52" s="4" t="s">
        <v>44</v>
      </c>
      <c r="Y52" s="4" t="s">
        <v>44</v>
      </c>
      <c r="Z52" s="4" t="s">
        <v>44</v>
      </c>
      <c r="AA52" s="4">
        <v>3.304650000000006</v>
      </c>
      <c r="AB52" s="4" t="s">
        <v>44</v>
      </c>
      <c r="AC52" s="4" t="s">
        <v>44</v>
      </c>
      <c r="AD52" s="4" t="s">
        <v>44</v>
      </c>
      <c r="AE52" s="4" t="s">
        <v>44</v>
      </c>
    </row>
    <row r="53" ht="15.75" customHeight="1">
      <c r="A53" s="4">
        <v>22.0</v>
      </c>
      <c r="B53" s="4" t="s">
        <v>44</v>
      </c>
      <c r="C53" s="4" t="s">
        <v>44</v>
      </c>
      <c r="D53" s="4" t="s">
        <v>44</v>
      </c>
      <c r="E53" s="4" t="s">
        <v>44</v>
      </c>
      <c r="F53" s="4">
        <v>1.3759999999999941</v>
      </c>
      <c r="G53" s="4" t="s">
        <v>44</v>
      </c>
      <c r="H53" s="4" t="s">
        <v>44</v>
      </c>
      <c r="I53" s="4">
        <v>0.24249999999998906</v>
      </c>
      <c r="J53" s="4" t="s">
        <v>44</v>
      </c>
      <c r="K53" s="4" t="s">
        <v>44</v>
      </c>
      <c r="L53" s="4" t="s">
        <v>44</v>
      </c>
      <c r="M53" s="4" t="s">
        <v>44</v>
      </c>
      <c r="N53" s="4">
        <v>1.9345000000000034</v>
      </c>
      <c r="O53" s="4" t="s">
        <v>44</v>
      </c>
      <c r="P53" s="4" t="s">
        <v>44</v>
      </c>
      <c r="Q53" s="4" t="s">
        <v>44</v>
      </c>
      <c r="R53" s="4" t="s">
        <v>44</v>
      </c>
      <c r="S53" s="4" t="s">
        <v>44</v>
      </c>
      <c r="T53" s="4" t="s">
        <v>44</v>
      </c>
      <c r="U53" s="4">
        <v>1.7880800000000079</v>
      </c>
      <c r="V53" s="4" t="s">
        <v>44</v>
      </c>
      <c r="W53" s="4" t="s">
        <v>44</v>
      </c>
      <c r="X53" s="4" t="s">
        <v>44</v>
      </c>
      <c r="Y53" s="4" t="s">
        <v>44</v>
      </c>
      <c r="Z53" s="4" t="s">
        <v>44</v>
      </c>
      <c r="AA53" s="4">
        <v>3.474049999999991</v>
      </c>
      <c r="AB53" s="4" t="s">
        <v>44</v>
      </c>
      <c r="AC53" s="4" t="s">
        <v>44</v>
      </c>
      <c r="AD53" s="4" t="s">
        <v>44</v>
      </c>
      <c r="AE53" s="4" t="s">
        <v>44</v>
      </c>
    </row>
    <row r="54" ht="15.75" customHeight="1">
      <c r="A54" s="4">
        <v>23.0</v>
      </c>
      <c r="B54" s="4" t="s">
        <v>44</v>
      </c>
      <c r="C54" s="4" t="s">
        <v>44</v>
      </c>
      <c r="D54" s="4" t="s">
        <v>44</v>
      </c>
      <c r="E54" s="4" t="s">
        <v>44</v>
      </c>
      <c r="F54" s="4">
        <v>0.8879999999999875</v>
      </c>
      <c r="G54" s="4" t="s">
        <v>44</v>
      </c>
      <c r="H54" s="4" t="s">
        <v>44</v>
      </c>
      <c r="I54" s="4">
        <v>0.17299999999999827</v>
      </c>
      <c r="J54" s="4" t="s">
        <v>44</v>
      </c>
      <c r="K54" s="4" t="s">
        <v>44</v>
      </c>
      <c r="L54" s="4" t="s">
        <v>44</v>
      </c>
      <c r="M54" s="4" t="s">
        <v>44</v>
      </c>
      <c r="N54" s="4">
        <v>1.2784999999999975</v>
      </c>
      <c r="O54" s="4" t="s">
        <v>44</v>
      </c>
      <c r="P54" s="4" t="s">
        <v>44</v>
      </c>
      <c r="Q54" s="4" t="s">
        <v>44</v>
      </c>
      <c r="R54" s="4">
        <v>0.8460499999999911</v>
      </c>
      <c r="S54" s="4" t="s">
        <v>44</v>
      </c>
      <c r="T54" s="4">
        <v>1.6707999999999856</v>
      </c>
      <c r="U54" s="4">
        <v>0.8465199999999982</v>
      </c>
      <c r="V54" s="4" t="s">
        <v>44</v>
      </c>
      <c r="W54" s="4" t="s">
        <v>44</v>
      </c>
      <c r="X54" s="4" t="s">
        <v>44</v>
      </c>
      <c r="Y54" s="4" t="s">
        <v>44</v>
      </c>
      <c r="Z54" s="4" t="s">
        <v>44</v>
      </c>
      <c r="AA54" s="4">
        <v>2.8802499999999966</v>
      </c>
      <c r="AB54" s="4" t="s">
        <v>44</v>
      </c>
      <c r="AC54" s="4" t="s">
        <v>44</v>
      </c>
      <c r="AD54" s="4" t="s">
        <v>44</v>
      </c>
      <c r="AE54" s="4" t="s">
        <v>44</v>
      </c>
    </row>
    <row r="55" ht="15.75" customHeight="1">
      <c r="A55" s="4">
        <v>24.0</v>
      </c>
      <c r="B55" s="4" t="s">
        <v>44</v>
      </c>
      <c r="C55" s="4" t="s">
        <v>44</v>
      </c>
      <c r="D55" s="4" t="s">
        <v>44</v>
      </c>
      <c r="E55" s="4">
        <v>0.95549999999999</v>
      </c>
      <c r="F55" s="4" t="s">
        <v>44</v>
      </c>
      <c r="G55" s="4" t="s">
        <v>44</v>
      </c>
      <c r="H55" s="4" t="s">
        <v>44</v>
      </c>
      <c r="I55" s="4" t="s">
        <v>44</v>
      </c>
      <c r="J55" s="4" t="s">
        <v>44</v>
      </c>
      <c r="K55" s="4">
        <v>1.7764999999999986</v>
      </c>
      <c r="L55" s="4" t="s">
        <v>44</v>
      </c>
      <c r="M55" s="4" t="s">
        <v>44</v>
      </c>
      <c r="N55" s="4">
        <v>0.652500000000007</v>
      </c>
      <c r="O55" s="4" t="s">
        <v>44</v>
      </c>
      <c r="P55" s="4" t="s">
        <v>44</v>
      </c>
      <c r="Q55" s="4" t="s">
        <v>44</v>
      </c>
      <c r="R55" s="4" t="s">
        <v>44</v>
      </c>
      <c r="S55" s="4" t="s">
        <v>44</v>
      </c>
      <c r="T55" s="4">
        <v>0.27810000000000556</v>
      </c>
      <c r="U55" s="4" t="s">
        <v>44</v>
      </c>
      <c r="V55" s="4" t="s">
        <v>44</v>
      </c>
      <c r="W55" s="4" t="s">
        <v>44</v>
      </c>
      <c r="X55" s="4" t="s">
        <v>44</v>
      </c>
      <c r="Y55" s="4" t="s">
        <v>44</v>
      </c>
      <c r="Z55" s="4" t="s">
        <v>44</v>
      </c>
      <c r="AA55" s="4">
        <v>1.2631999999999977</v>
      </c>
      <c r="AB55" s="4" t="s">
        <v>44</v>
      </c>
      <c r="AC55" s="4" t="s">
        <v>44</v>
      </c>
      <c r="AD55" s="4" t="s">
        <v>44</v>
      </c>
      <c r="AE55" s="4" t="s">
        <v>44</v>
      </c>
    </row>
    <row r="56" ht="15.75" customHeight="1">
      <c r="A56" s="4">
        <v>25.0</v>
      </c>
      <c r="B56" s="4" t="s">
        <v>44</v>
      </c>
      <c r="C56" s="4" t="s">
        <v>44</v>
      </c>
      <c r="D56" s="4" t="s">
        <v>44</v>
      </c>
      <c r="E56" s="4">
        <v>0.4764999999999908</v>
      </c>
      <c r="F56" s="4" t="s">
        <v>44</v>
      </c>
      <c r="G56" s="4">
        <v>1.5274999999999999</v>
      </c>
      <c r="H56" s="4" t="s">
        <v>44</v>
      </c>
      <c r="I56" s="4" t="s">
        <v>44</v>
      </c>
      <c r="J56" s="4" t="s">
        <v>44</v>
      </c>
      <c r="K56" s="4">
        <v>1.219499999999993</v>
      </c>
      <c r="L56" s="4" t="s">
        <v>44</v>
      </c>
      <c r="M56" s="4">
        <v>0.13549999999999685</v>
      </c>
      <c r="N56" s="4" t="s">
        <v>44</v>
      </c>
      <c r="O56" s="4" t="s">
        <v>44</v>
      </c>
      <c r="P56" s="4" t="s">
        <v>44</v>
      </c>
      <c r="Q56" s="4" t="s">
        <v>44</v>
      </c>
      <c r="R56" s="4">
        <v>0.8363999999999976</v>
      </c>
      <c r="S56" s="4" t="s">
        <v>44</v>
      </c>
      <c r="T56" s="4" t="s">
        <v>44</v>
      </c>
      <c r="U56" s="4">
        <v>1.841549999999998</v>
      </c>
      <c r="V56" s="4" t="s">
        <v>44</v>
      </c>
      <c r="W56" s="4" t="s">
        <v>44</v>
      </c>
      <c r="X56" s="4" t="s">
        <v>44</v>
      </c>
      <c r="Y56" s="4" t="s">
        <v>44</v>
      </c>
      <c r="Z56" s="4" t="s">
        <v>44</v>
      </c>
      <c r="AA56" s="4">
        <v>0.13659999999998362</v>
      </c>
      <c r="AB56" s="4" t="s">
        <v>44</v>
      </c>
      <c r="AC56" s="4" t="s">
        <v>44</v>
      </c>
      <c r="AD56" s="4" t="s">
        <v>44</v>
      </c>
      <c r="AE56" s="4" t="s">
        <v>44</v>
      </c>
    </row>
    <row r="57" ht="15.75" customHeight="1">
      <c r="A57" s="4">
        <v>26.0</v>
      </c>
      <c r="B57" s="4" t="s">
        <v>44</v>
      </c>
      <c r="C57" s="4" t="s">
        <v>44</v>
      </c>
      <c r="D57" s="4" t="s">
        <v>44</v>
      </c>
      <c r="E57" s="4" t="s">
        <v>44</v>
      </c>
      <c r="F57" s="4" t="s">
        <v>44</v>
      </c>
      <c r="G57" s="4">
        <v>0.6080000000000005</v>
      </c>
      <c r="H57" s="4" t="s">
        <v>44</v>
      </c>
      <c r="I57" s="4" t="s">
        <v>44</v>
      </c>
      <c r="J57" s="4" t="s">
        <v>44</v>
      </c>
      <c r="K57" s="4" t="s">
        <v>44</v>
      </c>
      <c r="L57" s="4" t="s">
        <v>44</v>
      </c>
      <c r="M57" s="4" t="s">
        <v>44</v>
      </c>
      <c r="N57" s="4" t="s">
        <v>44</v>
      </c>
      <c r="O57" s="4" t="s">
        <v>44</v>
      </c>
      <c r="P57" s="4" t="s">
        <v>44</v>
      </c>
      <c r="Q57" s="4" t="s">
        <v>44</v>
      </c>
      <c r="R57" s="4" t="s">
        <v>44</v>
      </c>
      <c r="S57" s="4" t="s">
        <v>44</v>
      </c>
      <c r="T57" s="4" t="s">
        <v>44</v>
      </c>
      <c r="U57" s="4">
        <v>3.29079999999999</v>
      </c>
      <c r="V57" s="4" t="s">
        <v>44</v>
      </c>
      <c r="W57" s="4" t="s">
        <v>44</v>
      </c>
      <c r="X57" s="4" t="s">
        <v>44</v>
      </c>
      <c r="Y57" s="4" t="s">
        <v>44</v>
      </c>
      <c r="Z57" s="4" t="s">
        <v>44</v>
      </c>
      <c r="AA57" s="4">
        <v>0.061300000000013455</v>
      </c>
      <c r="AB57" s="4" t="s">
        <v>44</v>
      </c>
      <c r="AC57" s="4" t="s">
        <v>44</v>
      </c>
      <c r="AD57" s="4" t="s">
        <v>44</v>
      </c>
      <c r="AE57" s="4" t="s">
        <v>44</v>
      </c>
    </row>
    <row r="58" ht="15.75" customHeight="1">
      <c r="A58" s="4">
        <v>27.0</v>
      </c>
      <c r="B58" s="4" t="s">
        <v>44</v>
      </c>
      <c r="C58" s="4" t="s">
        <v>44</v>
      </c>
      <c r="D58" s="4" t="s">
        <v>44</v>
      </c>
      <c r="E58" s="4">
        <v>1.3660000000000103</v>
      </c>
      <c r="F58" s="4" t="s">
        <v>44</v>
      </c>
      <c r="G58" s="4">
        <v>1.942500000000006</v>
      </c>
      <c r="H58" s="4" t="s">
        <v>44</v>
      </c>
      <c r="I58" s="4" t="s">
        <v>44</v>
      </c>
      <c r="J58" s="4" t="s">
        <v>44</v>
      </c>
      <c r="K58" s="4" t="s">
        <v>44</v>
      </c>
      <c r="L58" s="4" t="s">
        <v>44</v>
      </c>
      <c r="M58" s="4">
        <v>0.726999999999979</v>
      </c>
      <c r="N58" s="4">
        <v>0.20450000000002433</v>
      </c>
      <c r="O58" s="4" t="s">
        <v>44</v>
      </c>
      <c r="P58" s="4" t="s">
        <v>44</v>
      </c>
      <c r="Q58" s="4" t="s">
        <v>44</v>
      </c>
      <c r="R58" s="4" t="s">
        <v>44</v>
      </c>
      <c r="S58" s="4" t="s">
        <v>44</v>
      </c>
      <c r="T58" s="4">
        <v>1.002694999999985</v>
      </c>
      <c r="U58" s="4">
        <v>2.0282000000000124</v>
      </c>
      <c r="V58" s="4" t="s">
        <v>44</v>
      </c>
      <c r="W58" s="4" t="s">
        <v>44</v>
      </c>
      <c r="X58" s="4" t="s">
        <v>44</v>
      </c>
      <c r="Y58" s="4" t="s">
        <v>44</v>
      </c>
      <c r="Z58" s="4" t="s">
        <v>44</v>
      </c>
      <c r="AA58" s="4" t="s">
        <v>44</v>
      </c>
      <c r="AB58" s="4" t="s">
        <v>44</v>
      </c>
      <c r="AC58" s="4" t="s">
        <v>44</v>
      </c>
      <c r="AD58" s="4" t="s">
        <v>44</v>
      </c>
      <c r="AE58" s="4" t="s">
        <v>44</v>
      </c>
    </row>
    <row r="59" ht="15.75" customHeight="1">
      <c r="A59" s="4">
        <v>28.0</v>
      </c>
      <c r="B59" s="4" t="s">
        <v>44</v>
      </c>
      <c r="C59" s="4" t="s">
        <v>44</v>
      </c>
      <c r="D59" s="4" t="s">
        <v>44</v>
      </c>
      <c r="E59" s="4">
        <v>2.707000000000008</v>
      </c>
      <c r="F59" s="4" t="s">
        <v>44</v>
      </c>
      <c r="G59" s="4">
        <v>1.1205000000000105</v>
      </c>
      <c r="H59" s="4" t="s">
        <v>44</v>
      </c>
      <c r="I59" s="4" t="s">
        <v>44</v>
      </c>
      <c r="J59" s="4" t="s">
        <v>44</v>
      </c>
      <c r="K59" s="4">
        <v>0.6039999999999708</v>
      </c>
      <c r="L59" s="4" t="s">
        <v>44</v>
      </c>
      <c r="M59" s="4">
        <v>0.0710000000000015</v>
      </c>
      <c r="N59" s="4" t="s">
        <v>44</v>
      </c>
      <c r="O59" s="4" t="s">
        <v>44</v>
      </c>
      <c r="P59" s="4" t="s">
        <v>44</v>
      </c>
      <c r="Q59" s="4" t="s">
        <v>44</v>
      </c>
      <c r="R59" s="4" t="s">
        <v>44</v>
      </c>
      <c r="S59" s="4" t="s">
        <v>44</v>
      </c>
      <c r="T59" s="4" t="s">
        <v>44</v>
      </c>
      <c r="U59" s="4" t="s">
        <v>44</v>
      </c>
      <c r="V59" s="4">
        <v>1.6237999999999921</v>
      </c>
      <c r="W59" s="4" t="s">
        <v>44</v>
      </c>
      <c r="X59" s="4" t="s">
        <v>44</v>
      </c>
      <c r="Y59" s="4" t="s">
        <v>44</v>
      </c>
      <c r="Z59" s="4" t="s">
        <v>44</v>
      </c>
      <c r="AA59" s="4" t="s">
        <v>44</v>
      </c>
      <c r="AB59" s="4" t="s">
        <v>44</v>
      </c>
      <c r="AC59" s="4" t="s">
        <v>44</v>
      </c>
      <c r="AD59" s="4" t="s">
        <v>44</v>
      </c>
      <c r="AE59" s="4" t="s">
        <v>44</v>
      </c>
    </row>
    <row r="60" ht="15.75" customHeight="1">
      <c r="A60" s="4">
        <v>29.0</v>
      </c>
      <c r="B60" s="4" t="s">
        <v>44</v>
      </c>
      <c r="C60" s="4" t="s">
        <v>44</v>
      </c>
      <c r="D60" s="4" t="s">
        <v>44</v>
      </c>
      <c r="E60" s="4">
        <v>3.2530000000000143</v>
      </c>
      <c r="F60" s="4" t="s">
        <v>44</v>
      </c>
      <c r="G60" s="4">
        <v>3.3029999999999866</v>
      </c>
      <c r="H60" s="4" t="s">
        <v>44</v>
      </c>
      <c r="I60" s="4" t="s">
        <v>44</v>
      </c>
      <c r="J60" s="4" t="s">
        <v>44</v>
      </c>
      <c r="K60" s="4">
        <v>0.5655000000000001</v>
      </c>
      <c r="L60" s="4" t="s">
        <v>44</v>
      </c>
      <c r="M60" s="4" t="s">
        <v>44</v>
      </c>
      <c r="N60" s="4" t="s">
        <v>44</v>
      </c>
      <c r="O60" s="4" t="s">
        <v>44</v>
      </c>
      <c r="P60" s="4" t="s">
        <v>44</v>
      </c>
      <c r="Q60" s="4" t="s">
        <v>44</v>
      </c>
      <c r="R60" s="4" t="s">
        <v>44</v>
      </c>
      <c r="S60" s="4" t="s">
        <v>44</v>
      </c>
      <c r="T60" s="4" t="s">
        <v>44</v>
      </c>
      <c r="U60" s="4">
        <v>2.6668999999999983</v>
      </c>
      <c r="V60" s="4">
        <v>1.6526499999999977</v>
      </c>
      <c r="W60" s="4">
        <v>0.7107000000000028</v>
      </c>
      <c r="X60" s="4" t="s">
        <v>44</v>
      </c>
      <c r="Y60" s="4" t="s">
        <v>44</v>
      </c>
      <c r="Z60" s="4" t="s">
        <v>44</v>
      </c>
      <c r="AA60" s="4" t="s">
        <v>44</v>
      </c>
      <c r="AB60" s="4" t="s">
        <v>44</v>
      </c>
      <c r="AC60" s="4" t="s">
        <v>44</v>
      </c>
      <c r="AD60" s="4" t="s">
        <v>44</v>
      </c>
      <c r="AE60" s="4" t="s">
        <v>44</v>
      </c>
    </row>
    <row r="61" ht="15.75" customHeight="1">
      <c r="A61" s="4">
        <v>30.0</v>
      </c>
      <c r="B61" s="4" t="s">
        <v>44</v>
      </c>
      <c r="C61" s="4" t="s">
        <v>44</v>
      </c>
      <c r="D61" s="4" t="s">
        <v>44</v>
      </c>
      <c r="E61" s="4">
        <v>3.0045000000000073</v>
      </c>
      <c r="F61" s="4" t="s">
        <v>44</v>
      </c>
      <c r="G61" s="4">
        <v>3.5725000000000016</v>
      </c>
      <c r="H61" s="4">
        <v>0.7079999999999984</v>
      </c>
      <c r="I61" s="4" t="s">
        <v>44</v>
      </c>
      <c r="J61" s="4" t="s">
        <v>44</v>
      </c>
      <c r="K61" s="4">
        <v>0.4804999999999957</v>
      </c>
      <c r="L61" s="4" t="s">
        <v>44</v>
      </c>
      <c r="M61" s="4" t="s">
        <v>44</v>
      </c>
      <c r="N61" s="4" t="s">
        <v>44</v>
      </c>
      <c r="O61" s="4" t="s">
        <v>44</v>
      </c>
      <c r="P61" s="4" t="s">
        <v>44</v>
      </c>
      <c r="Q61" s="4" t="s">
        <v>44</v>
      </c>
      <c r="R61" s="4" t="s">
        <v>44</v>
      </c>
      <c r="S61" s="4" t="s">
        <v>44</v>
      </c>
      <c r="T61" s="4">
        <v>1.5520800000000001</v>
      </c>
      <c r="U61" s="4">
        <v>1.7743999999999858</v>
      </c>
      <c r="V61" s="4">
        <v>3.8671000000000006</v>
      </c>
      <c r="W61" s="4" t="s">
        <v>44</v>
      </c>
      <c r="X61" s="4" t="s">
        <v>44</v>
      </c>
      <c r="Y61" s="4" t="s">
        <v>44</v>
      </c>
      <c r="Z61" s="4" t="s">
        <v>44</v>
      </c>
      <c r="AA61" s="4" t="s">
        <v>44</v>
      </c>
      <c r="AB61" s="4" t="s">
        <v>44</v>
      </c>
      <c r="AC61" s="4" t="s">
        <v>44</v>
      </c>
      <c r="AD61" s="4" t="s">
        <v>44</v>
      </c>
      <c r="AE61" s="4">
        <v>0.06444999999999368</v>
      </c>
    </row>
    <row r="62" ht="15.75" customHeight="1">
      <c r="A62" s="4">
        <v>31.0</v>
      </c>
      <c r="B62" s="4" t="s">
        <v>44</v>
      </c>
      <c r="C62" s="4" t="s">
        <v>44</v>
      </c>
      <c r="D62" s="4" t="s">
        <v>44</v>
      </c>
      <c r="E62" s="4">
        <v>0.9004999999999939</v>
      </c>
      <c r="F62" s="4" t="s">
        <v>44</v>
      </c>
      <c r="G62" s="4">
        <v>2.746500000000008</v>
      </c>
      <c r="H62" s="4">
        <v>0.41749999999998977</v>
      </c>
      <c r="I62" s="4" t="s">
        <v>44</v>
      </c>
      <c r="J62" s="4" t="s">
        <v>44</v>
      </c>
      <c r="K62" s="4">
        <v>0.8684999999999832</v>
      </c>
      <c r="L62" s="4" t="s">
        <v>44</v>
      </c>
      <c r="M62" s="4" t="s">
        <v>44</v>
      </c>
      <c r="N62" s="4" t="s">
        <v>44</v>
      </c>
      <c r="O62" s="4" t="s">
        <v>44</v>
      </c>
      <c r="P62" s="4" t="s">
        <v>44</v>
      </c>
      <c r="Q62" s="4" t="s">
        <v>44</v>
      </c>
      <c r="R62" s="4" t="s">
        <v>44</v>
      </c>
      <c r="S62" s="4" t="s">
        <v>44</v>
      </c>
      <c r="T62" s="4">
        <v>2.2894899999999936</v>
      </c>
      <c r="U62" s="4">
        <v>0.9186500000000102</v>
      </c>
      <c r="V62" s="4">
        <v>1.467150000000018</v>
      </c>
      <c r="W62" s="4" t="s">
        <v>44</v>
      </c>
      <c r="X62" s="4" t="s">
        <v>44</v>
      </c>
      <c r="Y62" s="4" t="s">
        <v>44</v>
      </c>
      <c r="Z62" s="4" t="s">
        <v>44</v>
      </c>
      <c r="AA62" s="4" t="s">
        <v>44</v>
      </c>
      <c r="AB62" s="4" t="s">
        <v>44</v>
      </c>
      <c r="AC62" s="4" t="s">
        <v>44</v>
      </c>
      <c r="AD62" s="4" t="s">
        <v>44</v>
      </c>
      <c r="AE62" s="4">
        <v>0.6443000000000012</v>
      </c>
    </row>
    <row r="63" ht="15.75" customHeight="1">
      <c r="A63" s="28">
        <v>43313.0</v>
      </c>
      <c r="B63" s="4" t="s">
        <v>44</v>
      </c>
      <c r="C63" s="4" t="s">
        <v>44</v>
      </c>
      <c r="D63" s="4" t="s">
        <v>44</v>
      </c>
      <c r="E63" s="4" t="s">
        <v>44</v>
      </c>
      <c r="F63" s="4" t="s">
        <v>44</v>
      </c>
      <c r="G63" s="4">
        <v>1.0719999999999956</v>
      </c>
      <c r="H63" s="4" t="s">
        <v>44</v>
      </c>
      <c r="I63" s="4" t="s">
        <v>44</v>
      </c>
      <c r="J63" s="4" t="s">
        <v>44</v>
      </c>
      <c r="K63" s="4" t="s">
        <v>44</v>
      </c>
      <c r="L63" s="4" t="s">
        <v>44</v>
      </c>
      <c r="M63" s="4" t="s">
        <v>44</v>
      </c>
      <c r="N63" s="4" t="s">
        <v>44</v>
      </c>
      <c r="O63" s="4" t="s">
        <v>44</v>
      </c>
      <c r="P63" s="4" t="s">
        <v>44</v>
      </c>
      <c r="Q63" s="4" t="s">
        <v>44</v>
      </c>
      <c r="R63" s="4" t="s">
        <v>44</v>
      </c>
      <c r="S63" s="4" t="s">
        <v>44</v>
      </c>
      <c r="T63" s="4">
        <v>1.1523899999999898</v>
      </c>
      <c r="U63" s="4">
        <v>0.31465000000000387</v>
      </c>
      <c r="V63" s="4">
        <v>2.039249999999999</v>
      </c>
      <c r="W63" s="4">
        <v>0.4406499999999909</v>
      </c>
      <c r="X63" s="4" t="s">
        <v>44</v>
      </c>
      <c r="Y63" s="4" t="s">
        <v>44</v>
      </c>
      <c r="Z63" s="4" t="s">
        <v>44</v>
      </c>
      <c r="AA63" s="4" t="s">
        <v>44</v>
      </c>
      <c r="AB63" s="4" t="s">
        <v>44</v>
      </c>
      <c r="AC63" s="4" t="s">
        <v>44</v>
      </c>
      <c r="AD63" s="4" t="s">
        <v>44</v>
      </c>
      <c r="AE63" s="4">
        <v>0.22459999999999525</v>
      </c>
    </row>
    <row r="64" ht="15.75" customHeight="1">
      <c r="A64" s="4">
        <v>2.0</v>
      </c>
      <c r="B64" s="4" t="s">
        <v>44</v>
      </c>
      <c r="C64" s="4" t="s">
        <v>44</v>
      </c>
      <c r="D64" s="4" t="s">
        <v>44</v>
      </c>
      <c r="E64" s="4" t="s">
        <v>44</v>
      </c>
      <c r="F64" s="4" t="s">
        <v>44</v>
      </c>
      <c r="G64" s="4">
        <v>0.2389999999999901</v>
      </c>
      <c r="H64" s="4" t="s">
        <v>44</v>
      </c>
      <c r="I64" s="4" t="s">
        <v>44</v>
      </c>
      <c r="J64" s="4" t="s">
        <v>44</v>
      </c>
      <c r="K64" s="4" t="s">
        <v>44</v>
      </c>
      <c r="L64" s="4" t="s">
        <v>44</v>
      </c>
      <c r="M64" s="4" t="s">
        <v>44</v>
      </c>
      <c r="N64" s="4" t="s">
        <v>44</v>
      </c>
      <c r="O64" s="4" t="s">
        <v>44</v>
      </c>
      <c r="P64" s="4" t="s">
        <v>44</v>
      </c>
      <c r="Q64" s="4" t="s">
        <v>44</v>
      </c>
      <c r="R64" s="4" t="s">
        <v>44</v>
      </c>
      <c r="S64" s="4" t="s">
        <v>44</v>
      </c>
      <c r="T64" s="4">
        <v>1.1483599999999932</v>
      </c>
      <c r="U64" s="4">
        <v>2.391149999999996</v>
      </c>
      <c r="V64" s="4" t="s">
        <v>44</v>
      </c>
      <c r="W64" s="4" t="s">
        <v>44</v>
      </c>
      <c r="X64" s="4" t="s">
        <v>44</v>
      </c>
      <c r="Y64" s="4" t="s">
        <v>44</v>
      </c>
      <c r="Z64" s="4" t="s">
        <v>44</v>
      </c>
      <c r="AA64" s="4" t="s">
        <v>44</v>
      </c>
      <c r="AB64" s="4" t="s">
        <v>44</v>
      </c>
      <c r="AC64" s="4" t="s">
        <v>44</v>
      </c>
      <c r="AD64" s="4" t="s">
        <v>44</v>
      </c>
      <c r="AE64" s="4" t="s">
        <v>44</v>
      </c>
    </row>
    <row r="65" ht="15.75" customHeight="1">
      <c r="A65" s="4">
        <v>3.0</v>
      </c>
      <c r="B65" s="4" t="s">
        <v>44</v>
      </c>
      <c r="C65" s="4" t="s">
        <v>44</v>
      </c>
      <c r="D65" s="4" t="s">
        <v>44</v>
      </c>
      <c r="E65" s="4" t="s">
        <v>44</v>
      </c>
      <c r="F65" s="4" t="s">
        <v>44</v>
      </c>
      <c r="G65" s="4" t="s">
        <v>44</v>
      </c>
      <c r="H65" s="4" t="s">
        <v>44</v>
      </c>
      <c r="I65" s="4" t="s">
        <v>44</v>
      </c>
      <c r="J65" s="4" t="s">
        <v>44</v>
      </c>
      <c r="K65" s="4" t="s">
        <v>44</v>
      </c>
      <c r="L65" s="4" t="s">
        <v>44</v>
      </c>
      <c r="M65" s="4" t="s">
        <v>44</v>
      </c>
      <c r="N65" s="4" t="s">
        <v>44</v>
      </c>
      <c r="O65" s="4" t="s">
        <v>44</v>
      </c>
      <c r="P65" s="4" t="s">
        <v>44</v>
      </c>
      <c r="Q65" s="4" t="s">
        <v>44</v>
      </c>
      <c r="R65" s="4" t="s">
        <v>44</v>
      </c>
      <c r="S65" s="4" t="s">
        <v>44</v>
      </c>
      <c r="T65" s="4">
        <v>2.1860000000000213</v>
      </c>
      <c r="U65" s="4">
        <v>0.4457999999999629</v>
      </c>
      <c r="V65" s="4">
        <v>1.4844099999999933</v>
      </c>
      <c r="W65" s="4" t="s">
        <v>44</v>
      </c>
      <c r="X65" s="4" t="s">
        <v>44</v>
      </c>
      <c r="Y65" s="4" t="s">
        <v>44</v>
      </c>
      <c r="Z65" s="4" t="s">
        <v>44</v>
      </c>
      <c r="AA65" s="4" t="s">
        <v>44</v>
      </c>
      <c r="AB65" s="4" t="s">
        <v>44</v>
      </c>
      <c r="AC65" s="4" t="s">
        <v>44</v>
      </c>
      <c r="AD65" s="4" t="s">
        <v>44</v>
      </c>
      <c r="AE65" s="4">
        <v>0.08124999999999716</v>
      </c>
    </row>
    <row r="66" ht="15.75" customHeight="1">
      <c r="A66" s="4">
        <v>4.0</v>
      </c>
      <c r="B66" s="4" t="s">
        <v>44</v>
      </c>
      <c r="C66" s="4" t="s">
        <v>44</v>
      </c>
      <c r="D66" s="4" t="s">
        <v>44</v>
      </c>
      <c r="E66" s="4" t="s">
        <v>44</v>
      </c>
      <c r="F66" s="4" t="s">
        <v>44</v>
      </c>
      <c r="G66" s="4" t="s">
        <v>44</v>
      </c>
      <c r="H66" s="4" t="s">
        <v>44</v>
      </c>
      <c r="I66" s="4" t="s">
        <v>44</v>
      </c>
      <c r="J66" s="4" t="s">
        <v>44</v>
      </c>
      <c r="K66" s="4" t="s">
        <v>44</v>
      </c>
      <c r="L66" s="4" t="s">
        <v>44</v>
      </c>
      <c r="M66" s="4" t="s">
        <v>44</v>
      </c>
      <c r="N66" s="4" t="s">
        <v>44</v>
      </c>
      <c r="O66" s="4" t="s">
        <v>44</v>
      </c>
      <c r="P66" s="4" t="s">
        <v>44</v>
      </c>
      <c r="Q66" s="4" t="s">
        <v>44</v>
      </c>
      <c r="R66" s="4" t="s">
        <v>44</v>
      </c>
      <c r="S66" s="4" t="s">
        <v>44</v>
      </c>
      <c r="T66" s="4">
        <v>1.84375</v>
      </c>
      <c r="U66" s="4">
        <v>1.085099999999997</v>
      </c>
      <c r="V66" s="4" t="s">
        <v>44</v>
      </c>
      <c r="W66" s="4">
        <v>1.0326899999999988</v>
      </c>
      <c r="X66" s="4" t="s">
        <v>44</v>
      </c>
      <c r="Y66" s="4" t="s">
        <v>44</v>
      </c>
      <c r="Z66" s="4" t="s">
        <v>44</v>
      </c>
      <c r="AA66" s="4" t="s">
        <v>44</v>
      </c>
      <c r="AB66" s="4" t="s">
        <v>44</v>
      </c>
      <c r="AC66" s="4" t="s">
        <v>44</v>
      </c>
      <c r="AD66" s="4" t="s">
        <v>44</v>
      </c>
      <c r="AE66" s="4" t="s">
        <v>44</v>
      </c>
    </row>
    <row r="67" ht="15.75" customHeight="1">
      <c r="A67" s="4">
        <v>5.0</v>
      </c>
      <c r="B67" s="4" t="s">
        <v>44</v>
      </c>
      <c r="C67" s="4" t="s">
        <v>44</v>
      </c>
      <c r="D67" s="4">
        <v>0.06399999999997874</v>
      </c>
      <c r="E67" s="4" t="s">
        <v>44</v>
      </c>
      <c r="F67" s="4" t="s">
        <v>44</v>
      </c>
      <c r="G67" s="4" t="s">
        <v>44</v>
      </c>
      <c r="H67" s="4" t="s">
        <v>44</v>
      </c>
      <c r="I67" s="4" t="s">
        <v>44</v>
      </c>
      <c r="J67" s="4" t="s">
        <v>44</v>
      </c>
      <c r="K67" s="4" t="s">
        <v>44</v>
      </c>
      <c r="L67" s="4" t="s">
        <v>44</v>
      </c>
      <c r="M67" s="4">
        <v>0.9475000000000016</v>
      </c>
      <c r="N67" s="4" t="s">
        <v>44</v>
      </c>
      <c r="O67" s="4" t="s">
        <v>44</v>
      </c>
      <c r="P67" s="4">
        <v>0.9475000000000016</v>
      </c>
      <c r="Q67" s="4" t="s">
        <v>44</v>
      </c>
      <c r="R67" s="4" t="s">
        <v>44</v>
      </c>
      <c r="S67" s="4" t="s">
        <v>44</v>
      </c>
      <c r="T67" s="4">
        <v>3.5276500000000084</v>
      </c>
      <c r="U67" s="4" t="s">
        <v>44</v>
      </c>
      <c r="V67" s="4" t="s">
        <v>44</v>
      </c>
      <c r="W67" s="4" t="s">
        <v>44</v>
      </c>
      <c r="X67" s="4" t="s">
        <v>44</v>
      </c>
      <c r="Y67" s="4" t="s">
        <v>44</v>
      </c>
      <c r="Z67" s="4" t="s">
        <v>44</v>
      </c>
      <c r="AA67" s="4" t="s">
        <v>44</v>
      </c>
      <c r="AB67" s="4" t="s">
        <v>44</v>
      </c>
      <c r="AC67" s="4" t="s">
        <v>44</v>
      </c>
      <c r="AD67" s="4" t="s">
        <v>44</v>
      </c>
      <c r="AE67" s="4" t="s">
        <v>44</v>
      </c>
    </row>
    <row r="68" ht="15.75" customHeight="1">
      <c r="A68" s="4">
        <v>6.0</v>
      </c>
      <c r="B68" s="4" t="s">
        <v>44</v>
      </c>
      <c r="C68" s="4" t="s">
        <v>44</v>
      </c>
      <c r="D68" s="4">
        <v>0.8769999999999811</v>
      </c>
      <c r="E68" s="4" t="s">
        <v>44</v>
      </c>
      <c r="F68" s="4" t="s">
        <v>44</v>
      </c>
      <c r="G68" s="4" t="s">
        <v>44</v>
      </c>
      <c r="H68" s="4" t="s">
        <v>44</v>
      </c>
      <c r="I68" s="4">
        <v>0.18049999999995237</v>
      </c>
      <c r="J68" s="4" t="s">
        <v>44</v>
      </c>
      <c r="K68" s="4" t="s">
        <v>44</v>
      </c>
      <c r="L68" s="4" t="s">
        <v>44</v>
      </c>
      <c r="M68" s="4">
        <v>0.7659999999999734</v>
      </c>
      <c r="N68" s="4" t="s">
        <v>44</v>
      </c>
      <c r="O68" s="4" t="s">
        <v>44</v>
      </c>
      <c r="P68" s="4">
        <v>0.7659999999999734</v>
      </c>
      <c r="Q68" s="4" t="s">
        <v>44</v>
      </c>
      <c r="R68" s="4" t="s">
        <v>44</v>
      </c>
      <c r="S68" s="4" t="s">
        <v>44</v>
      </c>
      <c r="T68" s="4">
        <v>3.4222000000000072</v>
      </c>
      <c r="U68" s="4" t="s">
        <v>44</v>
      </c>
      <c r="V68" s="4">
        <v>0.4331699999999934</v>
      </c>
      <c r="W68" s="4" t="s">
        <v>44</v>
      </c>
      <c r="X68" s="4" t="s">
        <v>44</v>
      </c>
      <c r="Y68" s="4" t="s">
        <v>44</v>
      </c>
      <c r="Z68" s="4" t="s">
        <v>44</v>
      </c>
      <c r="AA68" s="4" t="s">
        <v>44</v>
      </c>
      <c r="AB68" s="4" t="s">
        <v>44</v>
      </c>
      <c r="AC68" s="4" t="s">
        <v>44</v>
      </c>
      <c r="AD68" s="4" t="s">
        <v>44</v>
      </c>
      <c r="AE68" s="4" t="s">
        <v>44</v>
      </c>
    </row>
    <row r="69" ht="15.75" customHeight="1">
      <c r="A69" s="4">
        <v>7.0</v>
      </c>
      <c r="B69" s="4" t="s">
        <v>44</v>
      </c>
      <c r="C69" s="4" t="s">
        <v>44</v>
      </c>
      <c r="D69" s="4" t="s">
        <v>44</v>
      </c>
      <c r="E69" s="4" t="s">
        <v>44</v>
      </c>
      <c r="F69" s="4" t="s">
        <v>44</v>
      </c>
      <c r="G69" s="4" t="s">
        <v>44</v>
      </c>
      <c r="H69" s="4" t="s">
        <v>44</v>
      </c>
      <c r="I69" s="4">
        <v>1.1674999999999898</v>
      </c>
      <c r="J69" s="4" t="s">
        <v>44</v>
      </c>
      <c r="K69" s="4" t="s">
        <v>44</v>
      </c>
      <c r="L69" s="4" t="s">
        <v>44</v>
      </c>
      <c r="M69" s="4">
        <v>0.23299999999999343</v>
      </c>
      <c r="N69" s="4" t="s">
        <v>44</v>
      </c>
      <c r="O69" s="4" t="s">
        <v>44</v>
      </c>
      <c r="P69" s="4">
        <v>0.23299999999999343</v>
      </c>
      <c r="Q69" s="4" t="s">
        <v>44</v>
      </c>
      <c r="R69" s="4" t="s">
        <v>44</v>
      </c>
      <c r="S69" s="4" t="s">
        <v>44</v>
      </c>
      <c r="T69" s="4">
        <v>3.08175000000001</v>
      </c>
      <c r="U69" s="4" t="s">
        <v>44</v>
      </c>
      <c r="V69" s="4">
        <v>0.8596399999999953</v>
      </c>
      <c r="W69" s="4" t="s">
        <v>44</v>
      </c>
      <c r="X69" s="4" t="s">
        <v>44</v>
      </c>
      <c r="Y69" s="4" t="s">
        <v>44</v>
      </c>
      <c r="Z69" s="4" t="s">
        <v>44</v>
      </c>
      <c r="AA69" s="4" t="s">
        <v>44</v>
      </c>
      <c r="AB69" s="4" t="s">
        <v>44</v>
      </c>
      <c r="AC69" s="4" t="s">
        <v>44</v>
      </c>
      <c r="AD69" s="4" t="s">
        <v>44</v>
      </c>
      <c r="AE69" s="4" t="s">
        <v>44</v>
      </c>
    </row>
    <row r="70" ht="15.75" customHeight="1">
      <c r="A70" s="4">
        <v>8.0</v>
      </c>
      <c r="B70" s="4" t="s">
        <v>44</v>
      </c>
      <c r="C70" s="4">
        <v>0.9714999999999918</v>
      </c>
      <c r="D70" s="4" t="s">
        <v>44</v>
      </c>
      <c r="E70" s="4">
        <v>1.3279999999999994</v>
      </c>
      <c r="F70" s="4" t="s">
        <v>44</v>
      </c>
      <c r="G70" s="4" t="s">
        <v>44</v>
      </c>
      <c r="H70" s="4" t="s">
        <v>44</v>
      </c>
      <c r="I70" s="4">
        <v>0.8745000000000118</v>
      </c>
      <c r="J70" s="4" t="s">
        <v>44</v>
      </c>
      <c r="K70" s="4" t="s">
        <v>44</v>
      </c>
      <c r="L70" s="4" t="s">
        <v>44</v>
      </c>
      <c r="M70" s="4">
        <v>0.6780000000000008</v>
      </c>
      <c r="N70" s="4" t="s">
        <v>44</v>
      </c>
      <c r="O70" s="4" t="s">
        <v>44</v>
      </c>
      <c r="P70" s="4">
        <v>0.6780000000000008</v>
      </c>
      <c r="Q70" s="4" t="s">
        <v>44</v>
      </c>
      <c r="R70" s="4" t="s">
        <v>44</v>
      </c>
      <c r="S70" s="4" t="s">
        <v>44</v>
      </c>
      <c r="T70" s="4">
        <v>0.5280000000000165</v>
      </c>
      <c r="U70" s="4" t="s">
        <v>44</v>
      </c>
      <c r="V70" s="4" t="s">
        <v>44</v>
      </c>
      <c r="W70" s="4" t="s">
        <v>44</v>
      </c>
      <c r="X70" s="4" t="s">
        <v>44</v>
      </c>
      <c r="Y70" s="4" t="s">
        <v>44</v>
      </c>
      <c r="Z70" s="4" t="s">
        <v>44</v>
      </c>
      <c r="AA70" s="4" t="s">
        <v>44</v>
      </c>
      <c r="AB70" s="4" t="s">
        <v>44</v>
      </c>
      <c r="AC70" s="4" t="s">
        <v>44</v>
      </c>
      <c r="AD70" s="4" t="s">
        <v>44</v>
      </c>
      <c r="AE70" s="4" t="s">
        <v>44</v>
      </c>
    </row>
    <row r="71" ht="15.75" customHeight="1">
      <c r="A71" s="4">
        <v>9.0</v>
      </c>
      <c r="B71" s="4" t="s">
        <v>44</v>
      </c>
      <c r="C71" s="4">
        <v>2.1635000000000097</v>
      </c>
      <c r="D71" s="4">
        <v>2.0614999999999952</v>
      </c>
      <c r="E71" s="4">
        <v>0.7584999999999837</v>
      </c>
      <c r="F71" s="4" t="s">
        <v>44</v>
      </c>
      <c r="G71" s="4" t="s">
        <v>44</v>
      </c>
      <c r="H71" s="4" t="s">
        <v>44</v>
      </c>
      <c r="I71" s="4">
        <v>0.475000000000005</v>
      </c>
      <c r="J71" s="4" t="s">
        <v>44</v>
      </c>
      <c r="K71" s="4" t="s">
        <v>44</v>
      </c>
      <c r="L71" s="4" t="s">
        <v>44</v>
      </c>
      <c r="M71" s="4">
        <v>2.453500000000002</v>
      </c>
      <c r="N71" s="4" t="s">
        <v>44</v>
      </c>
      <c r="O71" s="4" t="s">
        <v>44</v>
      </c>
      <c r="P71" s="4">
        <v>2.453500000000002</v>
      </c>
      <c r="Q71" s="4" t="s">
        <v>44</v>
      </c>
      <c r="R71" s="4" t="s">
        <v>44</v>
      </c>
      <c r="S71" s="4" t="s">
        <v>44</v>
      </c>
      <c r="T71" s="4">
        <v>1.4244500000000038</v>
      </c>
      <c r="U71" s="4" t="s">
        <v>44</v>
      </c>
      <c r="V71" s="4" t="s">
        <v>44</v>
      </c>
      <c r="W71" s="4" t="s">
        <v>44</v>
      </c>
      <c r="X71" s="4" t="s">
        <v>44</v>
      </c>
      <c r="Y71" s="4" t="s">
        <v>44</v>
      </c>
      <c r="Z71" s="4" t="s">
        <v>44</v>
      </c>
      <c r="AA71" s="4" t="s">
        <v>44</v>
      </c>
      <c r="AB71" s="4" t="s">
        <v>44</v>
      </c>
      <c r="AC71" s="4" t="s">
        <v>44</v>
      </c>
      <c r="AD71" s="4" t="s">
        <v>44</v>
      </c>
      <c r="AE71" s="4" t="s">
        <v>44</v>
      </c>
    </row>
    <row r="72" ht="15.75" customHeight="1">
      <c r="A72" s="4">
        <v>10.0</v>
      </c>
      <c r="B72" s="4" t="s">
        <v>44</v>
      </c>
      <c r="C72" s="4" t="s">
        <v>44</v>
      </c>
      <c r="D72" s="4">
        <v>1.0325000000000024</v>
      </c>
      <c r="E72" s="4" t="s">
        <v>44</v>
      </c>
      <c r="F72" s="4" t="s">
        <v>44</v>
      </c>
      <c r="G72" s="4" t="s">
        <v>44</v>
      </c>
      <c r="H72" s="4" t="s">
        <v>44</v>
      </c>
      <c r="I72" s="4">
        <v>1.129999999999992</v>
      </c>
      <c r="J72" s="4" t="s">
        <v>44</v>
      </c>
      <c r="K72" s="4" t="s">
        <v>44</v>
      </c>
      <c r="L72" s="4" t="s">
        <v>44</v>
      </c>
      <c r="M72" s="4">
        <v>3.3979999999999926</v>
      </c>
      <c r="N72" s="4" t="s">
        <v>44</v>
      </c>
      <c r="O72" s="4" t="s">
        <v>44</v>
      </c>
      <c r="P72" s="4">
        <v>3.3979999999999926</v>
      </c>
      <c r="Q72" s="4" t="s">
        <v>44</v>
      </c>
      <c r="R72" s="4">
        <v>1.0804500000000097</v>
      </c>
      <c r="S72" s="4" t="s">
        <v>44</v>
      </c>
      <c r="T72" s="4" t="s">
        <v>44</v>
      </c>
      <c r="U72" s="4" t="s">
        <v>44</v>
      </c>
      <c r="V72" s="4">
        <v>0.23479999999997858</v>
      </c>
      <c r="W72" s="4" t="s">
        <v>44</v>
      </c>
      <c r="X72" s="4" t="s">
        <v>44</v>
      </c>
      <c r="Y72" s="4" t="s">
        <v>44</v>
      </c>
      <c r="Z72" s="4">
        <v>0.44980000000001397</v>
      </c>
      <c r="AA72" s="4" t="s">
        <v>44</v>
      </c>
      <c r="AB72" s="4" t="s">
        <v>44</v>
      </c>
      <c r="AC72" s="4" t="s">
        <v>44</v>
      </c>
      <c r="AD72" s="4" t="s">
        <v>44</v>
      </c>
      <c r="AE72" s="4" t="s">
        <v>44</v>
      </c>
    </row>
    <row r="73" ht="15.75" customHeight="1">
      <c r="A73" s="4">
        <v>11.0</v>
      </c>
      <c r="B73" s="4" t="s">
        <v>44</v>
      </c>
      <c r="C73" s="4" t="s">
        <v>44</v>
      </c>
      <c r="D73" s="4">
        <v>0.29900000000001015</v>
      </c>
      <c r="E73" s="4">
        <v>0.8924999999999876</v>
      </c>
      <c r="F73" s="4" t="s">
        <v>44</v>
      </c>
      <c r="G73" s="4" t="s">
        <v>44</v>
      </c>
      <c r="H73" s="4">
        <v>0.13550000000001106</v>
      </c>
      <c r="I73" s="4">
        <v>0.9584999999999901</v>
      </c>
      <c r="J73" s="4" t="s">
        <v>44</v>
      </c>
      <c r="K73" s="4" t="s">
        <v>44</v>
      </c>
      <c r="L73" s="4">
        <v>1.4475000000000016</v>
      </c>
      <c r="M73" s="4">
        <v>1.990999999999989</v>
      </c>
      <c r="N73" s="4" t="s">
        <v>44</v>
      </c>
      <c r="O73" s="4" t="s">
        <v>44</v>
      </c>
      <c r="P73" s="4">
        <v>1.990999999999989</v>
      </c>
      <c r="Q73" s="4" t="s">
        <v>44</v>
      </c>
      <c r="R73" s="4">
        <v>1.2412500000000044</v>
      </c>
      <c r="S73" s="4">
        <v>1.006600000000006</v>
      </c>
      <c r="T73" s="4" t="s">
        <v>44</v>
      </c>
      <c r="U73" s="4" t="s">
        <v>44</v>
      </c>
      <c r="V73" s="4" t="s">
        <v>44</v>
      </c>
      <c r="W73" s="4" t="s">
        <v>44</v>
      </c>
      <c r="X73" s="4" t="s">
        <v>44</v>
      </c>
      <c r="Y73" s="4" t="s">
        <v>44</v>
      </c>
      <c r="Z73" s="4">
        <v>1.1199000000000012</v>
      </c>
      <c r="AA73" s="4" t="s">
        <v>44</v>
      </c>
      <c r="AB73" s="4" t="s">
        <v>44</v>
      </c>
      <c r="AC73" s="4" t="s">
        <v>44</v>
      </c>
      <c r="AD73" s="4">
        <v>1.1935499999999912</v>
      </c>
      <c r="AE73" s="4" t="s">
        <v>44</v>
      </c>
    </row>
    <row r="74" ht="15.75" customHeight="1">
      <c r="A74" s="4">
        <v>12.0</v>
      </c>
      <c r="B74" s="4" t="s">
        <v>44</v>
      </c>
      <c r="C74" s="4" t="s">
        <v>44</v>
      </c>
      <c r="D74" s="4">
        <v>0.3635000000000055</v>
      </c>
      <c r="E74" s="4">
        <v>0.054500000000007987</v>
      </c>
      <c r="F74" s="4" t="s">
        <v>44</v>
      </c>
      <c r="G74" s="4">
        <v>0.5644999999999989</v>
      </c>
      <c r="H74" s="4">
        <v>0.13249999999999673</v>
      </c>
      <c r="I74" s="4">
        <v>0.5580000000000034</v>
      </c>
      <c r="J74" s="4" t="s">
        <v>44</v>
      </c>
      <c r="K74" s="4" t="s">
        <v>44</v>
      </c>
      <c r="L74" s="4">
        <v>1.496500000000001</v>
      </c>
      <c r="M74" s="4" t="s">
        <v>44</v>
      </c>
      <c r="N74" s="4" t="s">
        <v>44</v>
      </c>
      <c r="O74" s="4">
        <v>2.0199999999999996</v>
      </c>
      <c r="P74" s="4" t="s">
        <v>44</v>
      </c>
      <c r="Q74" s="4" t="s">
        <v>44</v>
      </c>
      <c r="R74" s="4">
        <v>0.7540499999999959</v>
      </c>
      <c r="S74" s="4" t="s">
        <v>44</v>
      </c>
      <c r="T74" s="4" t="s">
        <v>44</v>
      </c>
      <c r="U74" s="4" t="s">
        <v>44</v>
      </c>
      <c r="V74" s="4" t="s">
        <v>44</v>
      </c>
      <c r="W74" s="4" t="s">
        <v>44</v>
      </c>
      <c r="X74" s="4" t="s">
        <v>44</v>
      </c>
      <c r="Y74" s="4" t="s">
        <v>44</v>
      </c>
      <c r="Z74" s="4" t="s">
        <v>44</v>
      </c>
      <c r="AA74" s="4" t="s">
        <v>44</v>
      </c>
      <c r="AB74" s="4">
        <v>0.42019999999999413</v>
      </c>
      <c r="AC74" s="4" t="s">
        <v>44</v>
      </c>
      <c r="AD74" s="4">
        <v>3.1261499999999955</v>
      </c>
      <c r="AE74" s="4" t="s">
        <v>44</v>
      </c>
    </row>
    <row r="75" ht="15.75" customHeight="1">
      <c r="A75" s="4">
        <v>13.0</v>
      </c>
      <c r="B75" s="4" t="s">
        <v>44</v>
      </c>
      <c r="C75" s="4" t="s">
        <v>44</v>
      </c>
      <c r="D75" s="4" t="s">
        <v>44</v>
      </c>
      <c r="E75" s="4" t="s">
        <v>44</v>
      </c>
      <c r="F75" s="4">
        <v>0.3760000000000048</v>
      </c>
      <c r="G75" s="4" t="s">
        <v>44</v>
      </c>
      <c r="H75" s="4" t="s">
        <v>44</v>
      </c>
      <c r="I75" s="4">
        <v>1.065999999999999</v>
      </c>
      <c r="J75" s="4" t="s">
        <v>44</v>
      </c>
      <c r="K75" s="4" t="s">
        <v>44</v>
      </c>
      <c r="L75" s="4">
        <v>2.2835000000000143</v>
      </c>
      <c r="M75" s="4" t="s">
        <v>44</v>
      </c>
      <c r="N75" s="4" t="s">
        <v>44</v>
      </c>
      <c r="O75" s="4">
        <v>2.4319999999999915</v>
      </c>
      <c r="P75" s="4" t="s">
        <v>44</v>
      </c>
      <c r="Q75" s="4" t="s">
        <v>44</v>
      </c>
      <c r="R75" s="4">
        <v>2.073549999999994</v>
      </c>
      <c r="S75" s="4" t="s">
        <v>44</v>
      </c>
      <c r="T75" s="4" t="s">
        <v>44</v>
      </c>
      <c r="U75" s="4" t="s">
        <v>44</v>
      </c>
      <c r="V75" s="4" t="s">
        <v>44</v>
      </c>
      <c r="W75" s="4">
        <v>0.49580000000000624</v>
      </c>
      <c r="X75" s="4" t="s">
        <v>44</v>
      </c>
      <c r="Y75" s="4" t="s">
        <v>44</v>
      </c>
      <c r="Z75" s="4" t="s">
        <v>44</v>
      </c>
      <c r="AA75" s="4" t="s">
        <v>44</v>
      </c>
      <c r="AB75" s="4">
        <v>2.493249999999989</v>
      </c>
      <c r="AC75" s="4" t="s">
        <v>44</v>
      </c>
      <c r="AD75" s="4">
        <v>2.235349999999997</v>
      </c>
      <c r="AE75" s="4" t="s">
        <v>44</v>
      </c>
    </row>
    <row r="76" ht="15.75" customHeight="1">
      <c r="A76" s="4">
        <v>14.0</v>
      </c>
      <c r="B76" s="4" t="s">
        <v>44</v>
      </c>
      <c r="C76" s="4" t="s">
        <v>44</v>
      </c>
      <c r="D76" s="4" t="s">
        <v>44</v>
      </c>
      <c r="E76" s="4" t="s">
        <v>44</v>
      </c>
      <c r="F76" s="4">
        <v>0.8180000000000085</v>
      </c>
      <c r="G76" s="4">
        <v>0.20399999999998997</v>
      </c>
      <c r="H76" s="4" t="s">
        <v>44</v>
      </c>
      <c r="I76" s="4">
        <v>1.0189999999999948</v>
      </c>
      <c r="J76" s="4" t="s">
        <v>44</v>
      </c>
      <c r="K76" s="4" t="s">
        <v>44</v>
      </c>
      <c r="L76" s="4" t="s">
        <v>44</v>
      </c>
      <c r="M76" s="4" t="s">
        <v>44</v>
      </c>
      <c r="N76" s="4" t="s">
        <v>44</v>
      </c>
      <c r="O76" s="4">
        <v>2.17250000000001</v>
      </c>
      <c r="P76" s="4" t="s">
        <v>44</v>
      </c>
      <c r="Q76" s="4" t="s">
        <v>44</v>
      </c>
      <c r="R76" s="4">
        <v>1.5604999999999762</v>
      </c>
      <c r="S76" s="4" t="s">
        <v>44</v>
      </c>
      <c r="T76" s="4" t="s">
        <v>44</v>
      </c>
      <c r="U76" s="4" t="s">
        <v>44</v>
      </c>
      <c r="V76" s="4" t="s">
        <v>44</v>
      </c>
      <c r="W76" s="4">
        <v>2.854549999999989</v>
      </c>
      <c r="X76" s="4" t="s">
        <v>44</v>
      </c>
      <c r="Y76" s="4" t="s">
        <v>44</v>
      </c>
      <c r="Z76" s="4">
        <v>1.4614499999999992</v>
      </c>
      <c r="AA76" s="4" t="s">
        <v>44</v>
      </c>
      <c r="AB76" s="4">
        <v>0.5093499999999977</v>
      </c>
      <c r="AC76" s="4" t="s">
        <v>44</v>
      </c>
      <c r="AD76" s="4">
        <v>0.6638499999999965</v>
      </c>
      <c r="AE76" s="4" t="s">
        <v>44</v>
      </c>
    </row>
    <row r="77" ht="15.75" customHeight="1">
      <c r="A77" s="4">
        <v>15.0</v>
      </c>
      <c r="B77" s="4" t="s">
        <v>44</v>
      </c>
      <c r="C77" s="4" t="s">
        <v>44</v>
      </c>
      <c r="D77" s="4" t="s">
        <v>44</v>
      </c>
      <c r="E77" s="4">
        <v>2.7360000000000007</v>
      </c>
      <c r="F77" s="4">
        <v>0.7655000000000136</v>
      </c>
      <c r="G77" s="4" t="s">
        <v>44</v>
      </c>
      <c r="H77" s="4" t="s">
        <v>44</v>
      </c>
      <c r="I77" s="4" t="s">
        <v>44</v>
      </c>
      <c r="J77" s="4" t="s">
        <v>44</v>
      </c>
      <c r="K77" s="4" t="s">
        <v>44</v>
      </c>
      <c r="L77" s="4">
        <v>0.33050000000000423</v>
      </c>
      <c r="M77" s="4" t="s">
        <v>44</v>
      </c>
      <c r="N77" s="4" t="s">
        <v>44</v>
      </c>
      <c r="O77" s="4">
        <v>2.094500000000007</v>
      </c>
      <c r="P77" s="4" t="s">
        <v>44</v>
      </c>
      <c r="Q77" s="4" t="s">
        <v>44</v>
      </c>
      <c r="R77" s="4" t="s">
        <v>44</v>
      </c>
      <c r="S77" s="4" t="s">
        <v>44</v>
      </c>
      <c r="T77" s="4" t="s">
        <v>44</v>
      </c>
      <c r="U77" s="4" t="s">
        <v>44</v>
      </c>
      <c r="V77" s="4" t="s">
        <v>44</v>
      </c>
      <c r="W77" s="4">
        <v>3.4962500000000034</v>
      </c>
      <c r="X77" s="4" t="s">
        <v>44</v>
      </c>
      <c r="Y77" s="4" t="s">
        <v>44</v>
      </c>
      <c r="Z77" s="4" t="s">
        <v>44</v>
      </c>
      <c r="AA77" s="4" t="s">
        <v>44</v>
      </c>
      <c r="AB77" s="4" t="s">
        <v>44</v>
      </c>
      <c r="AC77" s="4" t="s">
        <v>44</v>
      </c>
      <c r="AD77" s="4">
        <v>2.623499999999993</v>
      </c>
      <c r="AE77" s="4" t="s">
        <v>44</v>
      </c>
    </row>
    <row r="78" ht="15.75" customHeight="1">
      <c r="A78" s="4">
        <v>16.0</v>
      </c>
      <c r="B78" s="4" t="s">
        <v>44</v>
      </c>
      <c r="C78" s="4" t="s">
        <v>44</v>
      </c>
      <c r="D78" s="4" t="s">
        <v>44</v>
      </c>
      <c r="E78" s="4">
        <v>1.398500000000002</v>
      </c>
      <c r="F78" s="4" t="s">
        <v>44</v>
      </c>
      <c r="G78" s="4" t="s">
        <v>44</v>
      </c>
      <c r="H78" s="4">
        <v>2.6620000000000026</v>
      </c>
      <c r="I78" s="4">
        <v>1.3549999999999933</v>
      </c>
      <c r="J78" s="4">
        <v>1.2325000000000017</v>
      </c>
      <c r="K78" s="4">
        <v>1.470500000000012</v>
      </c>
      <c r="L78" s="4">
        <v>1.4489999999999874</v>
      </c>
      <c r="M78" s="4" t="s">
        <v>44</v>
      </c>
      <c r="N78" s="4" t="s">
        <v>44</v>
      </c>
      <c r="O78" s="4" t="s">
        <v>44</v>
      </c>
      <c r="P78" s="4" t="s">
        <v>44</v>
      </c>
      <c r="Q78" s="4" t="s">
        <v>44</v>
      </c>
      <c r="R78" s="4" t="s">
        <v>44</v>
      </c>
      <c r="S78" s="4" t="s">
        <v>44</v>
      </c>
      <c r="T78" s="4" t="s">
        <v>44</v>
      </c>
      <c r="U78" s="4" t="s">
        <v>44</v>
      </c>
      <c r="V78" s="4" t="s">
        <v>44</v>
      </c>
      <c r="W78" s="4">
        <v>3.314200000000014</v>
      </c>
      <c r="X78" s="4" t="s">
        <v>44</v>
      </c>
      <c r="Y78" s="4" t="s">
        <v>44</v>
      </c>
      <c r="Z78" s="4" t="s">
        <v>44</v>
      </c>
      <c r="AA78" s="4" t="s">
        <v>44</v>
      </c>
      <c r="AB78" s="4" t="s">
        <v>44</v>
      </c>
      <c r="AC78" s="4" t="s">
        <v>44</v>
      </c>
      <c r="AD78" s="4">
        <v>1.0987499999999955</v>
      </c>
      <c r="AE78" s="4" t="s">
        <v>44</v>
      </c>
    </row>
    <row r="79" ht="15.75" customHeight="1">
      <c r="A79" s="4">
        <v>17.0</v>
      </c>
      <c r="B79" s="4" t="s">
        <v>44</v>
      </c>
      <c r="C79" s="4" t="s">
        <v>44</v>
      </c>
      <c r="D79" s="4" t="s">
        <v>44</v>
      </c>
      <c r="E79" s="4">
        <v>0.4950000000000081</v>
      </c>
      <c r="F79" s="4" t="s">
        <v>44</v>
      </c>
      <c r="G79" s="4">
        <v>0.8679999999999986</v>
      </c>
      <c r="H79" s="4" t="s">
        <v>44</v>
      </c>
      <c r="I79" s="4">
        <v>1.3164999999999942</v>
      </c>
      <c r="J79" s="4">
        <v>0.7684999999999924</v>
      </c>
      <c r="K79" s="4">
        <v>1.0210000000000043</v>
      </c>
      <c r="L79" s="4">
        <v>1.1139999999999937</v>
      </c>
      <c r="M79" s="4" t="s">
        <v>44</v>
      </c>
      <c r="N79" s="4" t="s">
        <v>44</v>
      </c>
      <c r="O79" s="4" t="s">
        <v>44</v>
      </c>
      <c r="P79" s="4" t="s">
        <v>44</v>
      </c>
      <c r="Q79" s="4" t="s">
        <v>44</v>
      </c>
      <c r="R79" s="4" t="s">
        <v>44</v>
      </c>
      <c r="S79" s="4" t="s">
        <v>44</v>
      </c>
      <c r="T79" s="4" t="s">
        <v>44</v>
      </c>
      <c r="U79" s="4" t="s">
        <v>44</v>
      </c>
      <c r="V79" s="4" t="s">
        <v>44</v>
      </c>
      <c r="W79" s="4">
        <v>1.0616500000000038</v>
      </c>
      <c r="X79" s="4" t="s">
        <v>44</v>
      </c>
      <c r="Y79" s="4" t="s">
        <v>44</v>
      </c>
      <c r="Z79" s="4">
        <v>0.9809199999999976</v>
      </c>
      <c r="AA79" s="4" t="s">
        <v>44</v>
      </c>
      <c r="AB79" s="4" t="s">
        <v>44</v>
      </c>
      <c r="AC79" s="4" t="s">
        <v>44</v>
      </c>
      <c r="AD79" s="4" t="s">
        <v>44</v>
      </c>
      <c r="AE79" s="4" t="s">
        <v>44</v>
      </c>
    </row>
    <row r="80" ht="15.75" customHeight="1">
      <c r="A80" s="4">
        <v>18.0</v>
      </c>
      <c r="B80" s="4" t="s">
        <v>44</v>
      </c>
      <c r="C80" s="4" t="s">
        <v>44</v>
      </c>
      <c r="D80" s="4" t="s">
        <v>44</v>
      </c>
      <c r="E80" s="4">
        <v>0.6434999999999924</v>
      </c>
      <c r="F80" s="4" t="s">
        <v>44</v>
      </c>
      <c r="G80" s="4" t="s">
        <v>44</v>
      </c>
      <c r="H80" s="4" t="s">
        <v>44</v>
      </c>
      <c r="I80" s="4">
        <v>0.08549999999999969</v>
      </c>
      <c r="J80" s="4">
        <v>0.8549999999999933</v>
      </c>
      <c r="K80" s="4">
        <v>2.440999999999999</v>
      </c>
      <c r="L80" s="4" t="s">
        <v>44</v>
      </c>
      <c r="M80" s="4" t="s">
        <v>44</v>
      </c>
      <c r="N80" s="4" t="s">
        <v>44</v>
      </c>
      <c r="O80" s="4" t="s">
        <v>44</v>
      </c>
      <c r="P80" s="4" t="s">
        <v>44</v>
      </c>
      <c r="Q80" s="4" t="s">
        <v>44</v>
      </c>
      <c r="R80" s="4" t="s">
        <v>44</v>
      </c>
      <c r="S80" s="4" t="s">
        <v>44</v>
      </c>
      <c r="T80" s="4" t="s">
        <v>44</v>
      </c>
      <c r="U80" s="4" t="s">
        <v>44</v>
      </c>
      <c r="V80" s="4" t="s">
        <v>44</v>
      </c>
      <c r="W80" s="4">
        <v>1.8244500000000023</v>
      </c>
      <c r="X80" s="4">
        <v>0.9363499999999902</v>
      </c>
      <c r="Y80" s="4" t="s">
        <v>44</v>
      </c>
      <c r="Z80" s="4">
        <v>0.002275000000015126</v>
      </c>
      <c r="AA80" s="4" t="s">
        <v>44</v>
      </c>
      <c r="AB80" s="4" t="s">
        <v>44</v>
      </c>
      <c r="AC80" s="4" t="s">
        <v>44</v>
      </c>
      <c r="AD80" s="4" t="s">
        <v>44</v>
      </c>
      <c r="AE80" s="4" t="s">
        <v>44</v>
      </c>
    </row>
    <row r="81" ht="15.75" customHeight="1">
      <c r="A81" s="4">
        <v>19.0</v>
      </c>
      <c r="B81" s="4" t="s">
        <v>44</v>
      </c>
      <c r="C81" s="4" t="s">
        <v>44</v>
      </c>
      <c r="D81" s="4" t="s">
        <v>44</v>
      </c>
      <c r="E81" s="4">
        <v>1.5494999999999912</v>
      </c>
      <c r="F81" s="4" t="s">
        <v>44</v>
      </c>
      <c r="G81" s="4" t="s">
        <v>44</v>
      </c>
      <c r="H81" s="4" t="s">
        <v>44</v>
      </c>
      <c r="I81" s="4" t="s">
        <v>44</v>
      </c>
      <c r="J81" s="4">
        <v>2.254999999999985</v>
      </c>
      <c r="K81" s="4">
        <v>2.306000000000001</v>
      </c>
      <c r="L81" s="4">
        <v>0.6350000000000016</v>
      </c>
      <c r="M81" s="4" t="s">
        <v>44</v>
      </c>
      <c r="N81" s="4" t="s">
        <v>44</v>
      </c>
      <c r="O81" s="4" t="s">
        <v>44</v>
      </c>
      <c r="P81" s="4" t="s">
        <v>44</v>
      </c>
      <c r="Q81" s="4" t="s">
        <v>44</v>
      </c>
      <c r="R81" s="4" t="s">
        <v>44</v>
      </c>
      <c r="S81" s="4" t="s">
        <v>44</v>
      </c>
      <c r="T81" s="4">
        <v>0.2274500000000046</v>
      </c>
      <c r="U81" s="4" t="s">
        <v>44</v>
      </c>
      <c r="V81" s="4" t="s">
        <v>44</v>
      </c>
      <c r="W81" s="4" t="s">
        <v>44</v>
      </c>
      <c r="X81" s="4">
        <v>1.6399500000000131</v>
      </c>
      <c r="Y81" s="4" t="s">
        <v>44</v>
      </c>
      <c r="Z81" s="4">
        <v>0.6981250000000045</v>
      </c>
      <c r="AA81" s="4" t="s">
        <v>44</v>
      </c>
      <c r="AB81" s="4" t="s">
        <v>44</v>
      </c>
      <c r="AC81" s="4" t="s">
        <v>44</v>
      </c>
      <c r="AD81" s="4">
        <v>0.7401499999999999</v>
      </c>
      <c r="AE81" s="4" t="s">
        <v>44</v>
      </c>
    </row>
    <row r="82" ht="15.75" customHeight="1">
      <c r="A82" s="4">
        <v>20.0</v>
      </c>
      <c r="B82" s="4" t="s">
        <v>44</v>
      </c>
      <c r="C82" s="4" t="s">
        <v>44</v>
      </c>
      <c r="D82" s="4">
        <v>0.07149999999998968</v>
      </c>
      <c r="E82" s="4" t="s">
        <v>44</v>
      </c>
      <c r="F82" s="4" t="s">
        <v>44</v>
      </c>
      <c r="G82" s="4" t="s">
        <v>44</v>
      </c>
      <c r="H82" s="4" t="s">
        <v>44</v>
      </c>
      <c r="I82" s="4" t="s">
        <v>44</v>
      </c>
      <c r="J82" s="4">
        <v>2.1604999999999954</v>
      </c>
      <c r="K82" s="4">
        <v>2.3365000000000045</v>
      </c>
      <c r="L82" s="4">
        <v>1.401499999999995</v>
      </c>
      <c r="M82" s="4" t="s">
        <v>44</v>
      </c>
      <c r="N82" s="4" t="s">
        <v>44</v>
      </c>
      <c r="O82" s="4" t="s">
        <v>44</v>
      </c>
      <c r="P82" s="4" t="s">
        <v>44</v>
      </c>
      <c r="Q82" s="4" t="s">
        <v>44</v>
      </c>
      <c r="R82" s="4" t="s">
        <v>44</v>
      </c>
      <c r="S82" s="4" t="s">
        <v>44</v>
      </c>
      <c r="T82" s="4" t="s">
        <v>44</v>
      </c>
      <c r="U82" s="4" t="s">
        <v>44</v>
      </c>
      <c r="V82" s="4" t="s">
        <v>44</v>
      </c>
      <c r="W82" s="4">
        <v>1.6429500000000026</v>
      </c>
      <c r="X82" s="4">
        <v>1.438849999999988</v>
      </c>
      <c r="Y82" s="4" t="s">
        <v>44</v>
      </c>
      <c r="Z82" s="4" t="s">
        <v>44</v>
      </c>
      <c r="AA82" s="4" t="s">
        <v>44</v>
      </c>
      <c r="AB82" s="4" t="s">
        <v>44</v>
      </c>
      <c r="AC82" s="4" t="s">
        <v>44</v>
      </c>
      <c r="AD82" s="4">
        <v>1.7561999999999927</v>
      </c>
      <c r="AE82" s="4" t="s">
        <v>44</v>
      </c>
    </row>
    <row r="83" ht="15.75" customHeight="1">
      <c r="A83" s="4">
        <v>21.0</v>
      </c>
      <c r="B83" s="4" t="s">
        <v>44</v>
      </c>
      <c r="C83" s="4" t="s">
        <v>44</v>
      </c>
      <c r="D83" s="4" t="s">
        <v>44</v>
      </c>
      <c r="E83" s="4">
        <v>0.2770000000000117</v>
      </c>
      <c r="F83" s="4" t="s">
        <v>44</v>
      </c>
      <c r="G83" s="4" t="s">
        <v>44</v>
      </c>
      <c r="H83" s="4" t="s">
        <v>44</v>
      </c>
      <c r="I83" s="4" t="s">
        <v>44</v>
      </c>
      <c r="J83" s="4">
        <v>1.810499999999994</v>
      </c>
      <c r="K83" s="4">
        <v>0.011500000000008725</v>
      </c>
      <c r="L83" s="4">
        <v>4.107999999999993</v>
      </c>
      <c r="M83" s="4" t="s">
        <v>44</v>
      </c>
      <c r="N83" s="4" t="s">
        <v>44</v>
      </c>
      <c r="O83" s="4" t="s">
        <v>44</v>
      </c>
      <c r="P83" s="4" t="s">
        <v>44</v>
      </c>
      <c r="Q83" s="4" t="s">
        <v>44</v>
      </c>
      <c r="R83" s="4" t="s">
        <v>44</v>
      </c>
      <c r="S83" s="4" t="s">
        <v>44</v>
      </c>
      <c r="T83" s="4" t="s">
        <v>44</v>
      </c>
      <c r="U83" s="4" t="s">
        <v>44</v>
      </c>
      <c r="V83" s="4" t="s">
        <v>44</v>
      </c>
      <c r="W83" s="4">
        <v>1.229499999999998</v>
      </c>
      <c r="X83" s="4">
        <v>1.6970999999999776</v>
      </c>
      <c r="Y83" s="4" t="s">
        <v>44</v>
      </c>
      <c r="Z83" s="4" t="s">
        <v>44</v>
      </c>
      <c r="AA83" s="4" t="s">
        <v>44</v>
      </c>
      <c r="AB83" s="4" t="s">
        <v>44</v>
      </c>
      <c r="AC83" s="4" t="s">
        <v>44</v>
      </c>
      <c r="AD83" s="4">
        <v>1.1408999999999736</v>
      </c>
      <c r="AE83" s="4" t="s">
        <v>44</v>
      </c>
    </row>
    <row r="84" ht="15.75" customHeight="1">
      <c r="A84" s="4">
        <v>22.0</v>
      </c>
      <c r="B84" s="4" t="s">
        <v>44</v>
      </c>
      <c r="C84" s="4" t="s">
        <v>44</v>
      </c>
      <c r="D84" s="4" t="s">
        <v>44</v>
      </c>
      <c r="E84" s="4">
        <v>2.455499999999997</v>
      </c>
      <c r="F84" s="4" t="s">
        <v>44</v>
      </c>
      <c r="G84" s="4" t="s">
        <v>44</v>
      </c>
      <c r="H84" s="4" t="s">
        <v>44</v>
      </c>
      <c r="I84" s="4" t="s">
        <v>44</v>
      </c>
      <c r="J84" s="4">
        <v>0.9165000000000028</v>
      </c>
      <c r="K84" s="4">
        <v>3.708000000000002</v>
      </c>
      <c r="L84" s="4">
        <v>2.8469999999999906</v>
      </c>
      <c r="M84" s="4" t="s">
        <v>44</v>
      </c>
      <c r="N84" s="4" t="s">
        <v>44</v>
      </c>
      <c r="O84" s="4" t="s">
        <v>44</v>
      </c>
      <c r="P84" s="4" t="s">
        <v>44</v>
      </c>
      <c r="Q84" s="4" t="s">
        <v>44</v>
      </c>
      <c r="R84" s="4" t="s">
        <v>44</v>
      </c>
      <c r="S84" s="4" t="s">
        <v>44</v>
      </c>
      <c r="T84" s="4">
        <v>1.1098500000000087</v>
      </c>
      <c r="U84" s="4" t="s">
        <v>44</v>
      </c>
      <c r="V84" s="4" t="s">
        <v>44</v>
      </c>
      <c r="W84" s="4">
        <v>1.2511600000000023</v>
      </c>
      <c r="X84" s="4">
        <v>2.3579500000000166</v>
      </c>
      <c r="Y84" s="4" t="s">
        <v>44</v>
      </c>
      <c r="Z84" s="4" t="s">
        <v>44</v>
      </c>
      <c r="AA84" s="4" t="s">
        <v>44</v>
      </c>
      <c r="AB84" s="4" t="s">
        <v>44</v>
      </c>
      <c r="AC84" s="4" t="s">
        <v>44</v>
      </c>
      <c r="AD84" s="4" t="s">
        <v>44</v>
      </c>
      <c r="AE84" s="4" t="s">
        <v>44</v>
      </c>
    </row>
    <row r="85" ht="15.75" customHeight="1">
      <c r="A85" s="4">
        <v>23.0</v>
      </c>
      <c r="B85" s="4" t="s">
        <v>44</v>
      </c>
      <c r="C85" s="4" t="s">
        <v>44</v>
      </c>
      <c r="D85" s="4" t="s">
        <v>44</v>
      </c>
      <c r="E85" s="4" t="s">
        <v>44</v>
      </c>
      <c r="F85" s="4" t="s">
        <v>44</v>
      </c>
      <c r="G85" s="4" t="s">
        <v>44</v>
      </c>
      <c r="H85" s="4" t="s">
        <v>44</v>
      </c>
      <c r="I85" s="4" t="s">
        <v>44</v>
      </c>
      <c r="J85" s="4">
        <v>1.2945000000000029</v>
      </c>
      <c r="K85" s="4">
        <v>0.5305000000000071</v>
      </c>
      <c r="L85" s="4">
        <v>1.7980000000000054</v>
      </c>
      <c r="M85" s="4" t="s">
        <v>44</v>
      </c>
      <c r="N85" s="4" t="s">
        <v>44</v>
      </c>
      <c r="O85" s="4" t="s">
        <v>44</v>
      </c>
      <c r="P85" s="4" t="s">
        <v>44</v>
      </c>
      <c r="Q85" s="4" t="s">
        <v>44</v>
      </c>
      <c r="R85" s="4" t="s">
        <v>44</v>
      </c>
      <c r="S85" s="4" t="s">
        <v>44</v>
      </c>
      <c r="T85" s="4">
        <v>1.6180499999999824</v>
      </c>
      <c r="U85" s="4" t="s">
        <v>44</v>
      </c>
      <c r="V85" s="4" t="s">
        <v>44</v>
      </c>
      <c r="W85" s="4">
        <v>0.11426500000001383</v>
      </c>
      <c r="X85" s="4">
        <v>0.2761799999999859</v>
      </c>
      <c r="Y85" s="4" t="s">
        <v>44</v>
      </c>
      <c r="Z85" s="4">
        <v>0.08169999999997302</v>
      </c>
      <c r="AA85" s="4">
        <v>0.03170000000000428</v>
      </c>
      <c r="AB85" s="4" t="s">
        <v>44</v>
      </c>
      <c r="AC85" s="4" t="s">
        <v>44</v>
      </c>
      <c r="AD85" s="4" t="s">
        <v>44</v>
      </c>
      <c r="AE85" s="4" t="s">
        <v>44</v>
      </c>
    </row>
    <row r="86" ht="15.75" customHeight="1">
      <c r="A86" s="4">
        <v>24.0</v>
      </c>
      <c r="B86" s="4">
        <v>4.260000000000002</v>
      </c>
      <c r="C86" s="4" t="s">
        <v>44</v>
      </c>
      <c r="D86" s="4" t="s">
        <v>44</v>
      </c>
      <c r="E86" s="4" t="s">
        <v>44</v>
      </c>
      <c r="F86" s="4">
        <v>0.5115000000000158</v>
      </c>
      <c r="G86" s="4" t="s">
        <v>44</v>
      </c>
      <c r="H86" s="4" t="s">
        <v>44</v>
      </c>
      <c r="I86" s="4" t="s">
        <v>44</v>
      </c>
      <c r="J86" s="4" t="s">
        <v>44</v>
      </c>
      <c r="K86" s="4">
        <v>0.13950000000000173</v>
      </c>
      <c r="L86" s="4" t="s">
        <v>44</v>
      </c>
      <c r="M86" s="4" t="s">
        <v>44</v>
      </c>
      <c r="N86" s="4" t="s">
        <v>44</v>
      </c>
      <c r="O86" s="4" t="s">
        <v>44</v>
      </c>
      <c r="P86" s="4" t="s">
        <v>44</v>
      </c>
      <c r="Q86" s="4" t="s">
        <v>44</v>
      </c>
      <c r="R86" s="4" t="s">
        <v>44</v>
      </c>
      <c r="S86" s="4" t="s">
        <v>44</v>
      </c>
      <c r="T86" s="4">
        <v>2.6702499999999816</v>
      </c>
      <c r="U86" s="4" t="s">
        <v>44</v>
      </c>
      <c r="V86" s="4" t="s">
        <v>44</v>
      </c>
      <c r="W86" s="4">
        <v>3.840454999999988</v>
      </c>
      <c r="X86" s="4">
        <v>3.3515850000000036</v>
      </c>
      <c r="Y86" s="4">
        <v>1.129999999999999</v>
      </c>
      <c r="Z86" s="4">
        <v>0.43450000000000344</v>
      </c>
      <c r="AA86" s="4">
        <v>3.411550000000009</v>
      </c>
      <c r="AB86" s="4">
        <v>0.9255500000000119</v>
      </c>
      <c r="AC86" s="4" t="s">
        <v>44</v>
      </c>
      <c r="AD86" s="4" t="s">
        <v>44</v>
      </c>
      <c r="AE86" s="4" t="s">
        <v>44</v>
      </c>
    </row>
    <row r="87" ht="15.75" customHeight="1">
      <c r="A87" s="4">
        <v>25.0</v>
      </c>
      <c r="B87" s="4">
        <v>2.423999999999996</v>
      </c>
      <c r="C87" s="4" t="s">
        <v>44</v>
      </c>
      <c r="D87" s="4" t="s">
        <v>44</v>
      </c>
      <c r="E87" s="4" t="s">
        <v>44</v>
      </c>
      <c r="F87" s="4">
        <v>3.868999999999989</v>
      </c>
      <c r="G87" s="4" t="s">
        <v>44</v>
      </c>
      <c r="H87" s="4">
        <v>0.2579999999999991</v>
      </c>
      <c r="I87" s="4" t="s">
        <v>44</v>
      </c>
      <c r="J87" s="4">
        <v>0.44750000000000156</v>
      </c>
      <c r="K87" s="4">
        <v>1.0250000000000092</v>
      </c>
      <c r="L87" s="4" t="s">
        <v>44</v>
      </c>
      <c r="M87" s="4" t="s">
        <v>44</v>
      </c>
      <c r="N87" s="4" t="s">
        <v>44</v>
      </c>
      <c r="O87" s="4" t="s">
        <v>44</v>
      </c>
      <c r="P87" s="4" t="s">
        <v>44</v>
      </c>
      <c r="Q87" s="4" t="s">
        <v>44</v>
      </c>
      <c r="R87" s="4" t="s">
        <v>44</v>
      </c>
      <c r="S87" s="4" t="s">
        <v>44</v>
      </c>
      <c r="T87" s="4">
        <v>0.6077499999999816</v>
      </c>
      <c r="U87" s="4" t="s">
        <v>44</v>
      </c>
      <c r="V87" s="4">
        <v>0.2630000000000017</v>
      </c>
      <c r="W87" s="4" t="s">
        <v>44</v>
      </c>
      <c r="X87" s="4">
        <v>1.9974200000000017</v>
      </c>
      <c r="Y87" s="4">
        <v>1.129999999999999</v>
      </c>
      <c r="Z87" s="4">
        <v>0.8959500000000027</v>
      </c>
      <c r="AA87" s="4">
        <v>2.637400000000003</v>
      </c>
      <c r="AB87" s="4">
        <v>3.5202000000000133</v>
      </c>
      <c r="AC87" s="4" t="s">
        <v>44</v>
      </c>
      <c r="AD87" s="4" t="s">
        <v>44</v>
      </c>
      <c r="AE87" s="4" t="s">
        <v>44</v>
      </c>
    </row>
    <row r="88" ht="15.75" customHeight="1"/>
    <row r="89" ht="15.75" customHeight="1">
      <c r="B89" s="4">
        <f t="shared" ref="B89:AE89" si="1">MAX(B2:B87)</f>
        <v>4.26</v>
      </c>
      <c r="C89" s="4">
        <f t="shared" si="1"/>
        <v>2.1635</v>
      </c>
      <c r="D89" s="4">
        <f t="shared" si="1"/>
        <v>3.55</v>
      </c>
      <c r="E89" s="4">
        <f t="shared" si="1"/>
        <v>5.913</v>
      </c>
      <c r="F89" s="4">
        <f t="shared" si="1"/>
        <v>6.24</v>
      </c>
      <c r="G89" s="4">
        <f t="shared" si="1"/>
        <v>5.092</v>
      </c>
      <c r="H89" s="4">
        <f t="shared" si="1"/>
        <v>3.243</v>
      </c>
      <c r="I89" s="4">
        <f t="shared" si="1"/>
        <v>3.5655</v>
      </c>
      <c r="J89" s="4">
        <f t="shared" si="1"/>
        <v>2.255</v>
      </c>
      <c r="K89" s="4">
        <f t="shared" si="1"/>
        <v>3.708</v>
      </c>
      <c r="L89" s="4">
        <f t="shared" si="1"/>
        <v>4.108</v>
      </c>
      <c r="M89" s="4">
        <f t="shared" si="1"/>
        <v>3.398</v>
      </c>
      <c r="N89" s="4">
        <f t="shared" si="1"/>
        <v>3.4405</v>
      </c>
      <c r="O89" s="4">
        <f t="shared" si="1"/>
        <v>4.415</v>
      </c>
      <c r="P89" s="4">
        <f t="shared" si="1"/>
        <v>3.724</v>
      </c>
      <c r="Q89" s="4">
        <f t="shared" si="1"/>
        <v>1.353</v>
      </c>
      <c r="R89" s="4">
        <f t="shared" si="1"/>
        <v>3.689205</v>
      </c>
      <c r="S89" s="4">
        <f t="shared" si="1"/>
        <v>2.70065</v>
      </c>
      <c r="T89" s="4">
        <f t="shared" si="1"/>
        <v>3.52765</v>
      </c>
      <c r="U89" s="4">
        <f t="shared" si="1"/>
        <v>3.2908</v>
      </c>
      <c r="V89" s="4">
        <f t="shared" si="1"/>
        <v>3.8671</v>
      </c>
      <c r="W89" s="4">
        <f t="shared" si="1"/>
        <v>4.388635</v>
      </c>
      <c r="X89" s="4">
        <f t="shared" si="1"/>
        <v>3.351585</v>
      </c>
      <c r="Y89" s="4">
        <f t="shared" si="1"/>
        <v>3.1496</v>
      </c>
      <c r="Z89" s="4">
        <f t="shared" si="1"/>
        <v>3.28085</v>
      </c>
      <c r="AA89" s="4">
        <f t="shared" si="1"/>
        <v>3.47405</v>
      </c>
      <c r="AB89" s="4">
        <f t="shared" si="1"/>
        <v>4.0299</v>
      </c>
      <c r="AC89" s="4">
        <f t="shared" si="1"/>
        <v>2.78715</v>
      </c>
      <c r="AD89" s="4">
        <f t="shared" si="1"/>
        <v>3.12615</v>
      </c>
      <c r="AE89" s="4">
        <f t="shared" si="1"/>
        <v>3.6933</v>
      </c>
    </row>
    <row r="90" ht="15.75" customHeight="1">
      <c r="B90" s="4">
        <f t="shared" ref="B90:AE90" si="2">MIN(B3:B88)</f>
        <v>0.382</v>
      </c>
      <c r="C90" s="4">
        <f t="shared" si="2"/>
        <v>0.9715</v>
      </c>
      <c r="D90" s="4">
        <f t="shared" si="2"/>
        <v>0.031</v>
      </c>
      <c r="E90" s="4">
        <f t="shared" si="2"/>
        <v>0.0545</v>
      </c>
      <c r="F90" s="4">
        <f t="shared" si="2"/>
        <v>0.075</v>
      </c>
      <c r="G90" s="4">
        <f t="shared" si="2"/>
        <v>0.11</v>
      </c>
      <c r="H90" s="4">
        <f t="shared" si="2"/>
        <v>0.0375</v>
      </c>
      <c r="I90" s="4">
        <f t="shared" si="2"/>
        <v>0.072</v>
      </c>
      <c r="J90" s="4">
        <f t="shared" si="2"/>
        <v>0.0155</v>
      </c>
      <c r="K90" s="4">
        <f t="shared" si="2"/>
        <v>0.0115</v>
      </c>
      <c r="L90" s="4">
        <f t="shared" si="2"/>
        <v>0.0505</v>
      </c>
      <c r="M90" s="4">
        <f t="shared" si="2"/>
        <v>0.071</v>
      </c>
      <c r="N90" s="4">
        <f t="shared" si="2"/>
        <v>0.007</v>
      </c>
      <c r="O90" s="4">
        <f t="shared" si="2"/>
        <v>0.0145</v>
      </c>
      <c r="P90" s="4">
        <f t="shared" si="2"/>
        <v>0.0775</v>
      </c>
      <c r="Q90" s="4">
        <f t="shared" si="2"/>
        <v>0.003</v>
      </c>
      <c r="R90" s="4">
        <f t="shared" si="2"/>
        <v>0.1232</v>
      </c>
      <c r="S90" s="4">
        <f t="shared" si="2"/>
        <v>0.30085</v>
      </c>
      <c r="T90" s="4">
        <f t="shared" si="2"/>
        <v>0.22745</v>
      </c>
      <c r="U90" s="4">
        <f t="shared" si="2"/>
        <v>0.06505</v>
      </c>
      <c r="V90" s="4">
        <f t="shared" si="2"/>
        <v>0.2348</v>
      </c>
      <c r="W90" s="4">
        <f t="shared" si="2"/>
        <v>0.114265</v>
      </c>
      <c r="X90" s="4">
        <f t="shared" si="2"/>
        <v>0.27618</v>
      </c>
      <c r="Y90" s="4">
        <f t="shared" si="2"/>
        <v>0.3</v>
      </c>
      <c r="Z90" s="4">
        <f t="shared" si="2"/>
        <v>0.002275</v>
      </c>
      <c r="AA90" s="4">
        <f t="shared" si="2"/>
        <v>0.0227</v>
      </c>
      <c r="AB90" s="4">
        <f t="shared" si="2"/>
        <v>0.04252</v>
      </c>
      <c r="AC90" s="4">
        <f t="shared" si="2"/>
        <v>0.00805</v>
      </c>
      <c r="AD90" s="4">
        <f t="shared" si="2"/>
        <v>0.342355</v>
      </c>
      <c r="AE90" s="4">
        <f t="shared" si="2"/>
        <v>0.06405</v>
      </c>
    </row>
    <row r="91" ht="15.75" customHeight="1">
      <c r="B91" s="4">
        <v>1972.0</v>
      </c>
      <c r="C91" s="4">
        <v>1973.0</v>
      </c>
      <c r="D91" s="4">
        <v>1977.0</v>
      </c>
      <c r="E91" s="4">
        <v>1982.0</v>
      </c>
      <c r="F91" s="4">
        <v>1983.0</v>
      </c>
      <c r="G91" s="4">
        <v>1984.0</v>
      </c>
      <c r="H91" s="4">
        <v>1987.0</v>
      </c>
      <c r="I91" s="4">
        <v>1991.0</v>
      </c>
      <c r="J91" s="4">
        <v>1992.0</v>
      </c>
      <c r="K91" s="4">
        <v>1993.0</v>
      </c>
      <c r="L91" s="4">
        <v>1994.0</v>
      </c>
      <c r="M91" s="4">
        <v>1995.0</v>
      </c>
      <c r="N91" s="4">
        <v>1996.0</v>
      </c>
      <c r="O91" s="4">
        <v>1997.0</v>
      </c>
      <c r="P91" s="4">
        <v>1998.0</v>
      </c>
      <c r="Q91" s="4">
        <v>2002.0</v>
      </c>
      <c r="R91" s="4">
        <v>2004.0</v>
      </c>
      <c r="S91" s="4">
        <v>2005.0</v>
      </c>
      <c r="T91" s="4">
        <v>2006.0</v>
      </c>
      <c r="U91" s="4">
        <v>2007.0</v>
      </c>
      <c r="V91" s="4">
        <v>2008.0</v>
      </c>
      <c r="W91" s="4">
        <v>2009.0</v>
      </c>
      <c r="X91" s="4">
        <v>2010.0</v>
      </c>
      <c r="Y91" s="4">
        <v>2011.0</v>
      </c>
      <c r="Z91" s="4">
        <v>2012.0</v>
      </c>
      <c r="AA91" s="4">
        <v>2013.0</v>
      </c>
      <c r="AB91" s="4">
        <v>2014.0</v>
      </c>
      <c r="AC91" s="4">
        <v>2015.0</v>
      </c>
      <c r="AD91" s="4">
        <v>2016.0</v>
      </c>
      <c r="AE91" s="4">
        <v>2017.0</v>
      </c>
    </row>
    <row r="92" ht="15.75" customHeight="1">
      <c r="A92" s="4" t="s">
        <v>28</v>
      </c>
      <c r="B92" s="4">
        <v>40.0</v>
      </c>
      <c r="C92" s="4">
        <v>2921.0</v>
      </c>
      <c r="D92" s="4">
        <v>1376.0</v>
      </c>
      <c r="E92" s="4">
        <v>1147.0</v>
      </c>
      <c r="F92" s="4">
        <v>1640.0</v>
      </c>
      <c r="G92" s="4">
        <v>2580.0</v>
      </c>
      <c r="H92" s="4">
        <v>1280.0</v>
      </c>
      <c r="I92" s="4">
        <v>912.0</v>
      </c>
      <c r="J92" s="4">
        <v>350.0</v>
      </c>
      <c r="K92" s="4">
        <v>1331.0</v>
      </c>
      <c r="L92" s="4">
        <v>850.0</v>
      </c>
      <c r="M92" s="4">
        <v>592.0</v>
      </c>
      <c r="N92" s="4">
        <v>1341.0</v>
      </c>
      <c r="O92" s="4">
        <v>46.0</v>
      </c>
      <c r="P92" s="4">
        <v>686.0</v>
      </c>
      <c r="Q92" s="4">
        <v>82.0</v>
      </c>
      <c r="R92" s="4">
        <v>2038.0</v>
      </c>
      <c r="S92" s="4">
        <v>502.0</v>
      </c>
      <c r="T92" s="4">
        <v>738.0</v>
      </c>
      <c r="U92" s="4">
        <v>82.0</v>
      </c>
      <c r="V92" s="4">
        <v>1890.0</v>
      </c>
      <c r="W92" s="4">
        <v>819.0</v>
      </c>
      <c r="X92" s="4">
        <v>42.0</v>
      </c>
      <c r="Y92" s="4">
        <v>422.0</v>
      </c>
      <c r="Z92" s="4">
        <v>3176.0</v>
      </c>
      <c r="AA92" s="4">
        <v>3421.0</v>
      </c>
      <c r="AB92" s="4">
        <v>850.0</v>
      </c>
      <c r="AC92" s="4">
        <v>2968.0</v>
      </c>
      <c r="AD92" s="4">
        <v>2815.0</v>
      </c>
      <c r="AE92" s="4">
        <v>3065.0</v>
      </c>
    </row>
    <row r="93" ht="15.75" customHeight="1">
      <c r="A93" s="4" t="s">
        <v>29</v>
      </c>
      <c r="B93" s="4">
        <v>1.0</v>
      </c>
      <c r="C93" s="4">
        <v>4.0</v>
      </c>
      <c r="D93" s="4">
        <v>26.0</v>
      </c>
      <c r="E93" s="4">
        <v>22.0</v>
      </c>
      <c r="F93" s="4">
        <v>31.0</v>
      </c>
      <c r="G93" s="4">
        <v>50.0</v>
      </c>
      <c r="H93" s="4">
        <v>24.0</v>
      </c>
      <c r="I93" s="4">
        <v>16.0</v>
      </c>
      <c r="J93" s="4">
        <v>5.0</v>
      </c>
      <c r="K93" s="4">
        <v>25.0</v>
      </c>
      <c r="L93" s="4">
        <v>17.0</v>
      </c>
      <c r="M93" s="4">
        <v>11.0</v>
      </c>
      <c r="N93" s="4">
        <v>26.0</v>
      </c>
      <c r="O93" s="4">
        <v>1.0</v>
      </c>
      <c r="P93" s="4">
        <v>13.0</v>
      </c>
      <c r="Q93" s="4">
        <v>3.0</v>
      </c>
      <c r="R93" s="4">
        <v>39.0</v>
      </c>
      <c r="S93" s="4">
        <v>9.0</v>
      </c>
      <c r="T93" s="4">
        <v>14.0</v>
      </c>
      <c r="U93" s="4">
        <v>2.0</v>
      </c>
      <c r="V93" s="4">
        <v>34.0</v>
      </c>
      <c r="W93" s="4">
        <v>16.0</v>
      </c>
      <c r="X93" s="4">
        <v>1.0</v>
      </c>
      <c r="Y93" s="4">
        <v>7.0</v>
      </c>
      <c r="Z93" s="4">
        <v>61.0</v>
      </c>
      <c r="AA93" s="4">
        <v>66.0</v>
      </c>
      <c r="AB93" s="4">
        <v>16.0</v>
      </c>
      <c r="AC93" s="4">
        <v>57.0</v>
      </c>
      <c r="AD93" s="4">
        <v>54.0</v>
      </c>
      <c r="AE93" s="4">
        <v>59.0</v>
      </c>
    </row>
    <row r="94" ht="15.75" customHeight="1"/>
    <row r="95" ht="15.75" customHeight="1">
      <c r="A95" s="4">
        <f>CORREL(B93:AD93,B89:AD89)</f>
        <v>0.164422336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43"/>
    <col customWidth="1" min="2" max="2" width="19.86"/>
    <col customWidth="1" min="3" max="3" width="5.29"/>
    <col customWidth="1" min="4" max="4" width="4.71"/>
    <col customWidth="1" min="5" max="7" width="5.29"/>
    <col customWidth="1" min="8" max="8" width="5.14"/>
    <col customWidth="1" min="9" max="9" width="5.0"/>
    <col customWidth="1" min="10" max="10" width="4.86"/>
    <col customWidth="1" min="11" max="11" width="5.14"/>
    <col customWidth="1" min="12" max="13" width="4.71"/>
    <col customWidth="1" min="14" max="14" width="5.29"/>
    <col customWidth="1" min="15" max="15" width="5.14"/>
    <col customWidth="1" min="16" max="16" width="5.29"/>
    <col customWidth="1" min="17" max="17" width="5.0"/>
    <col customWidth="1" min="18" max="18" width="4.86"/>
    <col customWidth="1" min="19" max="19" width="5.0"/>
    <col customWidth="1" min="20" max="20" width="4.86"/>
    <col customWidth="1" min="21" max="21" width="4.71"/>
    <col customWidth="1" min="22" max="22" width="5.0"/>
    <col customWidth="1" min="23" max="23" width="5.29"/>
    <col customWidth="1" min="24" max="24" width="4.86"/>
    <col customWidth="1" min="25" max="26" width="4.71"/>
    <col customWidth="1" min="27" max="27" width="5.0"/>
    <col customWidth="1" min="28" max="28" width="4.71"/>
    <col customWidth="1" min="29" max="30" width="5.14"/>
    <col customWidth="1" min="31" max="31" width="8.71"/>
  </cols>
  <sheetData>
    <row r="1">
      <c r="A1" s="4" t="s">
        <v>22</v>
      </c>
      <c r="B1" s="4">
        <v>1972.0</v>
      </c>
      <c r="C1" s="4">
        <v>1973.0</v>
      </c>
      <c r="D1" s="4">
        <v>1977.0</v>
      </c>
      <c r="E1" s="4">
        <v>1982.0</v>
      </c>
      <c r="F1" s="4">
        <v>1983.0</v>
      </c>
      <c r="G1" s="4">
        <v>1984.0</v>
      </c>
      <c r="H1" s="4">
        <v>1987.0</v>
      </c>
      <c r="I1" s="4">
        <v>1991.0</v>
      </c>
      <c r="J1" s="4">
        <v>1992.0</v>
      </c>
      <c r="K1" s="4">
        <v>1993.0</v>
      </c>
      <c r="L1" s="4">
        <v>1994.0</v>
      </c>
      <c r="M1" s="4">
        <v>1995.0</v>
      </c>
      <c r="N1" s="4">
        <v>1996.0</v>
      </c>
      <c r="O1" s="4">
        <v>1997.0</v>
      </c>
      <c r="P1" s="4">
        <v>1998.0</v>
      </c>
      <c r="Q1" s="4">
        <v>2004.0</v>
      </c>
      <c r="R1" s="4">
        <v>2005.0</v>
      </c>
      <c r="S1" s="4">
        <v>2006.0</v>
      </c>
      <c r="T1" s="4">
        <v>2007.0</v>
      </c>
      <c r="U1" s="4">
        <v>2008.0</v>
      </c>
      <c r="V1" s="4">
        <v>2009.0</v>
      </c>
      <c r="W1" s="4">
        <v>2010.0</v>
      </c>
      <c r="X1" s="4">
        <v>2011.0</v>
      </c>
      <c r="Y1" s="4">
        <v>2012.0</v>
      </c>
      <c r="Z1" s="4">
        <v>2013.0</v>
      </c>
      <c r="AA1" s="4">
        <v>2014.0</v>
      </c>
      <c r="AB1" s="4">
        <v>2015.0</v>
      </c>
      <c r="AC1" s="4">
        <v>2016.0</v>
      </c>
      <c r="AD1" s="4">
        <v>2017.0</v>
      </c>
    </row>
    <row r="2">
      <c r="A2" s="4" t="s">
        <v>24</v>
      </c>
      <c r="B2" s="4">
        <v>6.0</v>
      </c>
      <c r="C2" s="4">
        <v>1.0</v>
      </c>
      <c r="D2" s="4">
        <v>7.0</v>
      </c>
      <c r="E2" s="4">
        <v>20.0</v>
      </c>
      <c r="F2" s="4">
        <v>18.0</v>
      </c>
      <c r="G2" s="4">
        <v>27.0</v>
      </c>
      <c r="H2" s="4">
        <v>22.0</v>
      </c>
      <c r="I2" s="4">
        <v>10.0</v>
      </c>
      <c r="J2" s="4">
        <v>1.0</v>
      </c>
      <c r="K2" s="4">
        <v>25.0</v>
      </c>
      <c r="L2" s="4">
        <v>16.0</v>
      </c>
      <c r="M2" s="4">
        <v>12.0</v>
      </c>
      <c r="N2" s="4">
        <v>20.0</v>
      </c>
      <c r="O2" s="4">
        <v>1.0</v>
      </c>
      <c r="P2" s="4">
        <v>22.0</v>
      </c>
      <c r="Q2" s="4">
        <v>11.0</v>
      </c>
      <c r="R2" s="4">
        <v>10.0</v>
      </c>
      <c r="S2" s="4">
        <v>11.0</v>
      </c>
      <c r="T2" s="4">
        <v>14.0</v>
      </c>
      <c r="U2" s="4">
        <v>20.0</v>
      </c>
      <c r="V2" s="4">
        <v>16.0</v>
      </c>
      <c r="W2" s="4">
        <v>1.0</v>
      </c>
      <c r="X2" s="4">
        <v>8.0</v>
      </c>
      <c r="Y2" s="4">
        <v>7.0</v>
      </c>
      <c r="Z2" s="4">
        <v>12.0</v>
      </c>
      <c r="AA2" s="4">
        <v>11.0</v>
      </c>
      <c r="AB2" s="4">
        <v>14.0</v>
      </c>
      <c r="AC2" s="4">
        <v>7.0</v>
      </c>
      <c r="AD2" s="4">
        <v>32.0</v>
      </c>
    </row>
    <row r="3">
      <c r="A3" s="4" t="s">
        <v>25</v>
      </c>
      <c r="B3" s="4">
        <v>5.0</v>
      </c>
      <c r="C3" s="4">
        <v>1.0</v>
      </c>
      <c r="D3" s="4">
        <v>8.0</v>
      </c>
      <c r="E3" s="4">
        <v>19.0</v>
      </c>
      <c r="F3" s="4">
        <v>17.0</v>
      </c>
      <c r="G3" s="4">
        <v>26.0</v>
      </c>
      <c r="H3" s="4">
        <v>22.0</v>
      </c>
      <c r="I3" s="4">
        <v>11.0</v>
      </c>
      <c r="J3" s="4">
        <v>1.0</v>
      </c>
      <c r="K3" s="4">
        <v>24.0</v>
      </c>
      <c r="L3" s="4">
        <v>15.0</v>
      </c>
      <c r="M3" s="4">
        <v>12.0</v>
      </c>
      <c r="N3" s="4">
        <v>19.0</v>
      </c>
      <c r="O3" s="4">
        <v>1.0</v>
      </c>
      <c r="P3" s="4">
        <v>23.0</v>
      </c>
      <c r="Q3" s="4">
        <v>10.0</v>
      </c>
      <c r="R3" s="4">
        <v>10.0</v>
      </c>
      <c r="S3" s="4">
        <v>12.0</v>
      </c>
      <c r="T3" s="4">
        <v>14.0</v>
      </c>
      <c r="U3" s="4">
        <v>21.0</v>
      </c>
      <c r="V3" s="4">
        <v>16.0</v>
      </c>
      <c r="W3" s="4">
        <v>0.0</v>
      </c>
      <c r="X3" s="4">
        <v>7.0</v>
      </c>
      <c r="Y3" s="4">
        <v>7.0</v>
      </c>
      <c r="Z3" s="4">
        <v>12.0</v>
      </c>
      <c r="AA3" s="4">
        <v>10.0</v>
      </c>
      <c r="AB3" s="4">
        <v>14.0</v>
      </c>
      <c r="AC3" s="4">
        <v>7.0</v>
      </c>
      <c r="AD3" s="4">
        <v>31.0</v>
      </c>
    </row>
    <row r="4">
      <c r="A4" s="4" t="s">
        <v>26</v>
      </c>
      <c r="B4" s="4">
        <v>8.0</v>
      </c>
      <c r="C4" s="4">
        <v>3.0</v>
      </c>
      <c r="D4" s="4">
        <v>13.0</v>
      </c>
      <c r="E4" s="4">
        <v>31.0</v>
      </c>
      <c r="F4" s="4">
        <v>23.0</v>
      </c>
      <c r="G4" s="4">
        <v>30.0</v>
      </c>
      <c r="H4" s="4">
        <v>26.0</v>
      </c>
      <c r="I4" s="4">
        <v>22.0</v>
      </c>
      <c r="J4" s="4">
        <v>10.0</v>
      </c>
      <c r="K4" s="4">
        <v>35.0</v>
      </c>
      <c r="L4" s="4">
        <v>27.0</v>
      </c>
      <c r="M4" s="4">
        <v>18.0</v>
      </c>
      <c r="N4" s="4">
        <v>20.0</v>
      </c>
      <c r="O4" s="4">
        <v>5.0</v>
      </c>
      <c r="P4" s="4">
        <v>28.0</v>
      </c>
      <c r="Q4" s="4">
        <v>16.0</v>
      </c>
      <c r="R4" s="4">
        <v>11.0</v>
      </c>
      <c r="S4" s="4">
        <v>20.0</v>
      </c>
      <c r="T4" s="4">
        <v>14.0</v>
      </c>
      <c r="U4" s="4">
        <v>24.0</v>
      </c>
      <c r="V4" s="4">
        <v>27.0</v>
      </c>
      <c r="W4" s="4">
        <v>9.0</v>
      </c>
      <c r="X4" s="4">
        <v>10.0</v>
      </c>
      <c r="Y4" s="4">
        <v>16.0</v>
      </c>
      <c r="Z4" s="4">
        <v>15.0</v>
      </c>
      <c r="AA4" s="4">
        <v>16.0</v>
      </c>
      <c r="AB4" s="4">
        <v>14.0</v>
      </c>
      <c r="AC4" s="4">
        <v>16.0</v>
      </c>
      <c r="AD4" s="4">
        <v>32.0</v>
      </c>
    </row>
    <row r="5">
      <c r="A5" s="4" t="s">
        <v>27</v>
      </c>
      <c r="B5" s="4">
        <v>10.0</v>
      </c>
      <c r="C5" s="4">
        <v>3.0</v>
      </c>
      <c r="D5" s="4">
        <v>17.0</v>
      </c>
      <c r="E5" s="4">
        <v>40.0</v>
      </c>
      <c r="F5" s="4">
        <v>30.0</v>
      </c>
      <c r="G5" s="4">
        <v>39.0</v>
      </c>
      <c r="H5" s="4">
        <v>26.0</v>
      </c>
      <c r="I5" s="4">
        <v>27.0</v>
      </c>
      <c r="J5" s="4">
        <v>13.0</v>
      </c>
      <c r="K5" s="4">
        <v>42.0</v>
      </c>
      <c r="L5" s="4">
        <v>37.0</v>
      </c>
      <c r="M5" s="4">
        <v>18.0</v>
      </c>
      <c r="N5" s="4">
        <v>23.0</v>
      </c>
      <c r="O5" s="4">
        <v>10.0</v>
      </c>
      <c r="P5" s="4">
        <v>28.0</v>
      </c>
      <c r="Q5" s="4">
        <v>20.0</v>
      </c>
      <c r="R5" s="4">
        <v>13.0</v>
      </c>
      <c r="S5" s="4">
        <v>24.0</v>
      </c>
      <c r="T5" s="4">
        <v>16.0</v>
      </c>
      <c r="U5" s="4">
        <v>26.0</v>
      </c>
      <c r="V5" s="4">
        <v>36.0</v>
      </c>
      <c r="W5" s="4">
        <v>17.0</v>
      </c>
      <c r="X5" s="4">
        <v>11.0</v>
      </c>
      <c r="Y5" s="4">
        <v>27.0</v>
      </c>
      <c r="Z5" s="4">
        <v>16.0</v>
      </c>
      <c r="AA5" s="4">
        <v>22.0</v>
      </c>
      <c r="AB5" s="4">
        <v>14.0</v>
      </c>
      <c r="AC5" s="4">
        <v>25.0</v>
      </c>
      <c r="AD5" s="4">
        <v>38.0</v>
      </c>
    </row>
    <row r="6">
      <c r="A6" s="29" t="s">
        <v>28</v>
      </c>
      <c r="B6" s="29">
        <v>40.0</v>
      </c>
      <c r="C6" s="29">
        <v>2421.0</v>
      </c>
      <c r="D6" s="29">
        <v>1376.0</v>
      </c>
      <c r="E6" s="29">
        <v>1147.0</v>
      </c>
      <c r="F6" s="29">
        <v>1640.0</v>
      </c>
      <c r="G6" s="29">
        <v>2580.0</v>
      </c>
      <c r="H6" s="29">
        <v>1280.0</v>
      </c>
      <c r="I6" s="29">
        <v>912.0</v>
      </c>
      <c r="J6" s="29">
        <v>350.0</v>
      </c>
      <c r="K6" s="29">
        <v>1331.0</v>
      </c>
      <c r="L6" s="29">
        <v>850.0</v>
      </c>
      <c r="M6" s="29">
        <v>592.0</v>
      </c>
      <c r="N6" s="29">
        <v>1341.0</v>
      </c>
      <c r="O6" s="29">
        <v>46.0</v>
      </c>
      <c r="P6" s="29">
        <v>686.0</v>
      </c>
      <c r="Q6" s="29">
        <v>3138.0</v>
      </c>
      <c r="R6" s="29">
        <v>502.0</v>
      </c>
      <c r="S6" s="29">
        <v>738.0</v>
      </c>
      <c r="T6" s="29">
        <v>82.0</v>
      </c>
      <c r="U6" s="29">
        <v>1890.0</v>
      </c>
      <c r="V6" s="29">
        <v>819.0</v>
      </c>
      <c r="W6" s="29">
        <v>42.0</v>
      </c>
      <c r="X6" s="29">
        <v>422.0</v>
      </c>
      <c r="Y6" s="29">
        <v>3176.0</v>
      </c>
      <c r="Z6" s="29">
        <v>3421.0</v>
      </c>
      <c r="AA6" s="29">
        <v>850.0</v>
      </c>
      <c r="AB6" s="29">
        <v>2968.0</v>
      </c>
      <c r="AC6" s="29">
        <v>2815.0</v>
      </c>
      <c r="AD6" s="29">
        <v>3065.0</v>
      </c>
      <c r="AE6" s="29"/>
    </row>
    <row r="7">
      <c r="A7" s="4" t="s">
        <v>29</v>
      </c>
      <c r="B7" s="4">
        <v>1.0</v>
      </c>
      <c r="C7" s="4">
        <v>4.0</v>
      </c>
      <c r="D7" s="4">
        <v>26.0</v>
      </c>
      <c r="E7" s="4">
        <v>22.0</v>
      </c>
      <c r="F7" s="4">
        <v>31.0</v>
      </c>
      <c r="G7" s="4">
        <v>50.0</v>
      </c>
      <c r="H7" s="4">
        <v>24.0</v>
      </c>
      <c r="I7" s="4">
        <v>10.0</v>
      </c>
      <c r="J7" s="4">
        <v>5.0</v>
      </c>
      <c r="K7" s="4">
        <v>25.0</v>
      </c>
      <c r="L7" s="4">
        <v>17.0</v>
      </c>
      <c r="M7" s="4">
        <v>11.0</v>
      </c>
      <c r="N7" s="4">
        <v>26.0</v>
      </c>
      <c r="O7" s="4">
        <v>1.0</v>
      </c>
      <c r="P7" s="4">
        <v>18.0</v>
      </c>
      <c r="Q7" s="4">
        <v>62.0</v>
      </c>
      <c r="R7" s="4">
        <v>2.0</v>
      </c>
      <c r="S7" s="4">
        <v>10.0</v>
      </c>
      <c r="T7" s="4">
        <v>13.0</v>
      </c>
      <c r="U7" s="4">
        <v>39.0</v>
      </c>
      <c r="V7" s="4">
        <v>16.0</v>
      </c>
      <c r="W7" s="4">
        <v>1.0</v>
      </c>
      <c r="X7" s="4">
        <v>7.0</v>
      </c>
      <c r="Y7" s="4">
        <v>61.0</v>
      </c>
      <c r="Z7" s="4">
        <v>66.0</v>
      </c>
      <c r="AA7" s="4">
        <v>16.0</v>
      </c>
      <c r="AB7" s="4">
        <v>57.0</v>
      </c>
      <c r="AC7" s="4">
        <v>54.0</v>
      </c>
      <c r="AD7" s="4">
        <v>59.0</v>
      </c>
    </row>
    <row r="8">
      <c r="A8" s="18" t="s">
        <v>15</v>
      </c>
      <c r="B8" s="30">
        <v>0.7392208360691616</v>
      </c>
      <c r="C8" s="30">
        <v>1.2237067488866047</v>
      </c>
      <c r="D8" s="30">
        <v>1.3914878649314097</v>
      </c>
      <c r="E8" s="30">
        <v>1.5166820801024403</v>
      </c>
      <c r="F8" s="30">
        <v>1.2834263884807526</v>
      </c>
      <c r="G8" s="30">
        <v>1.6501008893206788</v>
      </c>
      <c r="H8" s="18">
        <v>1.651051426191963</v>
      </c>
      <c r="I8" s="30">
        <v>1.5280638516992784</v>
      </c>
      <c r="J8" s="30">
        <v>0.25061282415172237</v>
      </c>
      <c r="K8" s="30">
        <v>1.6817869939772807</v>
      </c>
      <c r="L8" s="30">
        <v>1.5959495115167943</v>
      </c>
      <c r="M8" s="30">
        <v>0.8463237614389397</v>
      </c>
      <c r="N8" s="30">
        <v>0.91180092022552</v>
      </c>
      <c r="O8" s="30">
        <v>0.4408729910574701</v>
      </c>
      <c r="P8" s="30">
        <v>1.4209099126242837</v>
      </c>
      <c r="Q8" s="30">
        <v>1.4309769540012058</v>
      </c>
      <c r="R8" s="30">
        <v>0.8101441942828231</v>
      </c>
      <c r="S8" s="30">
        <v>1.1820406088144637</v>
      </c>
      <c r="T8" s="30">
        <v>0.6678030927898039</v>
      </c>
      <c r="U8" s="30">
        <v>1.705886289706397</v>
      </c>
      <c r="V8" s="30">
        <v>0.955154809069935</v>
      </c>
      <c r="W8" s="30">
        <v>0.551267916207277</v>
      </c>
      <c r="X8" s="30">
        <v>0.14039242219215164</v>
      </c>
      <c r="Y8" s="30">
        <v>1.2848551120831055</v>
      </c>
      <c r="Z8" s="30">
        <v>0.6457981983464277</v>
      </c>
      <c r="AA8" s="30">
        <v>0.8609616596384079</v>
      </c>
      <c r="AB8" s="30">
        <v>0.9553036365813242</v>
      </c>
      <c r="AC8" s="30">
        <v>1.4149588061101819</v>
      </c>
      <c r="AD8" s="30">
        <v>1.5430491787759737</v>
      </c>
      <c r="AE8" s="18"/>
    </row>
    <row r="9">
      <c r="A9" s="4" t="s">
        <v>16</v>
      </c>
      <c r="B9" s="4">
        <v>1.0</v>
      </c>
      <c r="C9" s="4">
        <v>0.4306598182536545</v>
      </c>
      <c r="D9" s="4">
        <v>1.4294996751137097</v>
      </c>
      <c r="E9" s="4">
        <v>0.9898546750754044</v>
      </c>
      <c r="F9" s="4">
        <v>1.814558979808714</v>
      </c>
      <c r="G9" s="4">
        <v>2.0479249011857705</v>
      </c>
      <c r="H9" s="4">
        <v>2.620164126611958</v>
      </c>
      <c r="I9" s="4">
        <v>2.0300608828006084</v>
      </c>
      <c r="J9" s="4">
        <v>0.1343183344526528</v>
      </c>
      <c r="K9" s="4">
        <v>2.261137573550014</v>
      </c>
      <c r="L9" s="4">
        <v>2.0223325062034743</v>
      </c>
      <c r="M9" s="4">
        <v>0.6626183247008396</v>
      </c>
      <c r="N9" s="4">
        <v>1.4374999999999996</v>
      </c>
      <c r="O9" s="4">
        <v>0.6636648394675019</v>
      </c>
      <c r="P9" s="4">
        <v>0.7785258070084586</v>
      </c>
      <c r="Q9" s="4">
        <v>0.763147825347562</v>
      </c>
      <c r="R9" s="4">
        <v>1.4181794633798863</v>
      </c>
      <c r="S9" s="4">
        <v>0.8401094454506917</v>
      </c>
      <c r="T9" s="4">
        <v>0.2695041124331231</v>
      </c>
      <c r="U9" s="4">
        <v>1.6411059696078492</v>
      </c>
      <c r="V9" s="4">
        <v>0.8856254601979874</v>
      </c>
      <c r="W9" s="4">
        <v>0.8188003554933925</v>
      </c>
      <c r="X9" s="4">
        <v>0.3813868938354334</v>
      </c>
      <c r="Y9" s="4">
        <v>2.0128674569188445</v>
      </c>
      <c r="Z9" s="4">
        <v>0.061728395061728406</v>
      </c>
      <c r="AA9" s="4">
        <v>1.4639962903261423</v>
      </c>
      <c r="AB9" s="4">
        <v>1.3408514018872681</v>
      </c>
      <c r="AC9" s="4">
        <v>0.9348006153117975</v>
      </c>
      <c r="AD9" s="4">
        <v>2.0923204091648797</v>
      </c>
    </row>
    <row r="10">
      <c r="A10" s="21" t="s">
        <v>17</v>
      </c>
      <c r="B10" s="21">
        <v>0.6671850699844479</v>
      </c>
      <c r="C10" s="21">
        <v>1.3075435203094774</v>
      </c>
      <c r="D10" s="21">
        <v>1.2810851544837984</v>
      </c>
      <c r="E10" s="21">
        <v>1.5213707399736398</v>
      </c>
      <c r="F10" s="21">
        <v>1.4993176057711055</v>
      </c>
      <c r="G10" s="21">
        <v>1.953516329392907</v>
      </c>
      <c r="H10" s="21">
        <v>1.1416094822208356</v>
      </c>
      <c r="I10" s="21">
        <v>1.5207111783620202</v>
      </c>
      <c r="J10" s="21">
        <v>0.16213683223992506</v>
      </c>
      <c r="K10" s="21">
        <v>1.8425259792166264</v>
      </c>
      <c r="L10" s="21">
        <v>0.9733464955577491</v>
      </c>
      <c r="M10" s="21">
        <v>0.9803528468323977</v>
      </c>
      <c r="N10" s="21">
        <v>0.9728340675477238</v>
      </c>
      <c r="O10" s="21">
        <v>0.16927322907083714</v>
      </c>
      <c r="P10" s="21">
        <v>2.5707589688119694</v>
      </c>
      <c r="Q10" s="21">
        <v>2.4562761727135163</v>
      </c>
      <c r="R10" s="21">
        <v>0.40589505957772976</v>
      </c>
      <c r="S10" s="21">
        <v>0.5821078431372549</v>
      </c>
      <c r="T10" s="21">
        <v>0.9665510268445172</v>
      </c>
      <c r="U10" s="21">
        <v>2.183993586108686</v>
      </c>
      <c r="V10" s="21">
        <v>0.9765736325119221</v>
      </c>
      <c r="W10" s="21">
        <v>0.12577048585931835</v>
      </c>
      <c r="X10" s="21">
        <v>0.04128393023015791</v>
      </c>
      <c r="Y10" s="21">
        <v>0.6512193918663356</v>
      </c>
      <c r="Z10" s="21">
        <v>0.8169964438770857</v>
      </c>
      <c r="AA10" s="21">
        <v>0.1701682047254402</v>
      </c>
      <c r="AB10" s="21">
        <v>1.2141944214720701</v>
      </c>
      <c r="AC10" s="21">
        <v>1.620339657688735</v>
      </c>
      <c r="AD10" s="21">
        <v>2.5259218835269346</v>
      </c>
      <c r="AE10" s="21"/>
    </row>
    <row r="11">
      <c r="A11" s="4" t="s">
        <v>18</v>
      </c>
      <c r="B11" s="4">
        <v>0.6138107416879798</v>
      </c>
      <c r="C11" s="4">
        <v>1.8552253116011508</v>
      </c>
      <c r="D11" s="4">
        <v>1.5549597855227884</v>
      </c>
      <c r="E11" s="4">
        <v>1.9474216380182001</v>
      </c>
      <c r="F11" s="4">
        <v>0.6507831458195455</v>
      </c>
      <c r="G11" s="4">
        <v>0.953399904897765</v>
      </c>
      <c r="H11" s="4">
        <v>1.130374479889043</v>
      </c>
      <c r="I11" s="4">
        <v>1.0556138509968522</v>
      </c>
      <c r="J11" s="4">
        <v>0.43976013083772497</v>
      </c>
      <c r="K11" s="4">
        <v>1.0724043715846996</v>
      </c>
      <c r="L11" s="4">
        <v>1.9611978068325606</v>
      </c>
      <c r="M11" s="4">
        <v>0.943692368059643</v>
      </c>
      <c r="N11" s="4">
        <v>0.24065234685759748</v>
      </c>
      <c r="O11" s="4">
        <v>0.520516717325228</v>
      </c>
      <c r="P11" s="4">
        <v>0.943692368059643</v>
      </c>
      <c r="Q11" s="4">
        <v>0.993005472402421</v>
      </c>
      <c r="R11" s="4">
        <v>0.4173669996789484</v>
      </c>
      <c r="S11" s="4">
        <v>2.145799406073379</v>
      </c>
      <c r="T11" s="4">
        <v>0.7430650138785926</v>
      </c>
      <c r="U11" s="4">
        <v>1.3016261990079805</v>
      </c>
      <c r="V11" s="4">
        <v>1.038464916132432</v>
      </c>
      <c r="W11" s="4">
        <v>0.8676052859083608</v>
      </c>
      <c r="X11" s="4">
        <v>0.013744354997054783</v>
      </c>
      <c r="Y11" s="4">
        <v>1.3883719198987567</v>
      </c>
      <c r="Z11" s="4">
        <v>1.1168213267474172</v>
      </c>
      <c r="AA11" s="4">
        <v>1.1606857629645404</v>
      </c>
      <c r="AB11" s="4">
        <v>0.3385461750052897</v>
      </c>
      <c r="AC11" s="4">
        <v>1.6779459987441565</v>
      </c>
      <c r="AD11" s="4">
        <v>0.1715848361901017</v>
      </c>
    </row>
    <row r="12">
      <c r="A12" s="4" t="s">
        <v>45</v>
      </c>
    </row>
    <row r="13">
      <c r="B13" s="4" t="s">
        <v>29</v>
      </c>
      <c r="I13" s="4" t="s">
        <v>15</v>
      </c>
      <c r="K13" s="4" t="s">
        <v>46</v>
      </c>
    </row>
    <row r="14">
      <c r="A14" s="4" t="s">
        <v>47</v>
      </c>
      <c r="B14" s="4">
        <f>CORREL(B2:AD2,B7:AD7)</f>
        <v>0.4122059677</v>
      </c>
      <c r="I14" s="4">
        <f>CORREL(B2:AD2,B8:AD8)</f>
        <v>0.6185397801</v>
      </c>
      <c r="K14" s="4">
        <f>CORREL(B2:AD2,B6:AD6)</f>
        <v>0.2800976727</v>
      </c>
    </row>
    <row r="15">
      <c r="A15" s="4" t="s">
        <v>48</v>
      </c>
      <c r="B15" s="4">
        <f>CORREL(B3:AD3,B7:AD7)</f>
        <v>0.4102328225</v>
      </c>
      <c r="I15" s="4">
        <f>CORREL(B3:AD3,B8:AD8)</f>
        <v>0.6380975271</v>
      </c>
      <c r="K15" s="4">
        <f>CORREL(B3:AD3,B6:AD6)</f>
        <v>0.2796400675</v>
      </c>
    </row>
    <row r="16">
      <c r="A16" s="4" t="s">
        <v>49</v>
      </c>
      <c r="B16" s="4">
        <f>CORREL(B4:AD4,B7:AD7)</f>
        <v>0.3305041958</v>
      </c>
      <c r="I16" s="31">
        <f>CORREL(B4:AD4,B8:AD8)</f>
        <v>0.7152205192</v>
      </c>
      <c r="K16" s="4">
        <f>CORREL(B4:AD4,B6:AD6)</f>
        <v>0.1940804753</v>
      </c>
    </row>
    <row r="17">
      <c r="A17" s="4" t="s">
        <v>50</v>
      </c>
      <c r="B17" s="4">
        <f>CORREL(B5:AD5,B7:AD7)</f>
        <v>0.3415928091</v>
      </c>
      <c r="I17" s="4">
        <f>CORREL(B5:AD5,B8:AD8)</f>
        <v>0.6952213665</v>
      </c>
      <c r="K17" s="4">
        <f>CORREL(B5:AD5,B6:AD6)</f>
        <v>0.2037387501</v>
      </c>
    </row>
    <row r="18">
      <c r="A18" s="16" t="s">
        <v>51</v>
      </c>
      <c r="B18" s="16">
        <f>CORREL(B7:AD7,B8:AD8)</f>
        <v>0.4267174986</v>
      </c>
      <c r="C18" s="16"/>
      <c r="D18" s="4" t="s">
        <v>51</v>
      </c>
      <c r="E18" s="4">
        <f>CORREL(B7:AD7,B39:AD39)</f>
        <v>0.4122074029</v>
      </c>
      <c r="F18" s="4">
        <f>CORREL(B7:AD7,B39:AD39)</f>
        <v>0.4122074029</v>
      </c>
      <c r="G18" s="16"/>
      <c r="I18" s="16" t="s">
        <v>52</v>
      </c>
      <c r="J18" s="16"/>
      <c r="K18" s="16">
        <f>CORREL(B6:AD6,B8:AD8)</f>
        <v>0.4544727813</v>
      </c>
      <c r="M18" s="4" t="s">
        <v>53</v>
      </c>
      <c r="R18" s="4" t="s">
        <v>54</v>
      </c>
    </row>
    <row r="19">
      <c r="A19" s="4" t="s">
        <v>55</v>
      </c>
      <c r="B19" s="16">
        <f>CORREL(B7:AD7,B9:AD9)</f>
        <v>0.2571092486</v>
      </c>
      <c r="D19" s="4" t="s">
        <v>55</v>
      </c>
      <c r="E19" s="4">
        <f>CORREL(B7:AD7,B41:AD41)</f>
        <v>-0.2349129596</v>
      </c>
      <c r="F19" s="4">
        <f>CORREL(B7:AD7,B36:AD36)</f>
        <v>0.2558258249</v>
      </c>
      <c r="I19" s="4" t="s">
        <v>56</v>
      </c>
      <c r="K19" s="16">
        <f>CORREL(B6:AD6,B9:AD9)</f>
        <v>0.2219150846</v>
      </c>
      <c r="M19" s="4" t="s">
        <v>57</v>
      </c>
      <c r="P19" s="4">
        <f>CORREL(B24:AD24,B7:AD7)</f>
        <v>0.1592493247</v>
      </c>
      <c r="R19" s="4" t="s">
        <v>58</v>
      </c>
      <c r="U19" s="4">
        <f>CORREL(B30:AD30,B7:AD7)</f>
        <v>-0.3512999313</v>
      </c>
    </row>
    <row r="20">
      <c r="A20" s="32" t="s">
        <v>59</v>
      </c>
      <c r="B20" s="32">
        <f>CORREL(B7:AD7,B10:AD10)</f>
        <v>0.5383709972</v>
      </c>
      <c r="C20" s="16"/>
      <c r="D20" s="4" t="s">
        <v>59</v>
      </c>
      <c r="E20" s="4">
        <f>CORREL(B7:AD7,B42:AD42)</f>
        <v>0.3597593653</v>
      </c>
      <c r="F20" s="4">
        <f>CORREL(B7:AD7,B37:AD37)</f>
        <v>0.4582843633</v>
      </c>
      <c r="G20" s="16"/>
      <c r="I20" s="32" t="s">
        <v>60</v>
      </c>
      <c r="J20" s="32"/>
      <c r="K20" s="32">
        <f>CORREL(B6:AD6,B10:AD10)</f>
        <v>0.5235915859</v>
      </c>
      <c r="M20" s="33" t="s">
        <v>61</v>
      </c>
      <c r="N20" s="33"/>
      <c r="O20" s="33"/>
      <c r="P20" s="32">
        <f>CORREL(B25:AD25,B7:AD7)</f>
        <v>0.5595750062</v>
      </c>
      <c r="R20" s="34" t="s">
        <v>62</v>
      </c>
      <c r="S20" s="34"/>
      <c r="T20" s="34"/>
      <c r="U20" s="34">
        <f>CORREL(B31:AD31,B7:AD7)</f>
        <v>0.7286315824</v>
      </c>
      <c r="AB20" s="33"/>
      <c r="AC20" s="33"/>
      <c r="AD20" s="33"/>
      <c r="AE20" s="33"/>
    </row>
    <row r="21" ht="15.75" customHeight="1">
      <c r="A21" s="4" t="s">
        <v>63</v>
      </c>
      <c r="B21" s="16">
        <f>CORREL(B7:AD7,B11:AD11)</f>
        <v>0.03473425413</v>
      </c>
      <c r="D21" s="4" t="s">
        <v>63</v>
      </c>
      <c r="E21" s="4">
        <f>CORREL(B7:AD7,B43:AD43)</f>
        <v>-0.066093914</v>
      </c>
      <c r="F21" s="4">
        <f>CORREL(B7:AD7,B38:AD38)</f>
        <v>0.2074948466</v>
      </c>
      <c r="I21" s="4" t="s">
        <v>64</v>
      </c>
      <c r="K21" s="16">
        <f>CORREL(B6:AD6,B11:AD11)</f>
        <v>0.148062231</v>
      </c>
      <c r="M21" s="4" t="s">
        <v>65</v>
      </c>
      <c r="P21" s="4">
        <f>CORREL(B26:AD26,B7:AD7)</f>
        <v>0.06263938312</v>
      </c>
      <c r="R21" s="4" t="s">
        <v>66</v>
      </c>
      <c r="U21" s="4">
        <f>CORREL(B32:AD32,B7:AD7)</f>
        <v>-0.1360801192</v>
      </c>
    </row>
    <row r="22" ht="15.75" customHeight="1"/>
    <row r="23" ht="15.75" customHeight="1">
      <c r="A23" s="4" t="s">
        <v>67</v>
      </c>
      <c r="J23" s="4" t="s">
        <v>68</v>
      </c>
      <c r="N23" s="4" t="s">
        <v>69</v>
      </c>
    </row>
    <row r="24" ht="15.75" customHeight="1">
      <c r="A24" s="4" t="s">
        <v>33</v>
      </c>
      <c r="B24" s="4">
        <v>6.0</v>
      </c>
      <c r="C24" s="4">
        <v>1.0</v>
      </c>
      <c r="D24" s="4">
        <v>4.0</v>
      </c>
      <c r="E24" s="4">
        <v>12.0</v>
      </c>
      <c r="F24" s="4">
        <v>11.0</v>
      </c>
      <c r="G24" s="4">
        <v>15.0</v>
      </c>
      <c r="H24" s="4">
        <v>10.0</v>
      </c>
      <c r="I24" s="4">
        <v>0.0</v>
      </c>
      <c r="J24" s="4">
        <v>1.0</v>
      </c>
      <c r="K24" s="4">
        <v>11.0</v>
      </c>
      <c r="L24" s="4">
        <v>12.0</v>
      </c>
      <c r="M24" s="4">
        <v>8.0</v>
      </c>
      <c r="N24" s="4">
        <v>11.0</v>
      </c>
      <c r="O24" s="4">
        <v>1.0</v>
      </c>
      <c r="P24" s="4">
        <v>12.0</v>
      </c>
      <c r="Q24" s="4">
        <v>7.0</v>
      </c>
      <c r="R24" s="4">
        <v>9.0</v>
      </c>
      <c r="S24" s="4">
        <v>0.0</v>
      </c>
      <c r="T24" s="4">
        <v>0.0</v>
      </c>
      <c r="U24" s="4">
        <v>10.0</v>
      </c>
      <c r="V24" s="4">
        <v>10.0</v>
      </c>
      <c r="W24" s="4">
        <v>1.0</v>
      </c>
      <c r="X24" s="4">
        <v>8.0</v>
      </c>
      <c r="Y24" s="4">
        <v>1.0</v>
      </c>
      <c r="Z24" s="4">
        <v>0.0</v>
      </c>
      <c r="AA24" s="4">
        <v>11.0</v>
      </c>
      <c r="AB24" s="4">
        <v>5.0</v>
      </c>
      <c r="AC24" s="4">
        <v>3.0</v>
      </c>
      <c r="AD24" s="4">
        <v>15.0</v>
      </c>
    </row>
    <row r="25" ht="15.75" customHeight="1">
      <c r="A25" s="21" t="s">
        <v>34</v>
      </c>
      <c r="B25" s="21">
        <v>0.0</v>
      </c>
      <c r="C25" s="21">
        <v>0.0</v>
      </c>
      <c r="D25" s="21">
        <v>2.0</v>
      </c>
      <c r="E25" s="21">
        <v>2.0</v>
      </c>
      <c r="F25" s="21">
        <v>7.0</v>
      </c>
      <c r="G25" s="21">
        <v>3.0</v>
      </c>
      <c r="H25" s="21">
        <v>10.0</v>
      </c>
      <c r="I25" s="21">
        <v>10.0</v>
      </c>
      <c r="J25" s="21">
        <v>0.0</v>
      </c>
      <c r="K25" s="21">
        <v>9.0</v>
      </c>
      <c r="L25" s="21">
        <v>4.0</v>
      </c>
      <c r="M25" s="21">
        <v>0.0</v>
      </c>
      <c r="N25" s="21">
        <v>8.0</v>
      </c>
      <c r="O25" s="21">
        <v>0.0</v>
      </c>
      <c r="P25" s="21">
        <v>9.0</v>
      </c>
      <c r="Q25" s="21">
        <v>3.0</v>
      </c>
      <c r="R25" s="21">
        <v>1.0</v>
      </c>
      <c r="S25" s="21">
        <v>3.0</v>
      </c>
      <c r="T25" s="21">
        <v>4.0</v>
      </c>
      <c r="U25" s="21">
        <v>4.0</v>
      </c>
      <c r="V25" s="21">
        <v>3.0</v>
      </c>
      <c r="W25" s="21">
        <v>0.0</v>
      </c>
      <c r="X25" s="21">
        <v>0.0</v>
      </c>
      <c r="Y25" s="21">
        <v>6.0</v>
      </c>
      <c r="Z25" s="21">
        <v>10.0</v>
      </c>
      <c r="AA25" s="21">
        <v>0.0</v>
      </c>
      <c r="AB25" s="21">
        <v>9.0</v>
      </c>
      <c r="AC25" s="21">
        <v>4.0</v>
      </c>
      <c r="AD25" s="21">
        <v>13.0</v>
      </c>
      <c r="AE25" s="21"/>
    </row>
    <row r="26" ht="15.75" customHeight="1">
      <c r="A26" s="4" t="s">
        <v>35</v>
      </c>
      <c r="B26" s="4">
        <v>0.0</v>
      </c>
      <c r="C26" s="4">
        <v>2.0</v>
      </c>
      <c r="D26" s="4">
        <v>6.0</v>
      </c>
      <c r="E26" s="4">
        <v>11.0</v>
      </c>
      <c r="F26" s="4">
        <v>3.0</v>
      </c>
      <c r="G26" s="4">
        <v>11.0</v>
      </c>
      <c r="H26" s="4">
        <v>4.0</v>
      </c>
      <c r="I26" s="4">
        <v>9.0</v>
      </c>
      <c r="J26" s="4">
        <v>0.0</v>
      </c>
      <c r="K26" s="4">
        <v>5.0</v>
      </c>
      <c r="L26" s="4">
        <v>4.0</v>
      </c>
      <c r="M26" s="4">
        <v>10.0</v>
      </c>
      <c r="N26" s="4">
        <v>1.0</v>
      </c>
      <c r="O26" s="4">
        <v>4.0</v>
      </c>
      <c r="P26" s="4">
        <v>7.0</v>
      </c>
      <c r="Q26" s="4">
        <v>6.0</v>
      </c>
      <c r="R26" s="4">
        <v>1.0</v>
      </c>
      <c r="S26" s="4">
        <v>12.0</v>
      </c>
      <c r="T26" s="4">
        <v>10.0</v>
      </c>
      <c r="U26" s="4">
        <v>9.0</v>
      </c>
      <c r="V26" s="4">
        <v>6.0</v>
      </c>
      <c r="W26" s="4">
        <v>0.0</v>
      </c>
      <c r="X26" s="4">
        <v>0.0</v>
      </c>
      <c r="Y26" s="4">
        <v>3.0</v>
      </c>
      <c r="Z26" s="4">
        <v>2.0</v>
      </c>
      <c r="AA26" s="4">
        <v>3.0</v>
      </c>
      <c r="AB26" s="4">
        <v>0.0</v>
      </c>
      <c r="AC26" s="4">
        <v>5.0</v>
      </c>
      <c r="AD26" s="4">
        <v>4.0</v>
      </c>
    </row>
    <row r="27" ht="15.75" customHeight="1">
      <c r="A27" s="4" t="s">
        <v>36</v>
      </c>
      <c r="B27" s="4">
        <v>6.0</v>
      </c>
      <c r="C27" s="4">
        <v>3.0</v>
      </c>
      <c r="D27" s="4">
        <v>12.0</v>
      </c>
      <c r="E27" s="4">
        <v>25.0</v>
      </c>
      <c r="F27" s="4">
        <v>21.0</v>
      </c>
      <c r="G27" s="4">
        <v>29.0</v>
      </c>
      <c r="H27" s="4">
        <v>24.0</v>
      </c>
      <c r="I27" s="4">
        <v>19.0</v>
      </c>
      <c r="J27" s="4">
        <v>1.0</v>
      </c>
      <c r="K27" s="4">
        <v>25.0</v>
      </c>
      <c r="L27" s="4">
        <v>20.0</v>
      </c>
      <c r="M27" s="4">
        <v>18.0</v>
      </c>
      <c r="N27" s="4">
        <v>20.0</v>
      </c>
      <c r="O27" s="4">
        <v>5.0</v>
      </c>
      <c r="P27" s="4">
        <v>28.0</v>
      </c>
      <c r="Q27" s="4">
        <v>16.0</v>
      </c>
      <c r="R27" s="4">
        <v>11.0</v>
      </c>
      <c r="S27" s="4">
        <v>15.0</v>
      </c>
      <c r="T27" s="4">
        <v>14.0</v>
      </c>
      <c r="U27" s="4">
        <v>23.0</v>
      </c>
      <c r="V27" s="4">
        <v>19.0</v>
      </c>
      <c r="W27" s="4">
        <v>1.0</v>
      </c>
      <c r="X27" s="4">
        <v>8.0</v>
      </c>
      <c r="Y27" s="4">
        <v>10.0</v>
      </c>
      <c r="Z27" s="4">
        <v>12.0</v>
      </c>
      <c r="AA27" s="4">
        <v>14.0</v>
      </c>
      <c r="AB27" s="4">
        <v>14.0</v>
      </c>
      <c r="AC27" s="4">
        <v>12.0</v>
      </c>
      <c r="AD27" s="4">
        <v>32.0</v>
      </c>
    </row>
    <row r="28" ht="15.75" customHeight="1"/>
    <row r="29" ht="15.75" customHeight="1">
      <c r="B29" s="35"/>
      <c r="C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</row>
    <row r="30" ht="15.75" customHeight="1">
      <c r="A30" s="4" t="s">
        <v>70</v>
      </c>
      <c r="B30" s="4">
        <v>0.98</v>
      </c>
      <c r="C30" s="4">
        <v>0.3333333333333333</v>
      </c>
      <c r="D30" s="4">
        <f t="shared" ref="D30:G30" si="1">D24/D27</f>
        <v>0.3333333333</v>
      </c>
      <c r="E30" s="4">
        <f t="shared" si="1"/>
        <v>0.48</v>
      </c>
      <c r="F30" s="4">
        <f t="shared" si="1"/>
        <v>0.5238095238</v>
      </c>
      <c r="G30" s="4">
        <f t="shared" si="1"/>
        <v>0.5172413793</v>
      </c>
      <c r="H30" s="4">
        <v>0.4166666666666667</v>
      </c>
      <c r="I30" s="4">
        <v>0.3</v>
      </c>
      <c r="J30" s="4">
        <v>0.98</v>
      </c>
      <c r="K30" s="4">
        <v>0.44</v>
      </c>
      <c r="L30" s="4">
        <v>0.6</v>
      </c>
      <c r="M30" s="4">
        <v>0.4444444444444444</v>
      </c>
      <c r="N30" s="4">
        <v>0.55</v>
      </c>
      <c r="O30" s="4">
        <v>0.2</v>
      </c>
      <c r="P30" s="4">
        <v>0.42857142857142855</v>
      </c>
      <c r="Q30" s="4">
        <v>0.4375</v>
      </c>
      <c r="R30" s="4">
        <v>0.8181818181818182</v>
      </c>
      <c r="S30" s="4">
        <v>0.01</v>
      </c>
      <c r="T30" s="4">
        <v>0.01</v>
      </c>
      <c r="U30" s="4">
        <v>0.43478260869565216</v>
      </c>
      <c r="V30" s="4">
        <v>0.5263157894736842</v>
      </c>
      <c r="W30" s="4">
        <v>0.98</v>
      </c>
      <c r="X30" s="4">
        <v>0.098</v>
      </c>
      <c r="Y30" s="4">
        <v>0.1</v>
      </c>
      <c r="Z30" s="4">
        <v>0.01</v>
      </c>
      <c r="AA30" s="4">
        <v>0.7857142857142857</v>
      </c>
      <c r="AB30" s="4">
        <v>0.35</v>
      </c>
      <c r="AC30" s="4">
        <v>0.25</v>
      </c>
      <c r="AD30" s="4">
        <v>0.46875</v>
      </c>
    </row>
    <row r="31" ht="15.75" customHeight="1">
      <c r="A31" s="21"/>
      <c r="B31" s="21">
        <v>0.01</v>
      </c>
      <c r="C31" s="21">
        <v>0.01</v>
      </c>
      <c r="D31" s="4">
        <f t="shared" ref="D31:G31" si="2">D25/D27</f>
        <v>0.1666666667</v>
      </c>
      <c r="E31" s="4">
        <f t="shared" si="2"/>
        <v>0.08</v>
      </c>
      <c r="F31" s="4">
        <f t="shared" si="2"/>
        <v>0.3333333333</v>
      </c>
      <c r="G31" s="4">
        <f t="shared" si="2"/>
        <v>0.1034482759</v>
      </c>
      <c r="H31" s="21">
        <v>0.4166666666666667</v>
      </c>
      <c r="I31" s="21">
        <v>0.23</v>
      </c>
      <c r="J31" s="21">
        <v>0.01</v>
      </c>
      <c r="K31" s="21">
        <v>0.36</v>
      </c>
      <c r="L31" s="21">
        <v>0.2</v>
      </c>
      <c r="M31" s="21">
        <v>0.01</v>
      </c>
      <c r="N31" s="21">
        <v>0.4</v>
      </c>
      <c r="O31" s="21">
        <v>0.01</v>
      </c>
      <c r="P31" s="21">
        <v>0.32142857142857145</v>
      </c>
      <c r="Q31" s="21">
        <v>0.1875</v>
      </c>
      <c r="R31" s="21">
        <v>0.09090909090909091</v>
      </c>
      <c r="S31" s="21">
        <v>0.2</v>
      </c>
      <c r="T31" s="21">
        <v>0.2857142857142857</v>
      </c>
      <c r="U31" s="21">
        <v>0.17391304347826086</v>
      </c>
      <c r="V31" s="21">
        <v>0.15789473684210525</v>
      </c>
      <c r="W31" s="21">
        <v>0.01</v>
      </c>
      <c r="X31" s="21">
        <v>0.01</v>
      </c>
      <c r="Y31" s="21">
        <v>0.6</v>
      </c>
      <c r="Z31" s="21">
        <v>0.8333333333333334</v>
      </c>
      <c r="AA31" s="21">
        <v>0.01</v>
      </c>
      <c r="AB31" s="21">
        <v>0.6428571428571429</v>
      </c>
      <c r="AC31" s="21">
        <v>0.3333333333333333</v>
      </c>
      <c r="AD31" s="21">
        <v>0.40625</v>
      </c>
      <c r="AE31" s="21"/>
    </row>
    <row r="32" ht="15.75" customHeight="1">
      <c r="B32" s="4">
        <v>0.01</v>
      </c>
      <c r="C32" s="4">
        <v>0.6666666666666666</v>
      </c>
      <c r="D32" s="4">
        <f t="shared" ref="D32:G32" si="3">D26/D27</f>
        <v>0.5</v>
      </c>
      <c r="E32" s="4">
        <f t="shared" si="3"/>
        <v>0.44</v>
      </c>
      <c r="F32" s="4">
        <f t="shared" si="3"/>
        <v>0.1428571429</v>
      </c>
      <c r="G32" s="4">
        <f t="shared" si="3"/>
        <v>0.3793103448</v>
      </c>
      <c r="H32" s="4">
        <v>0.166666666666667</v>
      </c>
      <c r="I32" s="4">
        <v>0.47368421052631576</v>
      </c>
      <c r="J32" s="4">
        <v>0.01</v>
      </c>
      <c r="K32" s="4">
        <v>0.2</v>
      </c>
      <c r="L32" s="4">
        <v>0.2</v>
      </c>
      <c r="M32" s="4">
        <v>0.5555555555555556</v>
      </c>
      <c r="N32" s="4">
        <v>0.05</v>
      </c>
      <c r="O32" s="4">
        <v>0.8</v>
      </c>
      <c r="P32" s="4">
        <v>0.25</v>
      </c>
      <c r="Q32" s="4">
        <v>0.375</v>
      </c>
      <c r="R32" s="4">
        <v>0.09090909090909091</v>
      </c>
      <c r="S32" s="4">
        <v>0.8</v>
      </c>
      <c r="T32" s="4">
        <v>0.7142857142857143</v>
      </c>
      <c r="U32" s="4">
        <v>0.391304347826087</v>
      </c>
      <c r="V32" s="4">
        <v>0.3157894736842105</v>
      </c>
      <c r="W32" s="4">
        <v>0.01</v>
      </c>
      <c r="X32" s="4">
        <v>0.01</v>
      </c>
      <c r="Y32" s="4">
        <v>0.3</v>
      </c>
      <c r="Z32" s="4">
        <v>0.16</v>
      </c>
      <c r="AA32" s="4">
        <v>0.21428571428571427</v>
      </c>
      <c r="AB32" s="4">
        <v>0.01</v>
      </c>
      <c r="AC32" s="4">
        <v>0.4166666666666667</v>
      </c>
      <c r="AD32" s="4">
        <v>0.125</v>
      </c>
    </row>
    <row r="33" ht="15.75" customHeight="1"/>
    <row r="34" ht="15.75" customHeight="1">
      <c r="A34" s="4" t="s">
        <v>22</v>
      </c>
      <c r="B34" s="4">
        <v>1972.0</v>
      </c>
      <c r="C34" s="4">
        <v>1973.0</v>
      </c>
      <c r="D34" s="4">
        <v>1977.0</v>
      </c>
      <c r="E34" s="4">
        <v>1982.0</v>
      </c>
      <c r="F34" s="4">
        <v>1983.0</v>
      </c>
      <c r="G34" s="4">
        <v>1984.0</v>
      </c>
      <c r="H34" s="4">
        <v>1987.0</v>
      </c>
      <c r="I34" s="4">
        <v>1991.0</v>
      </c>
      <c r="J34" s="4">
        <v>1992.0</v>
      </c>
      <c r="K34" s="4">
        <v>1993.0</v>
      </c>
      <c r="L34" s="4">
        <v>1994.0</v>
      </c>
      <c r="M34" s="4">
        <v>1995.0</v>
      </c>
      <c r="N34" s="4">
        <v>1996.0</v>
      </c>
      <c r="O34" s="4">
        <v>1997.0</v>
      </c>
      <c r="P34" s="4">
        <v>1998.0</v>
      </c>
      <c r="Q34" s="4">
        <v>2004.0</v>
      </c>
      <c r="R34" s="4">
        <v>2005.0</v>
      </c>
      <c r="S34" s="4">
        <v>2006.0</v>
      </c>
      <c r="T34" s="4">
        <v>2007.0</v>
      </c>
      <c r="U34" s="4">
        <v>2008.0</v>
      </c>
      <c r="V34" s="4">
        <v>2009.0</v>
      </c>
      <c r="W34" s="4">
        <v>2010.0</v>
      </c>
      <c r="X34" s="4">
        <v>2011.0</v>
      </c>
      <c r="Y34" s="4">
        <v>2012.0</v>
      </c>
      <c r="Z34" s="4">
        <v>2013.0</v>
      </c>
      <c r="AA34" s="4">
        <v>2014.0</v>
      </c>
      <c r="AB34" s="4">
        <v>2015.0</v>
      </c>
      <c r="AC34" s="4">
        <v>2016.0</v>
      </c>
      <c r="AD34" s="4">
        <v>2017.0</v>
      </c>
    </row>
    <row r="35" ht="15.75" customHeight="1">
      <c r="A35" s="4" t="s">
        <v>40</v>
      </c>
    </row>
    <row r="36" ht="15.75" customHeight="1">
      <c r="A36" s="4" t="s">
        <v>41</v>
      </c>
      <c r="B36" s="4">
        <v>1.414342629482072</v>
      </c>
      <c r="C36" s="4">
        <v>0.9961798413164856</v>
      </c>
      <c r="D36" s="4">
        <v>1.434478371501272</v>
      </c>
      <c r="E36" s="4">
        <v>1.7136812411847668</v>
      </c>
      <c r="F36" s="4">
        <v>1.022304832713755</v>
      </c>
      <c r="G36" s="4">
        <v>2.229385816084153</v>
      </c>
      <c r="H36" s="4">
        <v>3.8012205754141246</v>
      </c>
      <c r="I36" s="4">
        <v>0.6472727272727272</v>
      </c>
      <c r="J36" s="4">
        <v>0.18951358180669617</v>
      </c>
      <c r="K36" s="4">
        <v>1.847708408516781</v>
      </c>
      <c r="L36" s="4">
        <v>1.4125722543352601</v>
      </c>
      <c r="M36" s="4">
        <v>1.1020408163265307</v>
      </c>
      <c r="N36" s="4">
        <v>2.47603305785124</v>
      </c>
      <c r="O36" s="4">
        <v>0.5465084184377589</v>
      </c>
      <c r="P36" s="4">
        <v>3.191365227537922</v>
      </c>
      <c r="Q36" s="4">
        <v>2.2634956142932836</v>
      </c>
      <c r="R36" s="4">
        <v>2.48050794486298</v>
      </c>
      <c r="S36" s="4">
        <v>0.7047253411869888</v>
      </c>
      <c r="T36" s="4">
        <v>0.5339791660587669</v>
      </c>
      <c r="U36" s="4">
        <v>1.783266858647612</v>
      </c>
      <c r="V36" s="4">
        <v>0.7811752702228741</v>
      </c>
      <c r="W36" s="4">
        <v>0.3522294049394994</v>
      </c>
      <c r="X36" s="4">
        <v>0.12872611625735123</v>
      </c>
      <c r="Y36" s="4">
        <v>1.0484712082121097</v>
      </c>
      <c r="Z36" s="4">
        <v>0.0</v>
      </c>
      <c r="AA36" s="4">
        <v>1.1795985620131817</v>
      </c>
      <c r="AB36" s="4">
        <v>1.9736106451973614</v>
      </c>
      <c r="AC36" s="4">
        <v>0.24888351321176028</v>
      </c>
      <c r="AD36" s="4">
        <v>3.8708369925015194</v>
      </c>
    </row>
    <row r="37" ht="15.75" customHeight="1">
      <c r="A37" s="4" t="s">
        <v>42</v>
      </c>
      <c r="B37" s="4">
        <v>0.744372632048139</v>
      </c>
      <c r="C37" s="4">
        <v>1.898334290637564</v>
      </c>
      <c r="D37" s="4">
        <v>1.2598904443091907</v>
      </c>
      <c r="E37" s="4">
        <v>1.0813621003379257</v>
      </c>
      <c r="F37" s="4">
        <v>1.9275319275319276</v>
      </c>
      <c r="G37" s="4">
        <v>1.4114030184460593</v>
      </c>
      <c r="H37" s="4">
        <v>1.3608314387788236</v>
      </c>
      <c r="I37" s="4">
        <v>2.050704225352112</v>
      </c>
      <c r="J37" s="4">
        <v>0.12414383561643832</v>
      </c>
      <c r="K37" s="4">
        <v>1.3618441006976039</v>
      </c>
      <c r="L37" s="4">
        <v>1.2424969987995198</v>
      </c>
      <c r="M37" s="4">
        <v>0.7735961768219833</v>
      </c>
      <c r="N37" s="4">
        <v>0.5989304812834225</v>
      </c>
      <c r="O37" s="4">
        <v>0.17518248175182483</v>
      </c>
      <c r="P37" s="4">
        <v>1.9972752043596729</v>
      </c>
      <c r="Q37" s="4">
        <v>1.9853905225697694</v>
      </c>
      <c r="R37" s="4">
        <v>0.2850627137970354</v>
      </c>
      <c r="S37" s="4">
        <v>0.4152580722442571</v>
      </c>
      <c r="T37" s="4">
        <v>0.7886435331230285</v>
      </c>
      <c r="U37" s="4">
        <v>2.7391487117722</v>
      </c>
      <c r="V37" s="4">
        <v>0.8957444981827547</v>
      </c>
      <c r="W37" s="4">
        <v>0.13660968904219534</v>
      </c>
      <c r="X37" s="4">
        <v>0.009013678256754627</v>
      </c>
      <c r="Y37" s="4">
        <v>0.6822962088955009</v>
      </c>
      <c r="Z37" s="4">
        <v>0.8372450520189957</v>
      </c>
      <c r="AA37" s="4">
        <v>0.17646020822304573</v>
      </c>
      <c r="AB37" s="4">
        <v>0.7051225076289516</v>
      </c>
      <c r="AC37" s="4">
        <v>2.460507924787046</v>
      </c>
      <c r="AD37" s="4">
        <v>2.3816965681065194</v>
      </c>
    </row>
    <row r="38" ht="15.75" customHeight="1">
      <c r="A38" s="4" t="s">
        <v>43</v>
      </c>
      <c r="B38" s="4">
        <v>0.13617395124094003</v>
      </c>
      <c r="C38" s="4">
        <v>2.039525691699605</v>
      </c>
      <c r="D38" s="4">
        <v>1.548030407740152</v>
      </c>
      <c r="E38" s="4">
        <v>2.7825342465753424</v>
      </c>
      <c r="F38" s="4">
        <v>0.41927083333333337</v>
      </c>
      <c r="G38" s="4">
        <v>1.2547639988273231</v>
      </c>
      <c r="H38" s="4">
        <v>0.9414106939704209</v>
      </c>
      <c r="I38" s="4">
        <v>0.7423580786026202</v>
      </c>
      <c r="J38" s="4">
        <v>0.06963788300835655</v>
      </c>
      <c r="K38" s="4">
        <v>1.7146562905317773</v>
      </c>
      <c r="L38" s="4">
        <v>1.0662038184973963</v>
      </c>
      <c r="M38" s="4">
        <v>1.5641476274165205</v>
      </c>
      <c r="N38" s="4">
        <v>1.0401761144744084</v>
      </c>
      <c r="O38" s="4">
        <v>0.700507614213198</v>
      </c>
      <c r="P38" s="4">
        <v>0.880348868901608</v>
      </c>
      <c r="Q38" s="4">
        <v>1.7898680247790213</v>
      </c>
      <c r="R38" s="4">
        <v>0.6958415185439399</v>
      </c>
      <c r="S38" s="4">
        <v>1.24071621855029</v>
      </c>
      <c r="T38" s="4">
        <v>1.075373461145443</v>
      </c>
      <c r="U38" s="4">
        <v>1.2165792230234722</v>
      </c>
      <c r="V38" s="4">
        <v>1.0067860718656134</v>
      </c>
      <c r="W38" s="4">
        <v>0.29087123589657227</v>
      </c>
      <c r="X38" s="4">
        <v>0.06090990020147123</v>
      </c>
      <c r="Y38" s="4">
        <v>0.7839759727927212</v>
      </c>
      <c r="Z38" s="4">
        <v>1.0207290230510606</v>
      </c>
      <c r="AA38" s="4">
        <v>0.8063682414969504</v>
      </c>
      <c r="AB38" s="4">
        <v>1.2155201463438114</v>
      </c>
      <c r="AC38" s="4">
        <v>1.3267412060871338</v>
      </c>
      <c r="AD38" s="4">
        <v>0.3237795562851996</v>
      </c>
    </row>
    <row r="39" ht="15.75" customHeight="1">
      <c r="A39" s="4" t="s">
        <v>15</v>
      </c>
      <c r="B39" s="4">
        <v>0.7383578431372549</v>
      </c>
      <c r="C39" s="4">
        <v>1.6610486891385765</v>
      </c>
      <c r="D39" s="4">
        <v>1.4269798533098126</v>
      </c>
      <c r="E39" s="4">
        <v>1.842544419358005</v>
      </c>
      <c r="F39" s="4">
        <v>1.0962918055976556</v>
      </c>
      <c r="G39" s="4">
        <v>1.6002415458937198</v>
      </c>
      <c r="H39" s="4">
        <v>2.0506177760063773</v>
      </c>
      <c r="I39" s="4">
        <v>1.117382485227974</v>
      </c>
      <c r="J39" s="4">
        <v>0.12160685006376386</v>
      </c>
      <c r="K39" s="4">
        <v>1.6345863146225934</v>
      </c>
      <c r="L39" s="4">
        <v>1.2187900917793355</v>
      </c>
      <c r="M39" s="4">
        <v>1.148940345368917</v>
      </c>
      <c r="N39" s="4">
        <v>1.2991633810943355</v>
      </c>
      <c r="O39" s="4">
        <v>0.485984710593375</v>
      </c>
      <c r="P39" s="4">
        <v>1.996842203027769</v>
      </c>
      <c r="Q39" s="4">
        <v>1.998431204763433</v>
      </c>
      <c r="R39" s="4">
        <v>1.0410298824121689</v>
      </c>
      <c r="S39" s="4">
        <v>0.7749197890042958</v>
      </c>
      <c r="T39" s="4">
        <v>0.8159079762807079</v>
      </c>
      <c r="U39" s="4">
        <v>1.9500640602179022</v>
      </c>
      <c r="V39" s="4">
        <v>0.899649918835931</v>
      </c>
      <c r="W39" s="4">
        <v>0.2555969932499158</v>
      </c>
      <c r="X39" s="4">
        <v>0.06393962836077732</v>
      </c>
      <c r="Y39" s="4">
        <v>0.8309721462776096</v>
      </c>
      <c r="Z39" s="4">
        <v>0.6092655291475312</v>
      </c>
      <c r="AA39" s="4">
        <v>0.6754518991092752</v>
      </c>
      <c r="AB39" s="4">
        <v>1.3045709501129912</v>
      </c>
      <c r="AC39" s="4">
        <v>1.2999584013311567</v>
      </c>
      <c r="AD39" s="4">
        <v>1.943920270821283</v>
      </c>
    </row>
    <row r="40" ht="15.75" customHeight="1">
      <c r="A40" s="4" t="s">
        <v>71</v>
      </c>
    </row>
    <row r="41" ht="15.75" customHeight="1">
      <c r="A41" s="4" t="s">
        <v>72</v>
      </c>
      <c r="B41" s="4">
        <f t="shared" ref="B41:AD41" si="4">B36/B39</f>
        <v>1.915524623</v>
      </c>
      <c r="C41" s="4">
        <f t="shared" si="4"/>
        <v>0.5997294648</v>
      </c>
      <c r="D41" s="4">
        <f t="shared" si="4"/>
        <v>1.005254817</v>
      </c>
      <c r="E41" s="4">
        <f t="shared" si="4"/>
        <v>0.9300623763</v>
      </c>
      <c r="F41" s="4">
        <f t="shared" si="4"/>
        <v>0.9325116064</v>
      </c>
      <c r="G41" s="4">
        <f t="shared" si="4"/>
        <v>1.393155816</v>
      </c>
      <c r="H41" s="4">
        <f t="shared" si="4"/>
        <v>1.85369532</v>
      </c>
      <c r="I41" s="4">
        <f t="shared" si="4"/>
        <v>0.5792758843</v>
      </c>
      <c r="J41" s="4">
        <f t="shared" si="4"/>
        <v>1.558412061</v>
      </c>
      <c r="K41" s="4">
        <f t="shared" si="4"/>
        <v>1.130382894</v>
      </c>
      <c r="L41" s="4">
        <f t="shared" si="4"/>
        <v>1.158995518</v>
      </c>
      <c r="M41" s="4">
        <f t="shared" si="4"/>
        <v>0.9591801879</v>
      </c>
      <c r="N41" s="4">
        <f t="shared" si="4"/>
        <v>1.90586734</v>
      </c>
      <c r="O41" s="4">
        <f t="shared" si="4"/>
        <v>1.124538296</v>
      </c>
      <c r="P41" s="4">
        <f t="shared" si="4"/>
        <v>1.598206019</v>
      </c>
      <c r="Q41" s="4">
        <f t="shared" si="4"/>
        <v>1.132636244</v>
      </c>
      <c r="R41" s="4">
        <f t="shared" si="4"/>
        <v>2.382744229</v>
      </c>
      <c r="S41" s="4">
        <f t="shared" si="4"/>
        <v>0.9094171438</v>
      </c>
      <c r="T41" s="4">
        <f t="shared" si="4"/>
        <v>0.6544600391</v>
      </c>
      <c r="U41" s="4">
        <f t="shared" si="4"/>
        <v>0.9144657835</v>
      </c>
      <c r="V41" s="4">
        <f t="shared" si="4"/>
        <v>0.868310277</v>
      </c>
      <c r="W41" s="4">
        <f t="shared" si="4"/>
        <v>1.378065526</v>
      </c>
      <c r="X41" s="4">
        <f t="shared" si="4"/>
        <v>2.013244674</v>
      </c>
      <c r="Y41" s="4">
        <f t="shared" si="4"/>
        <v>1.261740496</v>
      </c>
      <c r="Z41" s="4">
        <f t="shared" si="4"/>
        <v>0</v>
      </c>
      <c r="AA41" s="4">
        <f t="shared" si="4"/>
        <v>1.746384256</v>
      </c>
      <c r="AB41" s="4">
        <f t="shared" si="4"/>
        <v>1.512842705</v>
      </c>
      <c r="AC41" s="4">
        <f t="shared" si="4"/>
        <v>0.1914549827</v>
      </c>
      <c r="AD41" s="4">
        <f t="shared" si="4"/>
        <v>1.99125296</v>
      </c>
    </row>
    <row r="42" ht="15.75" customHeight="1">
      <c r="B42" s="4">
        <f t="shared" ref="B42:AD42" si="5">B37/B39</f>
        <v>1.008146171</v>
      </c>
      <c r="C42" s="4">
        <f t="shared" si="5"/>
        <v>1.142852887</v>
      </c>
      <c r="D42" s="4">
        <f t="shared" si="5"/>
        <v>0.88290696</v>
      </c>
      <c r="E42" s="4">
        <f t="shared" si="5"/>
        <v>0.5868852273</v>
      </c>
      <c r="F42" s="4">
        <f t="shared" si="5"/>
        <v>1.758228893</v>
      </c>
      <c r="G42" s="4">
        <f t="shared" si="5"/>
        <v>0.8819937353</v>
      </c>
      <c r="H42" s="4">
        <f t="shared" si="5"/>
        <v>0.6636202293</v>
      </c>
      <c r="I42" s="4">
        <f t="shared" si="5"/>
        <v>1.835275076</v>
      </c>
      <c r="J42" s="4">
        <f t="shared" si="5"/>
        <v>1.020862193</v>
      </c>
      <c r="K42" s="4">
        <f t="shared" si="5"/>
        <v>0.8331429723</v>
      </c>
      <c r="L42" s="4">
        <f t="shared" si="5"/>
        <v>1.019451181</v>
      </c>
      <c r="M42" s="4">
        <f t="shared" si="5"/>
        <v>0.6733127442</v>
      </c>
      <c r="N42" s="4">
        <f t="shared" si="5"/>
        <v>0.4610124408</v>
      </c>
      <c r="O42" s="4">
        <f t="shared" si="5"/>
        <v>0.3604691216</v>
      </c>
      <c r="P42" s="4">
        <f t="shared" si="5"/>
        <v>1.000216843</v>
      </c>
      <c r="Q42" s="4">
        <f t="shared" si="5"/>
        <v>0.9934745403</v>
      </c>
      <c r="R42" s="4">
        <f t="shared" si="5"/>
        <v>0.2738275996</v>
      </c>
      <c r="S42" s="4">
        <f t="shared" si="5"/>
        <v>0.5358723292</v>
      </c>
      <c r="T42" s="4">
        <f t="shared" si="5"/>
        <v>0.9665839237</v>
      </c>
      <c r="U42" s="4">
        <f t="shared" si="5"/>
        <v>1.404645503</v>
      </c>
      <c r="V42" s="4">
        <f t="shared" si="5"/>
        <v>0.9956589551</v>
      </c>
      <c r="W42" s="4">
        <f t="shared" si="5"/>
        <v>0.5344729893</v>
      </c>
      <c r="X42" s="4">
        <f t="shared" si="5"/>
        <v>0.1409717023</v>
      </c>
      <c r="Y42" s="4">
        <f t="shared" si="5"/>
        <v>0.8210819243</v>
      </c>
      <c r="Z42" s="4">
        <f t="shared" si="5"/>
        <v>1.374187463</v>
      </c>
      <c r="AA42" s="4">
        <f t="shared" si="5"/>
        <v>0.2612476306</v>
      </c>
      <c r="AB42" s="4">
        <f t="shared" si="5"/>
        <v>0.5405014634</v>
      </c>
      <c r="AC42" s="4">
        <f t="shared" si="5"/>
        <v>1.89275897</v>
      </c>
      <c r="AD42" s="4">
        <f t="shared" si="5"/>
        <v>1.225202805</v>
      </c>
    </row>
    <row r="43" ht="15.75" customHeight="1">
      <c r="B43" s="4">
        <f t="shared" ref="B43:AD43" si="6">B38/B39</f>
        <v>0.1844281232</v>
      </c>
      <c r="C43" s="4">
        <f t="shared" si="6"/>
        <v>1.22785425</v>
      </c>
      <c r="D43" s="4">
        <f t="shared" si="6"/>
        <v>1.084829897</v>
      </c>
      <c r="E43" s="4">
        <f t="shared" si="6"/>
        <v>1.510158571</v>
      </c>
      <c r="F43" s="4">
        <f t="shared" si="6"/>
        <v>0.3824445565</v>
      </c>
      <c r="G43" s="4">
        <f t="shared" si="6"/>
        <v>0.7841091253</v>
      </c>
      <c r="H43" s="4">
        <f t="shared" si="6"/>
        <v>0.4590863812</v>
      </c>
      <c r="I43" s="4">
        <f t="shared" si="6"/>
        <v>0.6643723957</v>
      </c>
      <c r="J43" s="4">
        <f t="shared" si="6"/>
        <v>0.5726477001</v>
      </c>
      <c r="K43" s="4">
        <f t="shared" si="6"/>
        <v>1.048984856</v>
      </c>
      <c r="L43" s="4">
        <f t="shared" si="6"/>
        <v>0.8748051249</v>
      </c>
      <c r="M43" s="4">
        <f t="shared" si="6"/>
        <v>1.361382803</v>
      </c>
      <c r="N43" s="4">
        <f t="shared" si="6"/>
        <v>0.8006507339</v>
      </c>
      <c r="O43" s="4">
        <f t="shared" si="6"/>
        <v>1.441419038</v>
      </c>
      <c r="P43" s="4">
        <f t="shared" si="6"/>
        <v>0.4408705243</v>
      </c>
      <c r="Q43" s="4">
        <f t="shared" si="6"/>
        <v>0.8956365476</v>
      </c>
      <c r="R43" s="4">
        <f t="shared" si="6"/>
        <v>0.6684164694</v>
      </c>
      <c r="S43" s="4">
        <f t="shared" si="6"/>
        <v>1.601089863</v>
      </c>
      <c r="T43" s="4">
        <f t="shared" si="6"/>
        <v>1.318008271</v>
      </c>
      <c r="U43" s="4">
        <f t="shared" si="6"/>
        <v>0.6238662862</v>
      </c>
      <c r="V43" s="4">
        <f t="shared" si="6"/>
        <v>1.119086492</v>
      </c>
      <c r="W43" s="4">
        <f t="shared" si="6"/>
        <v>1.138007268</v>
      </c>
      <c r="X43" s="4">
        <f t="shared" si="6"/>
        <v>0.9526157997</v>
      </c>
      <c r="Y43" s="4">
        <f t="shared" si="6"/>
        <v>0.9434443456</v>
      </c>
      <c r="Z43" s="4">
        <f t="shared" si="6"/>
        <v>1.675343466</v>
      </c>
      <c r="AA43" s="4">
        <f t="shared" si="6"/>
        <v>1.193820378</v>
      </c>
      <c r="AB43" s="4">
        <f t="shared" si="6"/>
        <v>0.9317393939</v>
      </c>
      <c r="AC43" s="4">
        <f t="shared" si="6"/>
        <v>1.020602817</v>
      </c>
      <c r="AD43" s="4">
        <f t="shared" si="6"/>
        <v>0.1665601008</v>
      </c>
    </row>
    <row r="44" ht="15.75" customHeight="1"/>
    <row r="45" ht="15.75" customHeight="1">
      <c r="A45" s="4" t="s">
        <v>34</v>
      </c>
      <c r="B45" s="4">
        <v>0.0</v>
      </c>
      <c r="C45" s="4">
        <v>0.0</v>
      </c>
      <c r="D45" s="4">
        <v>2.0</v>
      </c>
      <c r="E45" s="4">
        <v>2.0</v>
      </c>
      <c r="F45" s="4">
        <v>7.0</v>
      </c>
      <c r="G45" s="4">
        <v>3.0</v>
      </c>
      <c r="H45" s="4">
        <v>10.0</v>
      </c>
      <c r="I45" s="4">
        <v>10.0</v>
      </c>
      <c r="J45" s="4">
        <v>0.0</v>
      </c>
      <c r="K45" s="4">
        <v>9.0</v>
      </c>
      <c r="L45" s="4">
        <v>4.0</v>
      </c>
      <c r="M45" s="4">
        <v>0.0</v>
      </c>
      <c r="N45" s="4">
        <v>8.0</v>
      </c>
      <c r="O45" s="4">
        <v>0.0</v>
      </c>
      <c r="P45" s="4">
        <v>9.0</v>
      </c>
      <c r="Q45" s="4">
        <v>3.0</v>
      </c>
      <c r="R45" s="4">
        <v>1.0</v>
      </c>
      <c r="S45" s="4">
        <v>3.0</v>
      </c>
      <c r="T45" s="4">
        <v>4.0</v>
      </c>
      <c r="U45" s="4">
        <v>4.0</v>
      </c>
      <c r="V45" s="4">
        <v>3.0</v>
      </c>
      <c r="W45" s="4">
        <v>0.0</v>
      </c>
      <c r="X45" s="4">
        <v>0.0</v>
      </c>
      <c r="Y45" s="4">
        <v>6.0</v>
      </c>
      <c r="Z45" s="4">
        <v>10.0</v>
      </c>
      <c r="AA45" s="4">
        <v>0.0</v>
      </c>
      <c r="AB45" s="4">
        <v>9.0</v>
      </c>
      <c r="AC45" s="4">
        <v>4.0</v>
      </c>
      <c r="AD45" s="4">
        <v>13.0</v>
      </c>
    </row>
    <row r="46" ht="15.75" customHeight="1">
      <c r="B46" s="4">
        <v>0.0</v>
      </c>
      <c r="C46" s="4">
        <v>0.0</v>
      </c>
      <c r="D46" s="4">
        <v>0.16666666666666666</v>
      </c>
      <c r="E46" s="4">
        <v>0.08</v>
      </c>
      <c r="F46" s="4">
        <v>0.3333333333333333</v>
      </c>
      <c r="G46" s="4">
        <v>0.10344827586206896</v>
      </c>
      <c r="H46" s="4">
        <v>0.4166666666666667</v>
      </c>
      <c r="I46" s="4">
        <v>0.5263157894736842</v>
      </c>
      <c r="J46" s="4">
        <v>0.0</v>
      </c>
      <c r="K46" s="4">
        <v>0.36</v>
      </c>
      <c r="L46" s="4">
        <v>0.2</v>
      </c>
      <c r="M46" s="4">
        <v>0.0</v>
      </c>
      <c r="N46" s="4">
        <v>0.4</v>
      </c>
      <c r="O46" s="4">
        <v>0.0</v>
      </c>
      <c r="P46" s="4">
        <v>0.32142857142857145</v>
      </c>
      <c r="Q46" s="4">
        <v>0.1875</v>
      </c>
      <c r="R46" s="4">
        <v>0.09090909090909091</v>
      </c>
      <c r="S46" s="4">
        <v>0.2</v>
      </c>
      <c r="T46" s="4">
        <v>0.2857142857142857</v>
      </c>
      <c r="U46" s="4">
        <v>0.17391304347826086</v>
      </c>
      <c r="V46" s="4">
        <v>0.15789473684210525</v>
      </c>
      <c r="W46" s="4">
        <v>0.0</v>
      </c>
      <c r="X46" s="4">
        <v>0.0</v>
      </c>
      <c r="Y46" s="4">
        <v>0.6</v>
      </c>
      <c r="Z46" s="4">
        <v>0.8333333333333334</v>
      </c>
      <c r="AA46" s="4">
        <v>0.0</v>
      </c>
      <c r="AB46" s="4">
        <v>0.6428571428571429</v>
      </c>
      <c r="AC46" s="4">
        <v>0.3333333333333333</v>
      </c>
      <c r="AD46" s="4">
        <v>0.40625</v>
      </c>
    </row>
    <row r="47" ht="15.75" customHeight="1"/>
    <row r="48" ht="15.75" customHeight="1">
      <c r="A48" s="4" t="s">
        <v>37</v>
      </c>
      <c r="B48" s="4">
        <v>1.0</v>
      </c>
      <c r="C48" s="4">
        <v>0.3333333333333333</v>
      </c>
      <c r="D48" s="4">
        <v>0.3333333333333333</v>
      </c>
      <c r="E48" s="4">
        <v>0.48</v>
      </c>
      <c r="F48" s="4">
        <v>0.5238095238095238</v>
      </c>
      <c r="G48" s="4">
        <v>0.5172413793103449</v>
      </c>
      <c r="H48" s="4">
        <v>0.4166666666666667</v>
      </c>
      <c r="I48" s="4">
        <v>0.0</v>
      </c>
      <c r="J48" s="4">
        <v>1.0</v>
      </c>
      <c r="K48" s="4">
        <v>0.44</v>
      </c>
      <c r="L48" s="4">
        <v>0.6</v>
      </c>
      <c r="M48" s="4">
        <v>0.4444444444444444</v>
      </c>
      <c r="N48" s="4">
        <v>0.55</v>
      </c>
      <c r="O48" s="4">
        <v>0.2</v>
      </c>
      <c r="P48" s="4">
        <v>0.42857142857142855</v>
      </c>
      <c r="Q48" s="4">
        <v>0.4375</v>
      </c>
      <c r="R48" s="4">
        <v>0.8181818181818182</v>
      </c>
      <c r="S48" s="4">
        <v>0.0</v>
      </c>
      <c r="T48" s="4">
        <v>0.0</v>
      </c>
      <c r="U48" s="4">
        <v>0.43478260869565216</v>
      </c>
      <c r="V48" s="4">
        <v>0.5263157894736842</v>
      </c>
      <c r="W48" s="4">
        <v>1.0</v>
      </c>
      <c r="X48" s="4">
        <v>1.0</v>
      </c>
      <c r="Y48" s="4">
        <v>0.1</v>
      </c>
      <c r="Z48" s="4">
        <v>0.0</v>
      </c>
      <c r="AA48" s="4">
        <v>0.7857142857142857</v>
      </c>
      <c r="AB48" s="4">
        <v>0.35714285714285715</v>
      </c>
      <c r="AC48" s="4">
        <v>0.25</v>
      </c>
      <c r="AD48" s="4">
        <v>0.46875</v>
      </c>
    </row>
    <row r="49" ht="15.75" customHeight="1">
      <c r="B49" s="4">
        <v>0.0</v>
      </c>
      <c r="C49" s="4">
        <v>0.0</v>
      </c>
      <c r="D49" s="4">
        <v>0.16666666666666666</v>
      </c>
      <c r="E49" s="4">
        <v>0.08</v>
      </c>
      <c r="F49" s="4">
        <v>0.3333333333333333</v>
      </c>
      <c r="G49" s="4">
        <v>0.10344827586206896</v>
      </c>
      <c r="H49" s="4">
        <v>0.4166666666666667</v>
      </c>
      <c r="I49" s="4">
        <v>0.5263157894736842</v>
      </c>
      <c r="J49" s="4">
        <v>0.0</v>
      </c>
      <c r="K49" s="4">
        <v>0.36</v>
      </c>
      <c r="L49" s="4">
        <v>0.2</v>
      </c>
      <c r="M49" s="4">
        <v>0.0</v>
      </c>
      <c r="N49" s="4">
        <v>0.4</v>
      </c>
      <c r="O49" s="4">
        <v>0.0</v>
      </c>
      <c r="P49" s="4">
        <v>0.32142857142857145</v>
      </c>
      <c r="Q49" s="4">
        <v>0.1875</v>
      </c>
      <c r="R49" s="4">
        <v>0.09090909090909091</v>
      </c>
      <c r="S49" s="4">
        <v>0.2</v>
      </c>
      <c r="T49" s="4">
        <v>0.2857142857142857</v>
      </c>
      <c r="U49" s="4">
        <v>0.17391304347826086</v>
      </c>
      <c r="V49" s="4">
        <v>0.15789473684210525</v>
      </c>
      <c r="W49" s="4">
        <v>0.0</v>
      </c>
      <c r="X49" s="4">
        <v>0.0</v>
      </c>
      <c r="Y49" s="4">
        <v>0.6</v>
      </c>
      <c r="Z49" s="4">
        <v>0.8333333333333334</v>
      </c>
      <c r="AA49" s="4">
        <v>0.0</v>
      </c>
      <c r="AB49" s="4">
        <v>0.6428571428571429</v>
      </c>
      <c r="AC49" s="4">
        <v>0.3333333333333333</v>
      </c>
      <c r="AD49" s="4">
        <v>0.40625</v>
      </c>
    </row>
    <row r="50" ht="15.75" customHeight="1">
      <c r="B50" s="4">
        <v>0.0</v>
      </c>
      <c r="C50" s="4">
        <v>0.6666666666666666</v>
      </c>
      <c r="D50" s="4">
        <v>0.5</v>
      </c>
      <c r="E50" s="4">
        <v>0.44</v>
      </c>
      <c r="F50" s="4">
        <v>0.14285714285714285</v>
      </c>
      <c r="G50" s="4">
        <v>0.3793103448275862</v>
      </c>
      <c r="H50" s="4">
        <v>0.16666666666666666</v>
      </c>
      <c r="I50" s="4">
        <v>0.47368421052631576</v>
      </c>
      <c r="J50" s="4">
        <v>0.0</v>
      </c>
      <c r="K50" s="4">
        <v>0.2</v>
      </c>
      <c r="L50" s="4">
        <v>0.2</v>
      </c>
      <c r="M50" s="4">
        <v>0.5555555555555556</v>
      </c>
      <c r="N50" s="4">
        <v>0.05</v>
      </c>
      <c r="O50" s="4">
        <v>0.8</v>
      </c>
      <c r="P50" s="4">
        <v>0.25</v>
      </c>
      <c r="Q50" s="4">
        <v>0.375</v>
      </c>
      <c r="R50" s="4">
        <v>0.09090909090909091</v>
      </c>
      <c r="S50" s="4">
        <v>0.8</v>
      </c>
      <c r="T50" s="4">
        <v>0.7142857142857143</v>
      </c>
      <c r="U50" s="4">
        <v>0.391304347826087</v>
      </c>
      <c r="V50" s="4">
        <v>0.3157894736842105</v>
      </c>
      <c r="W50" s="4">
        <v>0.0</v>
      </c>
      <c r="X50" s="4">
        <v>0.0</v>
      </c>
      <c r="Y50" s="4">
        <v>0.3</v>
      </c>
      <c r="Z50" s="4">
        <v>0.16666666666666666</v>
      </c>
      <c r="AA50" s="4">
        <v>0.21428571428571427</v>
      </c>
      <c r="AB50" s="4">
        <v>0.0</v>
      </c>
      <c r="AC50" s="4">
        <v>0.4166666666666667</v>
      </c>
      <c r="AD50" s="4">
        <v>0.125</v>
      </c>
    </row>
    <row r="51" ht="15.75" customHeight="1"/>
    <row r="52" ht="15.75" customHeight="1">
      <c r="A52" s="4" t="s">
        <v>73</v>
      </c>
      <c r="D52" s="4">
        <f>CORREL(B7:AD7,B48:AD48)</f>
        <v>-0.3924461743</v>
      </c>
    </row>
    <row r="53" ht="15.75" customHeight="1">
      <c r="A53" s="4" t="s">
        <v>74</v>
      </c>
      <c r="D53" s="4">
        <f>CORREL(B7:AD7,B49:AD49)</f>
        <v>0.6735659485</v>
      </c>
      <c r="G53" s="29"/>
    </row>
    <row r="54" ht="15.75" customHeight="1">
      <c r="A54" s="4" t="s">
        <v>75</v>
      </c>
      <c r="D54" s="4">
        <f>CORREL(B7:AD7,B50:AD50)</f>
        <v>-0.1292733364</v>
      </c>
      <c r="G54" s="29"/>
    </row>
    <row r="55" ht="15.75" customHeight="1">
      <c r="G55" s="29"/>
    </row>
    <row r="56" ht="15.75" customHeight="1">
      <c r="G56" s="29"/>
    </row>
    <row r="57" ht="15.75" customHeight="1">
      <c r="G57" s="29"/>
    </row>
    <row r="58" ht="15.75" customHeight="1">
      <c r="G58" s="29"/>
    </row>
    <row r="59" ht="15.75" customHeight="1">
      <c r="G59" s="29"/>
    </row>
    <row r="60" ht="15.75" customHeight="1">
      <c r="G60" s="29"/>
    </row>
    <row r="61" ht="15.75" customHeight="1">
      <c r="G61" s="29"/>
    </row>
    <row r="62" ht="15.75" customHeight="1">
      <c r="G62" s="29"/>
    </row>
    <row r="63" ht="15.75" customHeight="1">
      <c r="G63" s="29"/>
    </row>
    <row r="64" ht="15.75" customHeight="1">
      <c r="G64" s="29"/>
    </row>
    <row r="65" ht="15.75" customHeight="1">
      <c r="G65" s="29"/>
    </row>
    <row r="66" ht="15.75" customHeight="1">
      <c r="G66" s="29"/>
    </row>
    <row r="67" ht="15.75" customHeight="1">
      <c r="G67" s="29"/>
    </row>
    <row r="68" ht="15.75" customHeight="1">
      <c r="G68" s="29"/>
    </row>
    <row r="69" ht="15.75" customHeight="1">
      <c r="G69" s="29"/>
    </row>
    <row r="70" ht="15.75" customHeight="1">
      <c r="G70" s="29"/>
    </row>
    <row r="71" ht="15.75" customHeight="1">
      <c r="G71" s="29"/>
    </row>
    <row r="72" ht="15.75" customHeight="1">
      <c r="G72" s="29"/>
    </row>
    <row r="73" ht="15.75" customHeight="1">
      <c r="G73" s="29"/>
    </row>
    <row r="74" ht="15.75" customHeight="1">
      <c r="G74" s="29"/>
    </row>
    <row r="75" ht="15.75" customHeight="1">
      <c r="G75" s="29"/>
    </row>
    <row r="76" ht="15.75" customHeight="1">
      <c r="G76" s="29"/>
    </row>
    <row r="77" ht="15.75" customHeight="1">
      <c r="G77" s="29"/>
    </row>
    <row r="78" ht="15.75" customHeight="1">
      <c r="G78" s="29"/>
    </row>
    <row r="79" ht="15.75" customHeight="1">
      <c r="G79" s="29"/>
    </row>
    <row r="80" ht="15.75" customHeight="1">
      <c r="G80" s="29"/>
    </row>
    <row r="81" ht="15.75" customHeight="1">
      <c r="G81" s="29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5.29"/>
    <col customWidth="1" min="3" max="3" width="8.86"/>
    <col customWidth="1" min="4" max="4" width="5.29"/>
    <col customWidth="1" min="5" max="26" width="8.71"/>
  </cols>
  <sheetData>
    <row r="1">
      <c r="A1" s="4" t="s">
        <v>22</v>
      </c>
      <c r="B1" s="4" t="s">
        <v>29</v>
      </c>
      <c r="C1" s="21" t="s">
        <v>17</v>
      </c>
      <c r="D1" s="21"/>
    </row>
    <row r="2">
      <c r="A2" s="4">
        <v>1972.0</v>
      </c>
      <c r="B2" s="4">
        <v>1.0</v>
      </c>
      <c r="C2" s="21">
        <v>0.6671850699844479</v>
      </c>
      <c r="D2" s="36">
        <v>0.01</v>
      </c>
    </row>
    <row r="3">
      <c r="A3" s="4">
        <v>1973.0</v>
      </c>
      <c r="B3" s="4">
        <v>4.0</v>
      </c>
      <c r="C3" s="21">
        <v>1.3075435203094774</v>
      </c>
      <c r="D3" s="36">
        <v>0.01</v>
      </c>
    </row>
    <row r="4">
      <c r="A4" s="4">
        <v>1977.0</v>
      </c>
      <c r="B4" s="4">
        <v>26.0</v>
      </c>
      <c r="C4" s="21">
        <v>1.2810851544837984</v>
      </c>
      <c r="D4" s="27">
        <v>0.17</v>
      </c>
    </row>
    <row r="5">
      <c r="A5" s="4">
        <v>1982.0</v>
      </c>
      <c r="B5" s="4">
        <v>22.0</v>
      </c>
      <c r="C5" s="21">
        <v>1.5213707399736398</v>
      </c>
      <c r="D5" s="27">
        <v>0.08</v>
      </c>
    </row>
    <row r="6">
      <c r="A6" s="4">
        <v>1983.0</v>
      </c>
      <c r="B6" s="4">
        <v>31.0</v>
      </c>
      <c r="C6" s="21">
        <v>1.4993176057711055</v>
      </c>
      <c r="D6" s="27">
        <v>0.33</v>
      </c>
    </row>
    <row r="7">
      <c r="C7" s="21"/>
      <c r="D7" s="27"/>
    </row>
    <row r="8">
      <c r="A8" s="4">
        <v>1987.0</v>
      </c>
      <c r="B8" s="4">
        <v>24.0</v>
      </c>
      <c r="C8" s="21">
        <v>1.1416094822208356</v>
      </c>
      <c r="D8" s="36">
        <v>0.4166666666666667</v>
      </c>
    </row>
    <row r="9">
      <c r="A9" s="4">
        <v>1991.0</v>
      </c>
      <c r="B9" s="4">
        <v>10.0</v>
      </c>
      <c r="C9" s="21">
        <v>1.5207111783620202</v>
      </c>
      <c r="D9" s="36">
        <v>0.23</v>
      </c>
    </row>
    <row r="10">
      <c r="A10" s="4">
        <v>1992.0</v>
      </c>
      <c r="B10" s="4">
        <v>5.0</v>
      </c>
      <c r="C10" s="21">
        <v>0.16213683223992506</v>
      </c>
      <c r="D10" s="36">
        <v>0.01</v>
      </c>
    </row>
    <row r="11">
      <c r="A11" s="4">
        <v>1993.0</v>
      </c>
      <c r="B11" s="4">
        <v>25.0</v>
      </c>
      <c r="C11" s="21">
        <v>1.8425259792166264</v>
      </c>
      <c r="D11" s="36">
        <v>0.36</v>
      </c>
    </row>
    <row r="12">
      <c r="A12" s="4">
        <v>1994.0</v>
      </c>
      <c r="B12" s="4">
        <v>17.0</v>
      </c>
      <c r="C12" s="21">
        <v>0.9733464955577491</v>
      </c>
      <c r="D12" s="36">
        <v>0.2</v>
      </c>
    </row>
    <row r="13">
      <c r="A13" s="4">
        <v>1995.0</v>
      </c>
      <c r="B13" s="4">
        <v>11.0</v>
      </c>
      <c r="C13" s="21">
        <v>0.9803528468323977</v>
      </c>
      <c r="D13" s="36">
        <v>0.01</v>
      </c>
    </row>
    <row r="14">
      <c r="A14" s="4">
        <v>1996.0</v>
      </c>
      <c r="B14" s="4">
        <v>26.0</v>
      </c>
      <c r="C14" s="21">
        <v>0.9728340675477238</v>
      </c>
      <c r="D14" s="36">
        <v>0.4</v>
      </c>
    </row>
    <row r="15">
      <c r="A15" s="4">
        <v>1997.0</v>
      </c>
      <c r="B15" s="4">
        <v>1.0</v>
      </c>
      <c r="C15" s="21">
        <v>0.16927322907083714</v>
      </c>
      <c r="D15" s="36">
        <v>0.01</v>
      </c>
    </row>
    <row r="16">
      <c r="A16" s="4">
        <v>1998.0</v>
      </c>
      <c r="B16" s="4">
        <v>18.0</v>
      </c>
      <c r="C16" s="21">
        <v>2.5707589688119694</v>
      </c>
      <c r="D16" s="36">
        <v>0.32142857142857145</v>
      </c>
    </row>
    <row r="17">
      <c r="C17" s="21"/>
      <c r="D17" s="36"/>
    </row>
    <row r="18">
      <c r="A18" s="4">
        <v>2005.0</v>
      </c>
      <c r="B18" s="4">
        <v>2.0</v>
      </c>
      <c r="C18" s="21">
        <v>0.40589505957772976</v>
      </c>
      <c r="D18" s="36">
        <v>0.09090909090909091</v>
      </c>
    </row>
    <row r="19">
      <c r="A19" s="4">
        <v>2006.0</v>
      </c>
      <c r="B19" s="4">
        <v>10.0</v>
      </c>
      <c r="C19" s="21">
        <v>0.5821078431372549</v>
      </c>
      <c r="D19" s="36">
        <v>0.2</v>
      </c>
    </row>
    <row r="20">
      <c r="A20" s="4">
        <v>2007.0</v>
      </c>
      <c r="B20" s="4">
        <v>13.0</v>
      </c>
      <c r="C20" s="21">
        <v>0.9665510268445172</v>
      </c>
      <c r="D20" s="36">
        <v>0.2857142857142857</v>
      </c>
    </row>
    <row r="21" ht="15.75" customHeight="1">
      <c r="C21" s="21"/>
      <c r="D21" s="36"/>
    </row>
    <row r="22" ht="15.75" customHeight="1">
      <c r="A22" s="4">
        <v>2009.0</v>
      </c>
      <c r="B22" s="4">
        <v>16.0</v>
      </c>
      <c r="C22" s="21">
        <v>0.9765736325119221</v>
      </c>
      <c r="D22" s="36">
        <v>0.15789473684210525</v>
      </c>
    </row>
    <row r="23" ht="15.75" customHeight="1">
      <c r="A23" s="4">
        <v>2010.0</v>
      </c>
      <c r="B23" s="4">
        <v>1.0</v>
      </c>
      <c r="C23" s="21">
        <v>0.12577048585931835</v>
      </c>
      <c r="D23" s="36">
        <v>0.01</v>
      </c>
    </row>
    <row r="24" ht="15.75" customHeight="1">
      <c r="A24" s="4">
        <v>2011.0</v>
      </c>
      <c r="B24" s="4">
        <v>7.0</v>
      </c>
      <c r="C24" s="21">
        <v>0.04128393023015791</v>
      </c>
      <c r="D24" s="36">
        <v>0.01</v>
      </c>
    </row>
    <row r="25" ht="15.75" customHeight="1">
      <c r="A25" s="4">
        <v>2012.0</v>
      </c>
      <c r="B25" s="4">
        <v>61.0</v>
      </c>
      <c r="C25" s="21">
        <v>0.6512193918663356</v>
      </c>
      <c r="D25" s="36">
        <v>0.6</v>
      </c>
    </row>
    <row r="26" ht="15.75" customHeight="1">
      <c r="A26" s="4">
        <v>2013.0</v>
      </c>
      <c r="B26" s="4">
        <v>66.0</v>
      </c>
      <c r="C26" s="21">
        <v>0.8169964438770857</v>
      </c>
      <c r="D26" s="36">
        <v>0.8333333333333334</v>
      </c>
    </row>
    <row r="27" ht="15.75" customHeight="1">
      <c r="A27" s="4">
        <v>2014.0</v>
      </c>
      <c r="B27" s="4">
        <v>16.0</v>
      </c>
      <c r="C27" s="21">
        <v>0.1701682047254402</v>
      </c>
      <c r="D27" s="36">
        <v>0.01</v>
      </c>
    </row>
    <row r="28" ht="15.75" customHeight="1">
      <c r="A28" s="4">
        <v>2015.0</v>
      </c>
      <c r="B28" s="4">
        <v>57.0</v>
      </c>
      <c r="C28" s="21">
        <v>1.2141944214720701</v>
      </c>
      <c r="D28" s="36">
        <v>0.6428571428571429</v>
      </c>
    </row>
    <row r="29" ht="15.75" customHeight="1">
      <c r="A29" s="4">
        <v>2016.0</v>
      </c>
      <c r="B29" s="4">
        <v>54.0</v>
      </c>
      <c r="C29" s="21">
        <v>1.620339657688735</v>
      </c>
      <c r="D29" s="36">
        <v>0.3333333333333333</v>
      </c>
    </row>
    <row r="30" ht="15.75" customHeight="1">
      <c r="A30" s="4">
        <v>2017.0</v>
      </c>
      <c r="B30" s="4">
        <v>59.0</v>
      </c>
      <c r="C30" s="21">
        <v>2.5259218835269346</v>
      </c>
      <c r="D30" s="36">
        <v>0.40625</v>
      </c>
    </row>
    <row r="31" ht="15.75" customHeight="1">
      <c r="C31" s="21"/>
      <c r="D31" s="21"/>
      <c r="F31" s="4">
        <f>CORREL(B2:B26,C2:C26)</f>
        <v>0.2411757739</v>
      </c>
      <c r="G31" s="37">
        <f>CORREL(B2:B26,D2:D26)</f>
        <v>0.9066683238</v>
      </c>
    </row>
    <row r="32" ht="15.75" customHeight="1">
      <c r="C32" s="21"/>
      <c r="D32" s="21"/>
    </row>
    <row r="33" ht="15.75" customHeight="1">
      <c r="C33" s="21"/>
      <c r="D33" s="21"/>
    </row>
    <row r="34" ht="15.75" customHeight="1">
      <c r="C34" s="21"/>
      <c r="D34" s="21"/>
    </row>
    <row r="35" ht="15.75" customHeight="1">
      <c r="C35" s="21"/>
      <c r="D35" s="21"/>
    </row>
    <row r="36" ht="15.75" customHeight="1">
      <c r="C36" s="21"/>
      <c r="D36" s="21"/>
    </row>
    <row r="37" ht="15.75" customHeight="1">
      <c r="C37" s="21"/>
      <c r="D37" s="21"/>
    </row>
    <row r="38" ht="15.75" customHeight="1">
      <c r="C38" s="21"/>
      <c r="D38" s="21"/>
    </row>
    <row r="39" ht="15.75" customHeight="1">
      <c r="C39" s="21"/>
      <c r="D39" s="21"/>
    </row>
    <row r="40" ht="15.75" customHeight="1">
      <c r="C40" s="21"/>
      <c r="D40" s="21"/>
    </row>
    <row r="41" ht="15.75" customHeight="1">
      <c r="C41" s="21"/>
      <c r="D41" s="21"/>
    </row>
    <row r="42" ht="15.75" customHeight="1">
      <c r="C42" s="21"/>
      <c r="D42" s="21"/>
    </row>
    <row r="43" ht="15.75" customHeight="1">
      <c r="C43" s="21"/>
      <c r="D43" s="21"/>
    </row>
    <row r="44" ht="15.75" customHeight="1">
      <c r="C44" s="21"/>
      <c r="D44" s="21"/>
    </row>
    <row r="45" ht="15.75" customHeight="1">
      <c r="C45" s="21"/>
      <c r="D45" s="21"/>
    </row>
    <row r="46" ht="15.75" customHeight="1">
      <c r="C46" s="21"/>
      <c r="D46" s="21"/>
    </row>
    <row r="47" ht="15.75" customHeight="1">
      <c r="C47" s="21"/>
      <c r="D47" s="21"/>
    </row>
    <row r="48" ht="15.75" customHeight="1">
      <c r="C48" s="21"/>
      <c r="D48" s="21"/>
    </row>
    <row r="49" ht="15.75" customHeight="1">
      <c r="C49" s="21"/>
      <c r="D49" s="21"/>
    </row>
    <row r="50" ht="15.75" customHeight="1">
      <c r="C50" s="21"/>
      <c r="D50" s="21"/>
    </row>
    <row r="51" ht="15.75" customHeight="1">
      <c r="C51" s="21"/>
      <c r="D51" s="21"/>
    </row>
    <row r="52" ht="15.75" customHeight="1">
      <c r="C52" s="21"/>
      <c r="D52" s="21"/>
    </row>
    <row r="53" ht="15.75" customHeight="1">
      <c r="C53" s="21"/>
      <c r="D53" s="21"/>
    </row>
    <row r="54" ht="15.75" customHeight="1">
      <c r="C54" s="21"/>
      <c r="D54" s="21"/>
    </row>
    <row r="55" ht="15.75" customHeight="1">
      <c r="C55" s="21"/>
      <c r="D55" s="21"/>
    </row>
    <row r="56" ht="15.75" customHeight="1">
      <c r="C56" s="21"/>
      <c r="D56" s="21"/>
    </row>
    <row r="57" ht="15.75" customHeight="1">
      <c r="C57" s="21"/>
      <c r="D57" s="21"/>
    </row>
    <row r="58" ht="15.75" customHeight="1">
      <c r="C58" s="21"/>
      <c r="D58" s="21"/>
    </row>
    <row r="59" ht="15.75" customHeight="1">
      <c r="C59" s="21"/>
      <c r="D59" s="21"/>
    </row>
    <row r="60" ht="15.75" customHeight="1">
      <c r="C60" s="21"/>
      <c r="D60" s="21"/>
    </row>
    <row r="61" ht="15.75" customHeight="1">
      <c r="C61" s="21"/>
      <c r="D61" s="21"/>
    </row>
    <row r="62" ht="15.75" customHeight="1">
      <c r="C62" s="21"/>
      <c r="D62" s="21"/>
    </row>
    <row r="63" ht="15.75" customHeight="1">
      <c r="C63" s="21"/>
      <c r="D63" s="21"/>
    </row>
    <row r="64" ht="15.75" customHeight="1">
      <c r="C64" s="21"/>
      <c r="D64" s="21"/>
    </row>
    <row r="65" ht="15.75" customHeight="1">
      <c r="C65" s="21"/>
      <c r="D65" s="21"/>
    </row>
    <row r="66" ht="15.75" customHeight="1">
      <c r="C66" s="21"/>
      <c r="D66" s="21"/>
    </row>
    <row r="67" ht="15.75" customHeight="1">
      <c r="C67" s="21"/>
      <c r="D67" s="21"/>
    </row>
    <row r="68" ht="15.75" customHeight="1">
      <c r="C68" s="21"/>
      <c r="D68" s="21"/>
    </row>
    <row r="69" ht="15.75" customHeight="1">
      <c r="C69" s="21"/>
      <c r="D69" s="21"/>
    </row>
    <row r="70" ht="15.75" customHeight="1">
      <c r="C70" s="21"/>
      <c r="D70" s="21"/>
    </row>
    <row r="71" ht="15.75" customHeight="1">
      <c r="C71" s="21"/>
      <c r="D71" s="21"/>
    </row>
    <row r="72" ht="15.75" customHeight="1">
      <c r="C72" s="21"/>
      <c r="D72" s="21"/>
    </row>
    <row r="73" ht="15.75" customHeight="1">
      <c r="C73" s="21"/>
      <c r="D73" s="21"/>
    </row>
    <row r="74" ht="15.75" customHeight="1">
      <c r="C74" s="21"/>
      <c r="D74" s="21"/>
    </row>
    <row r="75" ht="15.75" customHeight="1">
      <c r="C75" s="21"/>
      <c r="D75" s="21"/>
    </row>
    <row r="76" ht="15.75" customHeight="1">
      <c r="C76" s="21"/>
      <c r="D76" s="21"/>
    </row>
    <row r="77" ht="15.75" customHeight="1">
      <c r="C77" s="21"/>
      <c r="D77" s="21"/>
    </row>
    <row r="78" ht="15.75" customHeight="1">
      <c r="C78" s="21"/>
      <c r="D78" s="21"/>
    </row>
    <row r="79" ht="15.75" customHeight="1">
      <c r="C79" s="21"/>
      <c r="D79" s="21"/>
    </row>
    <row r="80" ht="15.75" customHeight="1">
      <c r="C80" s="21"/>
      <c r="D80" s="21"/>
    </row>
    <row r="81" ht="15.75" customHeight="1">
      <c r="C81" s="21"/>
      <c r="D81" s="21"/>
    </row>
    <row r="82" ht="15.75" customHeight="1">
      <c r="C82" s="21"/>
      <c r="D82" s="21"/>
    </row>
    <row r="83" ht="15.75" customHeight="1">
      <c r="C83" s="21"/>
      <c r="D83" s="21"/>
    </row>
    <row r="84" ht="15.75" customHeight="1">
      <c r="C84" s="21"/>
      <c r="D84" s="21"/>
    </row>
    <row r="85" ht="15.75" customHeight="1">
      <c r="C85" s="21"/>
      <c r="D85" s="21"/>
    </row>
    <row r="86" ht="15.75" customHeight="1">
      <c r="C86" s="21"/>
      <c r="D86" s="21"/>
    </row>
    <row r="87" ht="15.75" customHeight="1">
      <c r="C87" s="21"/>
      <c r="D87" s="21"/>
    </row>
    <row r="88" ht="15.75" customHeight="1">
      <c r="C88" s="21"/>
      <c r="D88" s="21"/>
    </row>
    <row r="89" ht="15.75" customHeight="1">
      <c r="C89" s="21"/>
      <c r="D89" s="21"/>
    </row>
    <row r="90" ht="15.75" customHeight="1">
      <c r="C90" s="21"/>
      <c r="D90" s="21"/>
    </row>
    <row r="91" ht="15.75" customHeight="1">
      <c r="C91" s="21"/>
      <c r="D91" s="21"/>
    </row>
    <row r="92" ht="15.75" customHeight="1">
      <c r="C92" s="21"/>
      <c r="D92" s="21"/>
    </row>
    <row r="93" ht="15.75" customHeight="1">
      <c r="C93" s="21"/>
      <c r="D93" s="21"/>
    </row>
    <row r="94" ht="15.75" customHeight="1">
      <c r="C94" s="21"/>
      <c r="D94" s="21"/>
    </row>
    <row r="95" ht="15.75" customHeight="1">
      <c r="C95" s="21"/>
      <c r="D95" s="21"/>
    </row>
    <row r="96" ht="15.75" customHeight="1">
      <c r="C96" s="21"/>
      <c r="D96" s="21"/>
    </row>
    <row r="97" ht="15.75" customHeight="1">
      <c r="C97" s="21"/>
      <c r="D97" s="21"/>
    </row>
    <row r="98" ht="15.75" customHeight="1">
      <c r="C98" s="21"/>
      <c r="D98" s="21"/>
    </row>
    <row r="99" ht="15.75" customHeight="1">
      <c r="C99" s="21"/>
      <c r="D99" s="21"/>
    </row>
    <row r="100" ht="15.75" customHeight="1">
      <c r="C100" s="21"/>
      <c r="D100" s="21"/>
    </row>
    <row r="101" ht="15.75" customHeight="1">
      <c r="C101" s="21"/>
      <c r="D101" s="21"/>
    </row>
    <row r="102" ht="15.75" customHeight="1">
      <c r="C102" s="21"/>
      <c r="D102" s="21"/>
    </row>
    <row r="103" ht="15.75" customHeight="1">
      <c r="C103" s="21"/>
      <c r="D103" s="21"/>
    </row>
    <row r="104" ht="15.75" customHeight="1">
      <c r="C104" s="21"/>
      <c r="D104" s="21"/>
    </row>
    <row r="105" ht="15.75" customHeight="1">
      <c r="C105" s="21"/>
      <c r="D105" s="21"/>
    </row>
    <row r="106" ht="15.75" customHeight="1">
      <c r="C106" s="21"/>
      <c r="D106" s="21"/>
    </row>
    <row r="107" ht="15.75" customHeight="1">
      <c r="C107" s="21"/>
      <c r="D107" s="21"/>
    </row>
    <row r="108" ht="15.75" customHeight="1">
      <c r="C108" s="21"/>
      <c r="D108" s="21"/>
    </row>
    <row r="109" ht="15.75" customHeight="1">
      <c r="C109" s="21"/>
      <c r="D109" s="21"/>
    </row>
    <row r="110" ht="15.75" customHeight="1">
      <c r="C110" s="21"/>
      <c r="D110" s="21"/>
    </row>
    <row r="111" ht="15.75" customHeight="1">
      <c r="C111" s="21"/>
      <c r="D111" s="21"/>
    </row>
    <row r="112" ht="15.75" customHeight="1">
      <c r="C112" s="21"/>
      <c r="D112" s="21"/>
    </row>
    <row r="113" ht="15.75" customHeight="1">
      <c r="C113" s="21"/>
      <c r="D113" s="21"/>
    </row>
    <row r="114" ht="15.75" customHeight="1">
      <c r="C114" s="21"/>
      <c r="D114" s="21"/>
    </row>
    <row r="115" ht="15.75" customHeight="1">
      <c r="C115" s="21"/>
      <c r="D115" s="21"/>
    </row>
    <row r="116" ht="15.75" customHeight="1">
      <c r="C116" s="21"/>
      <c r="D116" s="21"/>
    </row>
    <row r="117" ht="15.75" customHeight="1">
      <c r="C117" s="21"/>
      <c r="D117" s="21"/>
    </row>
    <row r="118" ht="15.75" customHeight="1">
      <c r="C118" s="21"/>
      <c r="D118" s="21"/>
    </row>
    <row r="119" ht="15.75" customHeight="1">
      <c r="C119" s="21"/>
      <c r="D119" s="21"/>
    </row>
    <row r="120" ht="15.75" customHeight="1">
      <c r="C120" s="21"/>
      <c r="D120" s="21"/>
    </row>
    <row r="121" ht="15.75" customHeight="1">
      <c r="C121" s="21"/>
      <c r="D121" s="21"/>
    </row>
    <row r="122" ht="15.75" customHeight="1">
      <c r="C122" s="21"/>
      <c r="D122" s="21"/>
    </row>
    <row r="123" ht="15.75" customHeight="1">
      <c r="C123" s="21"/>
      <c r="D123" s="21"/>
    </row>
    <row r="124" ht="15.75" customHeight="1">
      <c r="C124" s="21"/>
      <c r="D124" s="21"/>
    </row>
    <row r="125" ht="15.75" customHeight="1">
      <c r="C125" s="21"/>
      <c r="D125" s="21"/>
    </row>
    <row r="126" ht="15.75" customHeight="1">
      <c r="C126" s="21"/>
      <c r="D126" s="21"/>
    </row>
    <row r="127" ht="15.75" customHeight="1">
      <c r="C127" s="21"/>
      <c r="D127" s="21"/>
    </row>
    <row r="128" ht="15.75" customHeight="1">
      <c r="C128" s="21"/>
      <c r="D128" s="21"/>
    </row>
    <row r="129" ht="15.75" customHeight="1">
      <c r="C129" s="21"/>
      <c r="D129" s="21"/>
    </row>
    <row r="130" ht="15.75" customHeight="1">
      <c r="C130" s="21"/>
      <c r="D130" s="21"/>
    </row>
    <row r="131" ht="15.75" customHeight="1">
      <c r="C131" s="21"/>
      <c r="D131" s="21"/>
    </row>
    <row r="132" ht="15.75" customHeight="1">
      <c r="C132" s="21"/>
      <c r="D132" s="21"/>
    </row>
    <row r="133" ht="15.75" customHeight="1">
      <c r="C133" s="21"/>
      <c r="D133" s="21"/>
    </row>
    <row r="134" ht="15.75" customHeight="1">
      <c r="C134" s="21"/>
      <c r="D134" s="21"/>
    </row>
    <row r="135" ht="15.75" customHeight="1">
      <c r="C135" s="21"/>
      <c r="D135" s="21"/>
    </row>
    <row r="136" ht="15.75" customHeight="1">
      <c r="C136" s="21"/>
      <c r="D136" s="21"/>
    </row>
    <row r="137" ht="15.75" customHeight="1">
      <c r="C137" s="21"/>
      <c r="D137" s="21"/>
    </row>
    <row r="138" ht="15.75" customHeight="1">
      <c r="C138" s="21"/>
      <c r="D138" s="21"/>
    </row>
    <row r="139" ht="15.75" customHeight="1">
      <c r="C139" s="21"/>
      <c r="D139" s="21"/>
    </row>
    <row r="140" ht="15.75" customHeight="1">
      <c r="C140" s="21"/>
      <c r="D140" s="21"/>
    </row>
    <row r="141" ht="15.75" customHeight="1">
      <c r="C141" s="21"/>
      <c r="D141" s="21"/>
    </row>
    <row r="142" ht="15.75" customHeight="1">
      <c r="C142" s="21"/>
      <c r="D142" s="21"/>
    </row>
    <row r="143" ht="15.75" customHeight="1">
      <c r="C143" s="21"/>
      <c r="D143" s="21"/>
    </row>
    <row r="144" ht="15.75" customHeight="1">
      <c r="C144" s="21"/>
      <c r="D144" s="21"/>
    </row>
    <row r="145" ht="15.75" customHeight="1">
      <c r="C145" s="21"/>
      <c r="D145" s="21"/>
    </row>
    <row r="146" ht="15.75" customHeight="1">
      <c r="C146" s="21"/>
      <c r="D146" s="21"/>
    </row>
    <row r="147" ht="15.75" customHeight="1">
      <c r="C147" s="21"/>
      <c r="D147" s="21"/>
    </row>
    <row r="148" ht="15.75" customHeight="1">
      <c r="C148" s="21"/>
      <c r="D148" s="21"/>
    </row>
    <row r="149" ht="15.75" customHeight="1">
      <c r="C149" s="21"/>
      <c r="D149" s="21"/>
    </row>
    <row r="150" ht="15.75" customHeight="1">
      <c r="C150" s="21"/>
      <c r="D150" s="21"/>
    </row>
    <row r="151" ht="15.75" customHeight="1">
      <c r="C151" s="21"/>
      <c r="D151" s="21"/>
    </row>
    <row r="152" ht="15.75" customHeight="1">
      <c r="C152" s="21"/>
      <c r="D152" s="21"/>
    </row>
    <row r="153" ht="15.75" customHeight="1">
      <c r="C153" s="21"/>
      <c r="D153" s="21"/>
    </row>
    <row r="154" ht="15.75" customHeight="1">
      <c r="C154" s="21"/>
      <c r="D154" s="21"/>
    </row>
    <row r="155" ht="15.75" customHeight="1">
      <c r="C155" s="21"/>
      <c r="D155" s="21"/>
    </row>
    <row r="156" ht="15.75" customHeight="1">
      <c r="C156" s="21"/>
      <c r="D156" s="21"/>
    </row>
    <row r="157" ht="15.75" customHeight="1">
      <c r="C157" s="21"/>
      <c r="D157" s="21"/>
    </row>
    <row r="158" ht="15.75" customHeight="1">
      <c r="C158" s="21"/>
      <c r="D158" s="21"/>
    </row>
    <row r="159" ht="15.75" customHeight="1">
      <c r="C159" s="21"/>
      <c r="D159" s="21"/>
    </row>
    <row r="160" ht="15.75" customHeight="1">
      <c r="C160" s="21"/>
      <c r="D160" s="21"/>
    </row>
    <row r="161" ht="15.75" customHeight="1">
      <c r="C161" s="21"/>
      <c r="D161" s="21"/>
    </row>
    <row r="162" ht="15.75" customHeight="1">
      <c r="C162" s="21"/>
      <c r="D162" s="21"/>
    </row>
    <row r="163" ht="15.75" customHeight="1">
      <c r="C163" s="21"/>
      <c r="D163" s="21"/>
    </row>
    <row r="164" ht="15.75" customHeight="1">
      <c r="C164" s="21"/>
      <c r="D164" s="21"/>
    </row>
    <row r="165" ht="15.75" customHeight="1">
      <c r="C165" s="21"/>
      <c r="D165" s="21"/>
    </row>
    <row r="166" ht="15.75" customHeight="1">
      <c r="C166" s="21"/>
      <c r="D166" s="21"/>
    </row>
    <row r="167" ht="15.75" customHeight="1">
      <c r="C167" s="21"/>
      <c r="D167" s="21"/>
    </row>
    <row r="168" ht="15.75" customHeight="1">
      <c r="C168" s="21"/>
      <c r="D168" s="21"/>
    </row>
    <row r="169" ht="15.75" customHeight="1">
      <c r="C169" s="21"/>
      <c r="D169" s="21"/>
    </row>
    <row r="170" ht="15.75" customHeight="1">
      <c r="C170" s="21"/>
      <c r="D170" s="21"/>
    </row>
    <row r="171" ht="15.75" customHeight="1">
      <c r="C171" s="21"/>
      <c r="D171" s="21"/>
    </row>
    <row r="172" ht="15.75" customHeight="1">
      <c r="C172" s="21"/>
      <c r="D172" s="21"/>
    </row>
    <row r="173" ht="15.75" customHeight="1">
      <c r="C173" s="21"/>
      <c r="D173" s="21"/>
    </row>
    <row r="174" ht="15.75" customHeight="1">
      <c r="C174" s="21"/>
      <c r="D174" s="21"/>
    </row>
    <row r="175" ht="15.75" customHeight="1">
      <c r="C175" s="21"/>
      <c r="D175" s="21"/>
    </row>
    <row r="176" ht="15.75" customHeight="1">
      <c r="C176" s="21"/>
      <c r="D176" s="21"/>
    </row>
    <row r="177" ht="15.75" customHeight="1">
      <c r="C177" s="21"/>
      <c r="D177" s="21"/>
    </row>
    <row r="178" ht="15.75" customHeight="1">
      <c r="C178" s="21"/>
      <c r="D178" s="21"/>
    </row>
    <row r="179" ht="15.75" customHeight="1">
      <c r="C179" s="21"/>
      <c r="D179" s="21"/>
    </row>
    <row r="180" ht="15.75" customHeight="1">
      <c r="C180" s="21"/>
      <c r="D180" s="21"/>
    </row>
    <row r="181" ht="15.75" customHeight="1">
      <c r="C181" s="21"/>
      <c r="D181" s="21"/>
    </row>
    <row r="182" ht="15.75" customHeight="1">
      <c r="C182" s="21"/>
      <c r="D182" s="21"/>
    </row>
    <row r="183" ht="15.75" customHeight="1">
      <c r="C183" s="21"/>
      <c r="D183" s="21"/>
    </row>
    <row r="184" ht="15.75" customHeight="1">
      <c r="C184" s="21"/>
      <c r="D184" s="21"/>
    </row>
    <row r="185" ht="15.75" customHeight="1">
      <c r="C185" s="21"/>
      <c r="D185" s="21"/>
    </row>
    <row r="186" ht="15.75" customHeight="1">
      <c r="C186" s="21"/>
      <c r="D186" s="21"/>
    </row>
    <row r="187" ht="15.75" customHeight="1">
      <c r="C187" s="21"/>
      <c r="D187" s="21"/>
    </row>
    <row r="188" ht="15.75" customHeight="1">
      <c r="C188" s="21"/>
      <c r="D188" s="21"/>
    </row>
    <row r="189" ht="15.75" customHeight="1">
      <c r="C189" s="21"/>
      <c r="D189" s="21"/>
    </row>
    <row r="190" ht="15.75" customHeight="1">
      <c r="C190" s="21"/>
      <c r="D190" s="21"/>
    </row>
    <row r="191" ht="15.75" customHeight="1">
      <c r="C191" s="21"/>
      <c r="D191" s="21"/>
    </row>
    <row r="192" ht="15.75" customHeight="1">
      <c r="C192" s="21"/>
      <c r="D192" s="21"/>
    </row>
    <row r="193" ht="15.75" customHeight="1">
      <c r="C193" s="21"/>
      <c r="D193" s="21"/>
    </row>
    <row r="194" ht="15.75" customHeight="1">
      <c r="C194" s="21"/>
      <c r="D194" s="21"/>
    </row>
    <row r="195" ht="15.75" customHeight="1">
      <c r="C195" s="21"/>
      <c r="D195" s="21"/>
    </row>
    <row r="196" ht="15.75" customHeight="1">
      <c r="C196" s="21"/>
      <c r="D196" s="21"/>
    </row>
    <row r="197" ht="15.75" customHeight="1">
      <c r="C197" s="21"/>
      <c r="D197" s="21"/>
    </row>
    <row r="198" ht="15.75" customHeight="1">
      <c r="C198" s="21"/>
      <c r="D198" s="21"/>
    </row>
    <row r="199" ht="15.75" customHeight="1">
      <c r="C199" s="21"/>
      <c r="D199" s="21"/>
    </row>
    <row r="200" ht="15.75" customHeight="1">
      <c r="C200" s="21"/>
      <c r="D200" s="21"/>
    </row>
    <row r="201" ht="15.75" customHeight="1">
      <c r="C201" s="21"/>
      <c r="D201" s="21"/>
    </row>
    <row r="202" ht="15.75" customHeight="1">
      <c r="C202" s="21"/>
      <c r="D202" s="21"/>
    </row>
    <row r="203" ht="15.75" customHeight="1">
      <c r="C203" s="21"/>
      <c r="D203" s="21"/>
    </row>
    <row r="204" ht="15.75" customHeight="1">
      <c r="C204" s="21"/>
      <c r="D204" s="21"/>
    </row>
    <row r="205" ht="15.75" customHeight="1">
      <c r="C205" s="21"/>
      <c r="D205" s="21"/>
    </row>
    <row r="206" ht="15.75" customHeight="1">
      <c r="C206" s="21"/>
      <c r="D206" s="21"/>
    </row>
    <row r="207" ht="15.75" customHeight="1">
      <c r="C207" s="21"/>
      <c r="D207" s="21"/>
    </row>
    <row r="208" ht="15.75" customHeight="1">
      <c r="C208" s="21"/>
      <c r="D208" s="21"/>
    </row>
    <row r="209" ht="15.75" customHeight="1">
      <c r="C209" s="21"/>
      <c r="D209" s="21"/>
    </row>
    <row r="210" ht="15.75" customHeight="1">
      <c r="C210" s="21"/>
      <c r="D210" s="21"/>
    </row>
    <row r="211" ht="15.75" customHeight="1">
      <c r="C211" s="21"/>
      <c r="D211" s="21"/>
    </row>
    <row r="212" ht="15.75" customHeight="1">
      <c r="C212" s="21"/>
      <c r="D212" s="21"/>
    </row>
    <row r="213" ht="15.75" customHeight="1">
      <c r="C213" s="21"/>
      <c r="D213" s="21"/>
    </row>
    <row r="214" ht="15.75" customHeight="1">
      <c r="C214" s="21"/>
      <c r="D214" s="21"/>
    </row>
    <row r="215" ht="15.75" customHeight="1">
      <c r="C215" s="21"/>
      <c r="D215" s="21"/>
    </row>
    <row r="216" ht="15.75" customHeight="1">
      <c r="C216" s="21"/>
      <c r="D216" s="21"/>
    </row>
    <row r="217" ht="15.75" customHeight="1">
      <c r="C217" s="21"/>
      <c r="D217" s="21"/>
    </row>
    <row r="218" ht="15.75" customHeight="1">
      <c r="C218" s="21"/>
      <c r="D218" s="21"/>
    </row>
    <row r="219" ht="15.75" customHeight="1">
      <c r="C219" s="21"/>
      <c r="D219" s="21"/>
    </row>
    <row r="220" ht="15.75" customHeight="1">
      <c r="C220" s="21"/>
      <c r="D220" s="21"/>
    </row>
    <row r="221" ht="15.75" customHeight="1">
      <c r="C221" s="21"/>
      <c r="D221" s="21"/>
    </row>
    <row r="222" ht="15.75" customHeight="1">
      <c r="C222" s="21"/>
      <c r="D222" s="21"/>
    </row>
    <row r="223" ht="15.75" customHeight="1">
      <c r="C223" s="21"/>
      <c r="D223" s="21"/>
    </row>
    <row r="224" ht="15.75" customHeight="1">
      <c r="C224" s="21"/>
      <c r="D224" s="21"/>
    </row>
    <row r="225" ht="15.75" customHeight="1">
      <c r="C225" s="21"/>
      <c r="D225" s="21"/>
    </row>
    <row r="226" ht="15.75" customHeight="1">
      <c r="C226" s="21"/>
      <c r="D226" s="21"/>
    </row>
    <row r="227" ht="15.75" customHeight="1">
      <c r="C227" s="21"/>
      <c r="D227" s="21"/>
    </row>
    <row r="228" ht="15.75" customHeight="1">
      <c r="C228" s="21"/>
      <c r="D228" s="21"/>
    </row>
    <row r="229" ht="15.75" customHeight="1">
      <c r="C229" s="21"/>
      <c r="D229" s="21"/>
    </row>
    <row r="230" ht="15.75" customHeight="1">
      <c r="C230" s="21"/>
      <c r="D230" s="21"/>
    </row>
    <row r="231" ht="15.75" customHeight="1">
      <c r="C231" s="21"/>
      <c r="D231" s="21"/>
    </row>
    <row r="232" ht="15.75" customHeight="1">
      <c r="C232" s="37"/>
      <c r="D232" s="37"/>
    </row>
    <row r="233" ht="15.75" customHeight="1">
      <c r="C233" s="37"/>
      <c r="D233" s="37"/>
    </row>
    <row r="234" ht="15.75" customHeight="1">
      <c r="C234" s="37"/>
      <c r="D234" s="37"/>
    </row>
    <row r="235" ht="15.75" customHeight="1">
      <c r="C235" s="37"/>
      <c r="D235" s="37"/>
    </row>
    <row r="236" ht="15.75" customHeight="1">
      <c r="C236" s="37"/>
      <c r="D236" s="37"/>
    </row>
    <row r="237" ht="15.75" customHeight="1">
      <c r="C237" s="37"/>
      <c r="D237" s="37"/>
    </row>
    <row r="238" ht="15.75" customHeight="1">
      <c r="C238" s="37"/>
      <c r="D238" s="37"/>
    </row>
    <row r="239" ht="15.75" customHeight="1">
      <c r="C239" s="37"/>
      <c r="D239" s="37"/>
    </row>
    <row r="240" ht="15.75" customHeight="1">
      <c r="C240" s="37"/>
      <c r="D240" s="37"/>
    </row>
    <row r="241" ht="15.75" customHeight="1">
      <c r="C241" s="37"/>
      <c r="D241" s="37"/>
    </row>
    <row r="242" ht="15.75" customHeight="1">
      <c r="C242" s="37"/>
      <c r="D242" s="37"/>
    </row>
    <row r="243" ht="15.75" customHeight="1">
      <c r="C243" s="37"/>
      <c r="D243" s="37"/>
    </row>
    <row r="244" ht="15.75" customHeight="1">
      <c r="C244" s="37"/>
      <c r="D244" s="37"/>
    </row>
    <row r="245" ht="15.75" customHeight="1">
      <c r="C245" s="37"/>
      <c r="D245" s="37"/>
    </row>
    <row r="246" ht="15.75" customHeight="1">
      <c r="C246" s="37"/>
      <c r="D246" s="37"/>
    </row>
    <row r="247" ht="15.75" customHeight="1">
      <c r="C247" s="37"/>
      <c r="D247" s="37"/>
    </row>
    <row r="248" ht="15.75" customHeight="1">
      <c r="C248" s="37"/>
      <c r="D248" s="37"/>
    </row>
    <row r="249" ht="15.75" customHeight="1">
      <c r="C249" s="37"/>
      <c r="D249" s="37"/>
    </row>
    <row r="250" ht="15.75" customHeight="1">
      <c r="C250" s="37"/>
      <c r="D250" s="37"/>
    </row>
    <row r="251" ht="15.75" customHeight="1">
      <c r="C251" s="37"/>
      <c r="D251" s="37"/>
    </row>
    <row r="252" ht="15.75" customHeight="1">
      <c r="C252" s="37"/>
      <c r="D252" s="37"/>
    </row>
    <row r="253" ht="15.75" customHeight="1">
      <c r="C253" s="37"/>
      <c r="D253" s="37"/>
    </row>
    <row r="254" ht="15.75" customHeight="1">
      <c r="C254" s="37"/>
      <c r="D254" s="37"/>
    </row>
    <row r="255" ht="15.75" customHeight="1">
      <c r="C255" s="37"/>
      <c r="D255" s="37"/>
    </row>
    <row r="256" ht="15.75" customHeight="1">
      <c r="C256" s="37"/>
      <c r="D256" s="37"/>
    </row>
    <row r="257" ht="15.75" customHeight="1">
      <c r="C257" s="37"/>
      <c r="D257" s="37"/>
    </row>
    <row r="258" ht="15.75" customHeight="1">
      <c r="C258" s="37"/>
      <c r="D258" s="37"/>
    </row>
    <row r="259" ht="15.75" customHeight="1">
      <c r="C259" s="37"/>
      <c r="D259" s="37"/>
    </row>
    <row r="260" ht="15.75" customHeight="1">
      <c r="C260" s="37"/>
      <c r="D260" s="37"/>
    </row>
    <row r="261" ht="15.75" customHeight="1">
      <c r="C261" s="37"/>
      <c r="D261" s="37"/>
    </row>
    <row r="262" ht="15.75" customHeight="1">
      <c r="C262" s="37"/>
      <c r="D262" s="37"/>
    </row>
    <row r="263" ht="15.75" customHeight="1">
      <c r="C263" s="37"/>
      <c r="D263" s="37"/>
    </row>
    <row r="264" ht="15.75" customHeight="1">
      <c r="C264" s="37"/>
      <c r="D264" s="37"/>
    </row>
    <row r="265" ht="15.75" customHeight="1">
      <c r="C265" s="37"/>
      <c r="D265" s="37"/>
    </row>
    <row r="266" ht="15.75" customHeight="1">
      <c r="C266" s="37"/>
      <c r="D266" s="37"/>
    </row>
    <row r="267" ht="15.75" customHeight="1">
      <c r="C267" s="37"/>
      <c r="D267" s="37"/>
    </row>
    <row r="268" ht="15.75" customHeight="1">
      <c r="C268" s="37"/>
      <c r="D268" s="37"/>
    </row>
    <row r="269" ht="15.75" customHeight="1">
      <c r="C269" s="37"/>
      <c r="D269" s="37"/>
    </row>
    <row r="270" ht="15.75" customHeight="1">
      <c r="C270" s="37"/>
      <c r="D270" s="37"/>
    </row>
    <row r="271" ht="15.75" customHeight="1">
      <c r="C271" s="37"/>
      <c r="D271" s="37"/>
    </row>
    <row r="272" ht="15.75" customHeight="1">
      <c r="C272" s="37"/>
      <c r="D272" s="37"/>
    </row>
    <row r="273" ht="15.75" customHeight="1">
      <c r="C273" s="37"/>
      <c r="D273" s="37"/>
    </row>
    <row r="274" ht="15.75" customHeight="1">
      <c r="C274" s="37"/>
      <c r="D274" s="37"/>
    </row>
    <row r="275" ht="15.75" customHeight="1">
      <c r="C275" s="37"/>
      <c r="D275" s="37"/>
    </row>
    <row r="276" ht="15.75" customHeight="1">
      <c r="C276" s="37"/>
      <c r="D276" s="37"/>
    </row>
    <row r="277" ht="15.75" customHeight="1">
      <c r="C277" s="37"/>
      <c r="D277" s="37"/>
    </row>
    <row r="278" ht="15.75" customHeight="1">
      <c r="C278" s="37"/>
      <c r="D278" s="37"/>
    </row>
    <row r="279" ht="15.75" customHeight="1">
      <c r="C279" s="37"/>
      <c r="D279" s="37"/>
    </row>
    <row r="280" ht="15.75" customHeight="1">
      <c r="C280" s="37"/>
      <c r="D280" s="37"/>
    </row>
    <row r="281" ht="15.75" customHeight="1">
      <c r="C281" s="37"/>
      <c r="D281" s="37"/>
    </row>
    <row r="282" ht="15.75" customHeight="1">
      <c r="C282" s="37"/>
      <c r="D282" s="37"/>
    </row>
    <row r="283" ht="15.75" customHeight="1">
      <c r="C283" s="37"/>
      <c r="D283" s="37"/>
    </row>
    <row r="284" ht="15.75" customHeight="1">
      <c r="C284" s="37"/>
      <c r="D284" s="37"/>
    </row>
    <row r="285" ht="15.75" customHeight="1">
      <c r="C285" s="37"/>
      <c r="D285" s="37"/>
    </row>
    <row r="286" ht="15.75" customHeight="1">
      <c r="C286" s="37"/>
      <c r="D286" s="37"/>
    </row>
    <row r="287" ht="15.75" customHeight="1">
      <c r="C287" s="37"/>
      <c r="D287" s="37"/>
    </row>
    <row r="288" ht="15.75" customHeight="1">
      <c r="C288" s="37"/>
      <c r="D288" s="37"/>
    </row>
    <row r="289" ht="15.75" customHeight="1">
      <c r="C289" s="37"/>
      <c r="D289" s="37"/>
    </row>
    <row r="290" ht="15.75" customHeight="1">
      <c r="C290" s="37"/>
      <c r="D290" s="37"/>
    </row>
    <row r="291" ht="15.75" customHeight="1">
      <c r="C291" s="37"/>
      <c r="D291" s="37"/>
    </row>
    <row r="292" ht="15.75" customHeight="1">
      <c r="C292" s="37"/>
      <c r="D292" s="37"/>
    </row>
    <row r="293" ht="15.75" customHeight="1">
      <c r="C293" s="37"/>
      <c r="D293" s="37"/>
    </row>
    <row r="294" ht="15.75" customHeight="1">
      <c r="C294" s="37"/>
      <c r="D294" s="37"/>
    </row>
    <row r="295" ht="15.75" customHeight="1">
      <c r="C295" s="37"/>
      <c r="D295" s="37"/>
    </row>
    <row r="296" ht="15.75" customHeight="1">
      <c r="C296" s="37"/>
      <c r="D296" s="37"/>
    </row>
    <row r="297" ht="15.75" customHeight="1">
      <c r="C297" s="37"/>
      <c r="D297" s="37"/>
    </row>
    <row r="298" ht="15.75" customHeight="1">
      <c r="C298" s="37"/>
      <c r="D298" s="37"/>
    </row>
    <row r="299" ht="15.75" customHeight="1">
      <c r="C299" s="37"/>
      <c r="D299" s="37"/>
    </row>
    <row r="300" ht="15.75" customHeight="1">
      <c r="C300" s="37"/>
      <c r="D300" s="37"/>
    </row>
    <row r="301" ht="15.75" customHeight="1">
      <c r="C301" s="37"/>
      <c r="D301" s="37"/>
    </row>
    <row r="302" ht="15.75" customHeight="1">
      <c r="C302" s="37"/>
      <c r="D302" s="37"/>
    </row>
    <row r="303" ht="15.75" customHeight="1">
      <c r="C303" s="37"/>
      <c r="D303" s="37"/>
    </row>
    <row r="304" ht="15.75" customHeight="1">
      <c r="C304" s="37"/>
      <c r="D304" s="37"/>
    </row>
    <row r="305" ht="15.75" customHeight="1">
      <c r="C305" s="37"/>
      <c r="D305" s="37"/>
    </row>
    <row r="306" ht="15.75" customHeight="1">
      <c r="C306" s="37"/>
      <c r="D306" s="37"/>
    </row>
    <row r="307" ht="15.75" customHeight="1">
      <c r="C307" s="37"/>
      <c r="D307" s="37"/>
    </row>
    <row r="308" ht="15.75" customHeight="1">
      <c r="C308" s="37"/>
      <c r="D308" s="37"/>
    </row>
    <row r="309" ht="15.75" customHeight="1">
      <c r="C309" s="37"/>
      <c r="D309" s="37"/>
    </row>
    <row r="310" ht="15.75" customHeight="1">
      <c r="C310" s="37"/>
      <c r="D310" s="37"/>
    </row>
    <row r="311" ht="15.75" customHeight="1">
      <c r="C311" s="37"/>
      <c r="D311" s="37"/>
    </row>
    <row r="312" ht="15.75" customHeight="1">
      <c r="C312" s="37"/>
      <c r="D312" s="37"/>
    </row>
    <row r="313" ht="15.75" customHeight="1">
      <c r="C313" s="37"/>
      <c r="D313" s="37"/>
    </row>
    <row r="314" ht="15.75" customHeight="1">
      <c r="C314" s="37"/>
      <c r="D314" s="37"/>
    </row>
    <row r="315" ht="15.75" customHeight="1">
      <c r="C315" s="37"/>
      <c r="D315" s="37"/>
    </row>
    <row r="316" ht="15.75" customHeight="1">
      <c r="C316" s="37"/>
      <c r="D316" s="37"/>
    </row>
    <row r="317" ht="15.75" customHeight="1">
      <c r="C317" s="37"/>
      <c r="D317" s="37"/>
    </row>
    <row r="318" ht="15.75" customHeight="1">
      <c r="C318" s="37"/>
      <c r="D318" s="37"/>
    </row>
    <row r="319" ht="15.75" customHeight="1">
      <c r="C319" s="37"/>
      <c r="D319" s="37"/>
    </row>
    <row r="320" ht="15.75" customHeight="1">
      <c r="C320" s="37"/>
      <c r="D320" s="37"/>
    </row>
    <row r="321" ht="15.75" customHeight="1">
      <c r="C321" s="37"/>
      <c r="D321" s="37"/>
    </row>
    <row r="322" ht="15.75" customHeight="1">
      <c r="C322" s="37"/>
      <c r="D322" s="37"/>
    </row>
    <row r="323" ht="15.75" customHeight="1">
      <c r="C323" s="37"/>
      <c r="D323" s="37"/>
    </row>
    <row r="324" ht="15.75" customHeight="1">
      <c r="C324" s="37"/>
      <c r="D324" s="37"/>
    </row>
    <row r="325" ht="15.75" customHeight="1">
      <c r="C325" s="37"/>
      <c r="D325" s="37"/>
    </row>
    <row r="326" ht="15.75" customHeight="1">
      <c r="C326" s="37"/>
      <c r="D326" s="37"/>
    </row>
    <row r="327" ht="15.75" customHeight="1">
      <c r="C327" s="37"/>
      <c r="D327" s="37"/>
    </row>
    <row r="328" ht="15.75" customHeight="1">
      <c r="C328" s="37"/>
      <c r="D328" s="37"/>
    </row>
    <row r="329" ht="15.75" customHeight="1">
      <c r="C329" s="37"/>
      <c r="D329" s="37"/>
    </row>
    <row r="330" ht="15.75" customHeight="1">
      <c r="C330" s="37"/>
      <c r="D330" s="37"/>
    </row>
    <row r="331" ht="15.75" customHeight="1">
      <c r="C331" s="37"/>
      <c r="D331" s="37"/>
    </row>
    <row r="332" ht="15.75" customHeight="1">
      <c r="C332" s="37"/>
      <c r="D332" s="37"/>
    </row>
    <row r="333" ht="15.75" customHeight="1">
      <c r="C333" s="37"/>
      <c r="D333" s="37"/>
    </row>
    <row r="334" ht="15.75" customHeight="1">
      <c r="C334" s="37"/>
      <c r="D334" s="37"/>
    </row>
    <row r="335" ht="15.75" customHeight="1">
      <c r="C335" s="37"/>
      <c r="D335" s="37"/>
    </row>
    <row r="336" ht="15.75" customHeight="1">
      <c r="C336" s="37"/>
      <c r="D336" s="37"/>
    </row>
    <row r="337" ht="15.75" customHeight="1">
      <c r="C337" s="37"/>
      <c r="D337" s="37"/>
    </row>
    <row r="338" ht="15.75" customHeight="1">
      <c r="C338" s="37"/>
      <c r="D338" s="37"/>
    </row>
    <row r="339" ht="15.75" customHeight="1">
      <c r="C339" s="37"/>
      <c r="D339" s="37"/>
    </row>
    <row r="340" ht="15.75" customHeight="1">
      <c r="C340" s="37"/>
      <c r="D340" s="37"/>
    </row>
    <row r="341" ht="15.75" customHeight="1">
      <c r="C341" s="37"/>
      <c r="D341" s="37"/>
    </row>
    <row r="342" ht="15.75" customHeight="1">
      <c r="C342" s="37"/>
      <c r="D342" s="37"/>
    </row>
    <row r="343" ht="15.75" customHeight="1">
      <c r="C343" s="37"/>
      <c r="D343" s="37"/>
    </row>
    <row r="344" ht="15.75" customHeight="1">
      <c r="C344" s="37"/>
      <c r="D344" s="37"/>
    </row>
    <row r="345" ht="15.75" customHeight="1">
      <c r="C345" s="37"/>
      <c r="D345" s="37"/>
    </row>
    <row r="346" ht="15.75" customHeight="1">
      <c r="C346" s="37"/>
      <c r="D346" s="37"/>
    </row>
    <row r="347" ht="15.75" customHeight="1">
      <c r="C347" s="37"/>
      <c r="D347" s="37"/>
    </row>
    <row r="348" ht="15.75" customHeight="1">
      <c r="C348" s="37"/>
      <c r="D348" s="37"/>
    </row>
    <row r="349" ht="15.75" customHeight="1">
      <c r="C349" s="37"/>
      <c r="D349" s="37"/>
    </row>
    <row r="350" ht="15.75" customHeight="1">
      <c r="C350" s="37"/>
      <c r="D350" s="37"/>
    </row>
    <row r="351" ht="15.75" customHeight="1">
      <c r="C351" s="37"/>
      <c r="D351" s="37"/>
    </row>
    <row r="352" ht="15.75" customHeight="1">
      <c r="C352" s="37"/>
      <c r="D352" s="37"/>
    </row>
    <row r="353" ht="15.75" customHeight="1">
      <c r="C353" s="37"/>
      <c r="D353" s="37"/>
    </row>
    <row r="354" ht="15.75" customHeight="1">
      <c r="C354" s="37"/>
      <c r="D354" s="37"/>
    </row>
    <row r="355" ht="15.75" customHeight="1">
      <c r="C355" s="37"/>
      <c r="D355" s="37"/>
    </row>
    <row r="356" ht="15.75" customHeight="1">
      <c r="C356" s="37"/>
      <c r="D356" s="37"/>
    </row>
    <row r="357" ht="15.75" customHeight="1">
      <c r="C357" s="37"/>
      <c r="D357" s="37"/>
    </row>
    <row r="358" ht="15.75" customHeight="1">
      <c r="C358" s="37"/>
      <c r="D358" s="37"/>
    </row>
    <row r="359" ht="15.75" customHeight="1">
      <c r="C359" s="37"/>
      <c r="D359" s="37"/>
    </row>
    <row r="360" ht="15.75" customHeight="1">
      <c r="C360" s="37"/>
      <c r="D360" s="37"/>
    </row>
    <row r="361" ht="15.75" customHeight="1">
      <c r="C361" s="37"/>
      <c r="D361" s="37"/>
    </row>
    <row r="362" ht="15.75" customHeight="1">
      <c r="C362" s="37"/>
      <c r="D362" s="37"/>
    </row>
    <row r="363" ht="15.75" customHeight="1">
      <c r="C363" s="37"/>
      <c r="D363" s="37"/>
    </row>
    <row r="364" ht="15.75" customHeight="1">
      <c r="C364" s="37"/>
      <c r="D364" s="37"/>
    </row>
    <row r="365" ht="15.75" customHeight="1">
      <c r="C365" s="37"/>
      <c r="D365" s="37"/>
    </row>
    <row r="366" ht="15.75" customHeight="1">
      <c r="C366" s="37"/>
      <c r="D366" s="37"/>
    </row>
    <row r="367" ht="15.75" customHeight="1">
      <c r="C367" s="37"/>
      <c r="D367" s="37"/>
    </row>
    <row r="368" ht="15.75" customHeight="1">
      <c r="C368" s="37"/>
      <c r="D368" s="37"/>
    </row>
    <row r="369" ht="15.75" customHeight="1">
      <c r="C369" s="37"/>
      <c r="D369" s="37"/>
    </row>
    <row r="370" ht="15.75" customHeight="1">
      <c r="C370" s="37"/>
      <c r="D370" s="37"/>
    </row>
    <row r="371" ht="15.75" customHeight="1">
      <c r="C371" s="37"/>
      <c r="D371" s="37"/>
    </row>
    <row r="372" ht="15.75" customHeight="1">
      <c r="C372" s="37"/>
      <c r="D372" s="37"/>
    </row>
    <row r="373" ht="15.75" customHeight="1">
      <c r="C373" s="37"/>
      <c r="D373" s="37"/>
    </row>
    <row r="374" ht="15.75" customHeight="1">
      <c r="C374" s="37"/>
      <c r="D374" s="37"/>
    </row>
    <row r="375" ht="15.75" customHeight="1">
      <c r="C375" s="37"/>
      <c r="D375" s="37"/>
    </row>
    <row r="376" ht="15.75" customHeight="1">
      <c r="C376" s="37"/>
      <c r="D376" s="37"/>
    </row>
    <row r="377" ht="15.75" customHeight="1">
      <c r="C377" s="37"/>
      <c r="D377" s="37"/>
    </row>
    <row r="378" ht="15.75" customHeight="1">
      <c r="C378" s="37"/>
      <c r="D378" s="37"/>
    </row>
    <row r="379" ht="15.75" customHeight="1">
      <c r="C379" s="37"/>
      <c r="D379" s="37"/>
    </row>
    <row r="380" ht="15.75" customHeight="1">
      <c r="C380" s="37"/>
      <c r="D380" s="37"/>
    </row>
    <row r="381" ht="15.75" customHeight="1">
      <c r="C381" s="37"/>
      <c r="D381" s="37"/>
    </row>
    <row r="382" ht="15.75" customHeight="1">
      <c r="C382" s="37"/>
      <c r="D382" s="37"/>
    </row>
    <row r="383" ht="15.75" customHeight="1">
      <c r="C383" s="37"/>
      <c r="D383" s="37"/>
    </row>
    <row r="384" ht="15.75" customHeight="1">
      <c r="C384" s="37"/>
      <c r="D384" s="37"/>
    </row>
    <row r="385" ht="15.75" customHeight="1">
      <c r="C385" s="37"/>
      <c r="D385" s="37"/>
    </row>
    <row r="386" ht="15.75" customHeight="1">
      <c r="C386" s="37"/>
      <c r="D386" s="37"/>
    </row>
    <row r="387" ht="15.75" customHeight="1">
      <c r="C387" s="37"/>
      <c r="D387" s="37"/>
    </row>
    <row r="388" ht="15.75" customHeight="1">
      <c r="C388" s="37"/>
      <c r="D388" s="37"/>
    </row>
    <row r="389" ht="15.75" customHeight="1">
      <c r="C389" s="37"/>
      <c r="D389" s="37"/>
    </row>
    <row r="390" ht="15.75" customHeight="1">
      <c r="C390" s="37"/>
      <c r="D390" s="37"/>
    </row>
    <row r="391" ht="15.75" customHeight="1">
      <c r="C391" s="37"/>
      <c r="D391" s="37"/>
    </row>
    <row r="392" ht="15.75" customHeight="1">
      <c r="C392" s="37"/>
      <c r="D392" s="37"/>
    </row>
    <row r="393" ht="15.75" customHeight="1">
      <c r="C393" s="37"/>
      <c r="D393" s="37"/>
    </row>
    <row r="394" ht="15.75" customHeight="1">
      <c r="C394" s="37"/>
      <c r="D394" s="37"/>
    </row>
    <row r="395" ht="15.75" customHeight="1">
      <c r="C395" s="37"/>
      <c r="D395" s="37"/>
    </row>
    <row r="396" ht="15.75" customHeight="1">
      <c r="C396" s="37"/>
      <c r="D396" s="37"/>
    </row>
    <row r="397" ht="15.75" customHeight="1">
      <c r="C397" s="37"/>
      <c r="D397" s="37"/>
    </row>
    <row r="398" ht="15.75" customHeight="1">
      <c r="C398" s="37"/>
      <c r="D398" s="37"/>
    </row>
    <row r="399" ht="15.75" customHeight="1">
      <c r="C399" s="37"/>
      <c r="D399" s="37"/>
    </row>
    <row r="400" ht="15.75" customHeight="1">
      <c r="C400" s="37"/>
      <c r="D400" s="37"/>
    </row>
    <row r="401" ht="15.75" customHeight="1">
      <c r="C401" s="37"/>
      <c r="D401" s="37"/>
    </row>
    <row r="402" ht="15.75" customHeight="1">
      <c r="C402" s="37"/>
      <c r="D402" s="37"/>
    </row>
    <row r="403" ht="15.75" customHeight="1">
      <c r="C403" s="37"/>
      <c r="D403" s="37"/>
    </row>
    <row r="404" ht="15.75" customHeight="1">
      <c r="C404" s="37"/>
      <c r="D404" s="37"/>
    </row>
    <row r="405" ht="15.75" customHeight="1">
      <c r="C405" s="37"/>
      <c r="D405" s="37"/>
    </row>
    <row r="406" ht="15.75" customHeight="1">
      <c r="C406" s="37"/>
      <c r="D406" s="37"/>
    </row>
    <row r="407" ht="15.75" customHeight="1">
      <c r="C407" s="37"/>
      <c r="D407" s="37"/>
    </row>
    <row r="408" ht="15.75" customHeight="1">
      <c r="C408" s="37"/>
      <c r="D408" s="37"/>
    </row>
    <row r="409" ht="15.75" customHeight="1">
      <c r="C409" s="37"/>
      <c r="D409" s="37"/>
    </row>
    <row r="410" ht="15.75" customHeight="1">
      <c r="C410" s="37"/>
      <c r="D410" s="37"/>
    </row>
    <row r="411" ht="15.75" customHeight="1">
      <c r="C411" s="37"/>
      <c r="D411" s="37"/>
    </row>
    <row r="412" ht="15.75" customHeight="1">
      <c r="C412" s="37"/>
      <c r="D412" s="37"/>
    </row>
    <row r="413" ht="15.75" customHeight="1">
      <c r="C413" s="37"/>
      <c r="D413" s="37"/>
    </row>
    <row r="414" ht="15.75" customHeight="1">
      <c r="C414" s="37"/>
      <c r="D414" s="37"/>
    </row>
    <row r="415" ht="15.75" customHeight="1">
      <c r="C415" s="37"/>
      <c r="D415" s="37"/>
    </row>
    <row r="416" ht="15.75" customHeight="1">
      <c r="C416" s="37"/>
      <c r="D416" s="37"/>
    </row>
    <row r="417" ht="15.75" customHeight="1">
      <c r="C417" s="37"/>
      <c r="D417" s="37"/>
    </row>
    <row r="418" ht="15.75" customHeight="1">
      <c r="C418" s="37"/>
      <c r="D418" s="37"/>
    </row>
    <row r="419" ht="15.75" customHeight="1">
      <c r="C419" s="37"/>
      <c r="D419" s="37"/>
    </row>
    <row r="420" ht="15.75" customHeight="1">
      <c r="C420" s="37"/>
      <c r="D420" s="37"/>
    </row>
    <row r="421" ht="15.75" customHeight="1">
      <c r="C421" s="37"/>
      <c r="D421" s="37"/>
    </row>
    <row r="422" ht="15.75" customHeight="1">
      <c r="C422" s="37"/>
      <c r="D422" s="37"/>
    </row>
    <row r="423" ht="15.75" customHeight="1">
      <c r="C423" s="37"/>
      <c r="D423" s="37"/>
    </row>
    <row r="424" ht="15.75" customHeight="1">
      <c r="C424" s="37"/>
      <c r="D424" s="37"/>
    </row>
    <row r="425" ht="15.75" customHeight="1">
      <c r="C425" s="37"/>
      <c r="D425" s="37"/>
    </row>
    <row r="426" ht="15.75" customHeight="1">
      <c r="C426" s="37"/>
      <c r="D426" s="37"/>
    </row>
    <row r="427" ht="15.75" customHeight="1">
      <c r="C427" s="37"/>
      <c r="D427" s="37"/>
    </row>
    <row r="428" ht="15.75" customHeight="1">
      <c r="C428" s="37"/>
      <c r="D428" s="37"/>
    </row>
    <row r="429" ht="15.75" customHeight="1">
      <c r="C429" s="37"/>
      <c r="D429" s="37"/>
    </row>
    <row r="430" ht="15.75" customHeight="1">
      <c r="C430" s="37"/>
      <c r="D430" s="37"/>
    </row>
    <row r="431" ht="15.75" customHeight="1">
      <c r="C431" s="37"/>
      <c r="D431" s="37"/>
    </row>
    <row r="432" ht="15.75" customHeight="1">
      <c r="C432" s="37"/>
      <c r="D432" s="37"/>
    </row>
    <row r="433" ht="15.75" customHeight="1">
      <c r="C433" s="37"/>
      <c r="D433" s="37"/>
    </row>
    <row r="434" ht="15.75" customHeight="1">
      <c r="C434" s="37"/>
      <c r="D434" s="37"/>
    </row>
    <row r="435" ht="15.75" customHeight="1">
      <c r="C435" s="37"/>
      <c r="D435" s="37"/>
    </row>
    <row r="436" ht="15.75" customHeight="1">
      <c r="C436" s="37"/>
      <c r="D436" s="37"/>
    </row>
    <row r="437" ht="15.75" customHeight="1">
      <c r="C437" s="37"/>
      <c r="D437" s="37"/>
    </row>
    <row r="438" ht="15.75" customHeight="1">
      <c r="C438" s="37"/>
      <c r="D438" s="37"/>
    </row>
    <row r="439" ht="15.75" customHeight="1">
      <c r="C439" s="37"/>
      <c r="D439" s="37"/>
    </row>
    <row r="440" ht="15.75" customHeight="1">
      <c r="C440" s="37"/>
      <c r="D440" s="37"/>
    </row>
    <row r="441" ht="15.75" customHeight="1">
      <c r="C441" s="37"/>
      <c r="D441" s="37"/>
    </row>
    <row r="442" ht="15.75" customHeight="1">
      <c r="C442" s="37"/>
      <c r="D442" s="37"/>
    </row>
    <row r="443" ht="15.75" customHeight="1">
      <c r="C443" s="37"/>
      <c r="D443" s="37"/>
    </row>
    <row r="444" ht="15.75" customHeight="1">
      <c r="C444" s="37"/>
      <c r="D444" s="37"/>
    </row>
    <row r="445" ht="15.75" customHeight="1">
      <c r="C445" s="37"/>
      <c r="D445" s="37"/>
    </row>
    <row r="446" ht="15.75" customHeight="1">
      <c r="C446" s="37"/>
      <c r="D446" s="37"/>
    </row>
    <row r="447" ht="15.75" customHeight="1">
      <c r="C447" s="37"/>
      <c r="D447" s="37"/>
    </row>
    <row r="448" ht="15.75" customHeight="1">
      <c r="C448" s="37"/>
      <c r="D448" s="37"/>
    </row>
    <row r="449" ht="15.75" customHeight="1">
      <c r="C449" s="37"/>
      <c r="D449" s="37"/>
    </row>
    <row r="450" ht="15.75" customHeight="1">
      <c r="C450" s="37"/>
      <c r="D450" s="37"/>
    </row>
    <row r="451" ht="15.75" customHeight="1">
      <c r="C451" s="37"/>
      <c r="D451" s="37"/>
    </row>
    <row r="452" ht="15.75" customHeight="1">
      <c r="C452" s="37"/>
      <c r="D452" s="37"/>
    </row>
    <row r="453" ht="15.75" customHeight="1">
      <c r="C453" s="37"/>
      <c r="D453" s="37"/>
    </row>
    <row r="454" ht="15.75" customHeight="1">
      <c r="C454" s="37"/>
      <c r="D454" s="37"/>
    </row>
    <row r="455" ht="15.75" customHeight="1">
      <c r="C455" s="37"/>
      <c r="D455" s="37"/>
    </row>
    <row r="456" ht="15.75" customHeight="1">
      <c r="C456" s="37"/>
      <c r="D456" s="37"/>
    </row>
    <row r="457" ht="15.75" customHeight="1">
      <c r="C457" s="37"/>
      <c r="D457" s="37"/>
    </row>
    <row r="458" ht="15.75" customHeight="1">
      <c r="C458" s="37"/>
      <c r="D458" s="37"/>
    </row>
    <row r="459" ht="15.75" customHeight="1">
      <c r="C459" s="37"/>
      <c r="D459" s="37"/>
    </row>
    <row r="460" ht="15.75" customHeight="1">
      <c r="C460" s="37"/>
      <c r="D460" s="37"/>
    </row>
    <row r="461" ht="15.75" customHeight="1">
      <c r="C461" s="37"/>
      <c r="D461" s="37"/>
    </row>
    <row r="462" ht="15.75" customHeight="1">
      <c r="C462" s="37"/>
      <c r="D462" s="37"/>
    </row>
    <row r="463" ht="15.75" customHeight="1">
      <c r="C463" s="37"/>
      <c r="D463" s="37"/>
    </row>
    <row r="464" ht="15.75" customHeight="1">
      <c r="C464" s="37"/>
      <c r="D464" s="37"/>
    </row>
    <row r="465" ht="15.75" customHeight="1">
      <c r="C465" s="37"/>
      <c r="D465" s="37"/>
    </row>
    <row r="466" ht="15.75" customHeight="1">
      <c r="C466" s="37"/>
      <c r="D466" s="37"/>
    </row>
    <row r="467" ht="15.75" customHeight="1">
      <c r="C467" s="37"/>
      <c r="D467" s="37"/>
    </row>
    <row r="468" ht="15.75" customHeight="1">
      <c r="C468" s="37"/>
      <c r="D468" s="37"/>
    </row>
    <row r="469" ht="15.75" customHeight="1">
      <c r="C469" s="37"/>
      <c r="D469" s="37"/>
    </row>
    <row r="470" ht="15.75" customHeight="1">
      <c r="C470" s="37"/>
      <c r="D470" s="37"/>
    </row>
    <row r="471" ht="15.75" customHeight="1">
      <c r="C471" s="37"/>
      <c r="D471" s="37"/>
    </row>
    <row r="472" ht="15.75" customHeight="1">
      <c r="C472" s="37"/>
      <c r="D472" s="37"/>
    </row>
    <row r="473" ht="15.75" customHeight="1">
      <c r="C473" s="37"/>
      <c r="D473" s="37"/>
    </row>
    <row r="474" ht="15.75" customHeight="1">
      <c r="C474" s="37"/>
      <c r="D474" s="37"/>
    </row>
    <row r="475" ht="15.75" customHeight="1">
      <c r="C475" s="37"/>
      <c r="D475" s="37"/>
    </row>
    <row r="476" ht="15.75" customHeight="1">
      <c r="C476" s="37"/>
      <c r="D476" s="37"/>
    </row>
    <row r="477" ht="15.75" customHeight="1">
      <c r="C477" s="37"/>
      <c r="D477" s="37"/>
    </row>
    <row r="478" ht="15.75" customHeight="1">
      <c r="C478" s="37"/>
      <c r="D478" s="37"/>
    </row>
    <row r="479" ht="15.75" customHeight="1">
      <c r="C479" s="37"/>
      <c r="D479" s="37"/>
    </row>
    <row r="480" ht="15.75" customHeight="1">
      <c r="C480" s="37"/>
      <c r="D480" s="37"/>
    </row>
    <row r="481" ht="15.75" customHeight="1">
      <c r="C481" s="37"/>
      <c r="D481" s="37"/>
    </row>
    <row r="482" ht="15.75" customHeight="1">
      <c r="C482" s="37"/>
      <c r="D482" s="37"/>
    </row>
    <row r="483" ht="15.75" customHeight="1">
      <c r="C483" s="37"/>
      <c r="D483" s="37"/>
    </row>
    <row r="484" ht="15.75" customHeight="1">
      <c r="C484" s="37"/>
      <c r="D484" s="37"/>
    </row>
    <row r="485" ht="15.75" customHeight="1">
      <c r="C485" s="37"/>
      <c r="D485" s="37"/>
    </row>
    <row r="486" ht="15.75" customHeight="1">
      <c r="C486" s="37"/>
      <c r="D486" s="37"/>
    </row>
    <row r="487" ht="15.75" customHeight="1">
      <c r="C487" s="37"/>
      <c r="D487" s="37"/>
    </row>
    <row r="488" ht="15.75" customHeight="1">
      <c r="C488" s="37"/>
      <c r="D488" s="37"/>
    </row>
    <row r="489" ht="15.75" customHeight="1">
      <c r="C489" s="37"/>
      <c r="D489" s="37"/>
    </row>
    <row r="490" ht="15.75" customHeight="1">
      <c r="C490" s="37"/>
      <c r="D490" s="37"/>
    </row>
    <row r="491" ht="15.75" customHeight="1">
      <c r="C491" s="37"/>
      <c r="D491" s="37"/>
    </row>
    <row r="492" ht="15.75" customHeight="1">
      <c r="C492" s="37"/>
      <c r="D492" s="37"/>
    </row>
    <row r="493" ht="15.75" customHeight="1">
      <c r="C493" s="37"/>
      <c r="D493" s="37"/>
    </row>
    <row r="494" ht="15.75" customHeight="1">
      <c r="C494" s="37"/>
      <c r="D494" s="37"/>
    </row>
    <row r="495" ht="15.75" customHeight="1">
      <c r="C495" s="37"/>
      <c r="D495" s="37"/>
    </row>
    <row r="496" ht="15.75" customHeight="1">
      <c r="C496" s="37"/>
      <c r="D496" s="37"/>
    </row>
    <row r="497" ht="15.75" customHeight="1">
      <c r="C497" s="37"/>
      <c r="D497" s="37"/>
    </row>
    <row r="498" ht="15.75" customHeight="1">
      <c r="C498" s="37"/>
      <c r="D498" s="37"/>
    </row>
    <row r="499" ht="15.75" customHeight="1">
      <c r="C499" s="37"/>
      <c r="D499" s="37"/>
    </row>
    <row r="500" ht="15.75" customHeight="1">
      <c r="C500" s="37"/>
      <c r="D500" s="37"/>
    </row>
    <row r="501" ht="15.75" customHeight="1">
      <c r="C501" s="37"/>
      <c r="D501" s="37"/>
    </row>
    <row r="502" ht="15.75" customHeight="1">
      <c r="C502" s="37"/>
      <c r="D502" s="37"/>
    </row>
    <row r="503" ht="15.75" customHeight="1">
      <c r="C503" s="37"/>
      <c r="D503" s="37"/>
    </row>
    <row r="504" ht="15.75" customHeight="1">
      <c r="C504" s="37"/>
      <c r="D504" s="37"/>
    </row>
    <row r="505" ht="15.75" customHeight="1">
      <c r="C505" s="37"/>
      <c r="D505" s="37"/>
    </row>
    <row r="506" ht="15.75" customHeight="1">
      <c r="C506" s="37"/>
      <c r="D506" s="37"/>
    </row>
    <row r="507" ht="15.75" customHeight="1">
      <c r="C507" s="37"/>
      <c r="D507" s="37"/>
    </row>
    <row r="508" ht="15.75" customHeight="1">
      <c r="C508" s="37"/>
      <c r="D508" s="37"/>
    </row>
    <row r="509" ht="15.75" customHeight="1">
      <c r="C509" s="37"/>
      <c r="D509" s="37"/>
    </row>
    <row r="510" ht="15.75" customHeight="1">
      <c r="C510" s="37"/>
      <c r="D510" s="37"/>
    </row>
    <row r="511" ht="15.75" customHeight="1">
      <c r="C511" s="37"/>
      <c r="D511" s="37"/>
    </row>
    <row r="512" ht="15.75" customHeight="1">
      <c r="C512" s="37"/>
      <c r="D512" s="37"/>
    </row>
    <row r="513" ht="15.75" customHeight="1">
      <c r="C513" s="37"/>
      <c r="D513" s="37"/>
    </row>
    <row r="514" ht="15.75" customHeight="1">
      <c r="C514" s="37"/>
      <c r="D514" s="37"/>
    </row>
    <row r="515" ht="15.75" customHeight="1">
      <c r="C515" s="37"/>
      <c r="D515" s="37"/>
    </row>
    <row r="516" ht="15.75" customHeight="1">
      <c r="C516" s="37"/>
      <c r="D516" s="37"/>
    </row>
    <row r="517" ht="15.75" customHeight="1">
      <c r="C517" s="37"/>
      <c r="D517" s="37"/>
    </row>
    <row r="518" ht="15.75" customHeight="1">
      <c r="C518" s="37"/>
      <c r="D518" s="37"/>
    </row>
    <row r="519" ht="15.75" customHeight="1">
      <c r="C519" s="37"/>
      <c r="D519" s="37"/>
    </row>
    <row r="520" ht="15.75" customHeight="1">
      <c r="C520" s="37"/>
      <c r="D520" s="37"/>
    </row>
    <row r="521" ht="15.75" customHeight="1">
      <c r="C521" s="37"/>
      <c r="D521" s="37"/>
    </row>
    <row r="522" ht="15.75" customHeight="1">
      <c r="C522" s="37"/>
      <c r="D522" s="37"/>
    </row>
    <row r="523" ht="15.75" customHeight="1">
      <c r="C523" s="37"/>
      <c r="D523" s="37"/>
    </row>
    <row r="524" ht="15.75" customHeight="1">
      <c r="C524" s="37"/>
      <c r="D524" s="37"/>
    </row>
    <row r="525" ht="15.75" customHeight="1">
      <c r="C525" s="37"/>
      <c r="D525" s="37"/>
    </row>
    <row r="526" ht="15.75" customHeight="1">
      <c r="C526" s="37"/>
      <c r="D526" s="37"/>
    </row>
    <row r="527" ht="15.75" customHeight="1">
      <c r="C527" s="37"/>
      <c r="D527" s="37"/>
    </row>
    <row r="528" ht="15.75" customHeight="1">
      <c r="C528" s="37"/>
      <c r="D528" s="37"/>
    </row>
    <row r="529" ht="15.75" customHeight="1">
      <c r="C529" s="37"/>
      <c r="D529" s="37"/>
    </row>
    <row r="530" ht="15.75" customHeight="1">
      <c r="C530" s="37"/>
      <c r="D530" s="37"/>
    </row>
    <row r="531" ht="15.75" customHeight="1">
      <c r="C531" s="37"/>
      <c r="D531" s="37"/>
    </row>
    <row r="532" ht="15.75" customHeight="1">
      <c r="C532" s="37"/>
      <c r="D532" s="37"/>
    </row>
    <row r="533" ht="15.75" customHeight="1">
      <c r="C533" s="37"/>
      <c r="D533" s="37"/>
    </row>
    <row r="534" ht="15.75" customHeight="1">
      <c r="C534" s="37"/>
      <c r="D534" s="37"/>
    </row>
    <row r="535" ht="15.75" customHeight="1">
      <c r="C535" s="37"/>
      <c r="D535" s="37"/>
    </row>
    <row r="536" ht="15.75" customHeight="1">
      <c r="C536" s="37"/>
      <c r="D536" s="37"/>
    </row>
    <row r="537" ht="15.75" customHeight="1">
      <c r="C537" s="37"/>
      <c r="D537" s="37"/>
    </row>
    <row r="538" ht="15.75" customHeight="1">
      <c r="C538" s="37"/>
      <c r="D538" s="37"/>
    </row>
    <row r="539" ht="15.75" customHeight="1">
      <c r="C539" s="37"/>
      <c r="D539" s="37"/>
    </row>
    <row r="540" ht="15.75" customHeight="1">
      <c r="C540" s="37"/>
      <c r="D540" s="37"/>
    </row>
    <row r="541" ht="15.75" customHeight="1">
      <c r="C541" s="37"/>
      <c r="D541" s="37"/>
    </row>
    <row r="542" ht="15.75" customHeight="1">
      <c r="C542" s="37"/>
      <c r="D542" s="37"/>
    </row>
    <row r="543" ht="15.75" customHeight="1">
      <c r="C543" s="37"/>
      <c r="D543" s="37"/>
    </row>
    <row r="544" ht="15.75" customHeight="1">
      <c r="C544" s="37"/>
      <c r="D544" s="37"/>
    </row>
    <row r="545" ht="15.75" customHeight="1">
      <c r="C545" s="37"/>
      <c r="D545" s="37"/>
    </row>
    <row r="546" ht="15.75" customHeight="1">
      <c r="C546" s="37"/>
      <c r="D546" s="37"/>
    </row>
    <row r="547" ht="15.75" customHeight="1">
      <c r="C547" s="37"/>
      <c r="D547" s="37"/>
    </row>
    <row r="548" ht="15.75" customHeight="1">
      <c r="C548" s="37"/>
      <c r="D548" s="37"/>
    </row>
    <row r="549" ht="15.75" customHeight="1">
      <c r="C549" s="37"/>
      <c r="D549" s="37"/>
    </row>
    <row r="550" ht="15.75" customHeight="1">
      <c r="C550" s="37"/>
      <c r="D550" s="37"/>
    </row>
    <row r="551" ht="15.75" customHeight="1">
      <c r="C551" s="37"/>
      <c r="D551" s="37"/>
    </row>
    <row r="552" ht="15.75" customHeight="1">
      <c r="C552" s="37"/>
      <c r="D552" s="37"/>
    </row>
    <row r="553" ht="15.75" customHeight="1">
      <c r="C553" s="37"/>
      <c r="D553" s="37"/>
    </row>
    <row r="554" ht="15.75" customHeight="1">
      <c r="C554" s="37"/>
      <c r="D554" s="37"/>
    </row>
    <row r="555" ht="15.75" customHeight="1">
      <c r="C555" s="37"/>
      <c r="D555" s="37"/>
    </row>
    <row r="556" ht="15.75" customHeight="1">
      <c r="C556" s="37"/>
      <c r="D556" s="37"/>
    </row>
    <row r="557" ht="15.75" customHeight="1">
      <c r="C557" s="37"/>
      <c r="D557" s="37"/>
    </row>
    <row r="558" ht="15.75" customHeight="1">
      <c r="C558" s="37"/>
      <c r="D558" s="37"/>
    </row>
    <row r="559" ht="15.75" customHeight="1">
      <c r="C559" s="37"/>
      <c r="D559" s="37"/>
    </row>
    <row r="560" ht="15.75" customHeight="1">
      <c r="C560" s="37"/>
      <c r="D560" s="37"/>
    </row>
    <row r="561" ht="15.75" customHeight="1">
      <c r="C561" s="37"/>
      <c r="D561" s="37"/>
    </row>
    <row r="562" ht="15.75" customHeight="1">
      <c r="C562" s="37"/>
      <c r="D562" s="37"/>
    </row>
    <row r="563" ht="15.75" customHeight="1">
      <c r="C563" s="37"/>
      <c r="D563" s="37"/>
    </row>
    <row r="564" ht="15.75" customHeight="1">
      <c r="C564" s="37"/>
      <c r="D564" s="37"/>
    </row>
    <row r="565" ht="15.75" customHeight="1">
      <c r="C565" s="37"/>
      <c r="D565" s="37"/>
    </row>
    <row r="566" ht="15.75" customHeight="1">
      <c r="C566" s="37"/>
      <c r="D566" s="37"/>
    </row>
    <row r="567" ht="15.75" customHeight="1">
      <c r="C567" s="37"/>
      <c r="D567" s="37"/>
    </row>
    <row r="568" ht="15.75" customHeight="1">
      <c r="C568" s="37"/>
      <c r="D568" s="37"/>
    </row>
    <row r="569" ht="15.75" customHeight="1">
      <c r="C569" s="37"/>
      <c r="D569" s="37"/>
    </row>
    <row r="570" ht="15.75" customHeight="1">
      <c r="C570" s="37"/>
      <c r="D570" s="37"/>
    </row>
    <row r="571" ht="15.75" customHeight="1">
      <c r="C571" s="37"/>
      <c r="D571" s="37"/>
    </row>
    <row r="572" ht="15.75" customHeight="1">
      <c r="C572" s="37"/>
      <c r="D572" s="37"/>
    </row>
    <row r="573" ht="15.75" customHeight="1">
      <c r="C573" s="37"/>
      <c r="D573" s="37"/>
    </row>
    <row r="574" ht="15.75" customHeight="1">
      <c r="C574" s="37"/>
      <c r="D574" s="37"/>
    </row>
    <row r="575" ht="15.75" customHeight="1">
      <c r="C575" s="37"/>
      <c r="D575" s="37"/>
    </row>
    <row r="576" ht="15.75" customHeight="1">
      <c r="C576" s="37"/>
      <c r="D576" s="37"/>
    </row>
    <row r="577" ht="15.75" customHeight="1">
      <c r="C577" s="37"/>
      <c r="D577" s="37"/>
    </row>
    <row r="578" ht="15.75" customHeight="1">
      <c r="C578" s="37"/>
      <c r="D578" s="37"/>
    </row>
    <row r="579" ht="15.75" customHeight="1">
      <c r="C579" s="37"/>
      <c r="D579" s="37"/>
    </row>
    <row r="580" ht="15.75" customHeight="1">
      <c r="C580" s="37"/>
      <c r="D580" s="37"/>
    </row>
    <row r="581" ht="15.75" customHeight="1">
      <c r="C581" s="37"/>
      <c r="D581" s="37"/>
    </row>
    <row r="582" ht="15.75" customHeight="1">
      <c r="C582" s="37"/>
      <c r="D582" s="37"/>
    </row>
    <row r="583" ht="15.75" customHeight="1">
      <c r="C583" s="37"/>
      <c r="D583" s="37"/>
    </row>
    <row r="584" ht="15.75" customHeight="1">
      <c r="C584" s="37"/>
      <c r="D584" s="37"/>
    </row>
    <row r="585" ht="15.75" customHeight="1">
      <c r="C585" s="37"/>
      <c r="D585" s="37"/>
    </row>
    <row r="586" ht="15.75" customHeight="1">
      <c r="C586" s="37"/>
      <c r="D586" s="37"/>
    </row>
    <row r="587" ht="15.75" customHeight="1">
      <c r="C587" s="37"/>
      <c r="D587" s="37"/>
    </row>
    <row r="588" ht="15.75" customHeight="1">
      <c r="C588" s="37"/>
      <c r="D588" s="37"/>
    </row>
    <row r="589" ht="15.75" customHeight="1">
      <c r="C589" s="37"/>
      <c r="D589" s="37"/>
    </row>
    <row r="590" ht="15.75" customHeight="1">
      <c r="C590" s="37"/>
      <c r="D590" s="37"/>
    </row>
    <row r="591" ht="15.75" customHeight="1">
      <c r="C591" s="37"/>
      <c r="D591" s="37"/>
    </row>
    <row r="592" ht="15.75" customHeight="1">
      <c r="C592" s="37"/>
      <c r="D592" s="37"/>
    </row>
    <row r="593" ht="15.75" customHeight="1">
      <c r="C593" s="37"/>
      <c r="D593" s="37"/>
    </row>
    <row r="594" ht="15.75" customHeight="1">
      <c r="C594" s="37"/>
      <c r="D594" s="37"/>
    </row>
    <row r="595" ht="15.75" customHeight="1">
      <c r="C595" s="37"/>
      <c r="D595" s="37"/>
    </row>
    <row r="596" ht="15.75" customHeight="1">
      <c r="C596" s="37"/>
      <c r="D596" s="37"/>
    </row>
    <row r="597" ht="15.75" customHeight="1">
      <c r="C597" s="37"/>
      <c r="D597" s="37"/>
    </row>
    <row r="598" ht="15.75" customHeight="1">
      <c r="C598" s="37"/>
      <c r="D598" s="37"/>
    </row>
    <row r="599" ht="15.75" customHeight="1">
      <c r="C599" s="37"/>
      <c r="D599" s="37"/>
    </row>
    <row r="600" ht="15.75" customHeight="1">
      <c r="C600" s="37"/>
      <c r="D600" s="37"/>
    </row>
    <row r="601" ht="15.75" customHeight="1">
      <c r="C601" s="37"/>
      <c r="D601" s="37"/>
    </row>
    <row r="602" ht="15.75" customHeight="1">
      <c r="C602" s="37"/>
      <c r="D602" s="37"/>
    </row>
    <row r="603" ht="15.75" customHeight="1">
      <c r="C603" s="37"/>
      <c r="D603" s="37"/>
    </row>
    <row r="604" ht="15.75" customHeight="1">
      <c r="C604" s="37"/>
      <c r="D604" s="37"/>
    </row>
    <row r="605" ht="15.75" customHeight="1">
      <c r="C605" s="37"/>
      <c r="D605" s="37"/>
    </row>
    <row r="606" ht="15.75" customHeight="1">
      <c r="C606" s="37"/>
      <c r="D606" s="37"/>
    </row>
    <row r="607" ht="15.75" customHeight="1">
      <c r="C607" s="37"/>
      <c r="D607" s="37"/>
    </row>
    <row r="608" ht="15.75" customHeight="1">
      <c r="C608" s="37"/>
      <c r="D608" s="37"/>
    </row>
    <row r="609" ht="15.75" customHeight="1">
      <c r="C609" s="37"/>
      <c r="D609" s="37"/>
    </row>
    <row r="610" ht="15.75" customHeight="1">
      <c r="C610" s="37"/>
      <c r="D610" s="37"/>
    </row>
    <row r="611" ht="15.75" customHeight="1">
      <c r="C611" s="37"/>
      <c r="D611" s="37"/>
    </row>
    <row r="612" ht="15.75" customHeight="1">
      <c r="C612" s="37"/>
      <c r="D612" s="37"/>
    </row>
    <row r="613" ht="15.75" customHeight="1">
      <c r="C613" s="37"/>
      <c r="D613" s="37"/>
    </row>
    <row r="614" ht="15.75" customHeight="1">
      <c r="C614" s="37"/>
      <c r="D614" s="37"/>
    </row>
    <row r="615" ht="15.75" customHeight="1">
      <c r="C615" s="37"/>
      <c r="D615" s="37"/>
    </row>
    <row r="616" ht="15.75" customHeight="1">
      <c r="C616" s="37"/>
      <c r="D616" s="37"/>
    </row>
    <row r="617" ht="15.75" customHeight="1">
      <c r="C617" s="37"/>
      <c r="D617" s="37"/>
    </row>
    <row r="618" ht="15.75" customHeight="1">
      <c r="C618" s="37"/>
      <c r="D618" s="37"/>
    </row>
    <row r="619" ht="15.75" customHeight="1">
      <c r="C619" s="37"/>
      <c r="D619" s="37"/>
    </row>
    <row r="620" ht="15.75" customHeight="1">
      <c r="C620" s="37"/>
      <c r="D620" s="37"/>
    </row>
    <row r="621" ht="15.75" customHeight="1">
      <c r="C621" s="37"/>
      <c r="D621" s="37"/>
    </row>
    <row r="622" ht="15.75" customHeight="1">
      <c r="C622" s="37"/>
      <c r="D622" s="37"/>
    </row>
    <row r="623" ht="15.75" customHeight="1">
      <c r="C623" s="37"/>
      <c r="D623" s="37"/>
    </row>
    <row r="624" ht="15.75" customHeight="1">
      <c r="C624" s="37"/>
      <c r="D624" s="37"/>
    </row>
    <row r="625" ht="15.75" customHeight="1">
      <c r="C625" s="37"/>
      <c r="D625" s="37"/>
    </row>
    <row r="626" ht="15.75" customHeight="1">
      <c r="C626" s="37"/>
      <c r="D626" s="37"/>
    </row>
    <row r="627" ht="15.75" customHeight="1">
      <c r="C627" s="37"/>
      <c r="D627" s="37"/>
    </row>
    <row r="628" ht="15.75" customHeight="1">
      <c r="C628" s="37"/>
      <c r="D628" s="37"/>
    </row>
    <row r="629" ht="15.75" customHeight="1">
      <c r="C629" s="37"/>
      <c r="D629" s="37"/>
    </row>
    <row r="630" ht="15.75" customHeight="1">
      <c r="C630" s="37"/>
      <c r="D630" s="37"/>
    </row>
    <row r="631" ht="15.75" customHeight="1">
      <c r="C631" s="37"/>
      <c r="D631" s="37"/>
    </row>
    <row r="632" ht="15.75" customHeight="1">
      <c r="C632" s="37"/>
      <c r="D632" s="37"/>
    </row>
    <row r="633" ht="15.75" customHeight="1">
      <c r="C633" s="37"/>
      <c r="D633" s="37"/>
    </row>
    <row r="634" ht="15.75" customHeight="1">
      <c r="C634" s="37"/>
      <c r="D634" s="37"/>
    </row>
    <row r="635" ht="15.75" customHeight="1">
      <c r="C635" s="37"/>
      <c r="D635" s="37"/>
    </row>
    <row r="636" ht="15.75" customHeight="1">
      <c r="C636" s="37"/>
      <c r="D636" s="37"/>
    </row>
    <row r="637" ht="15.75" customHeight="1">
      <c r="C637" s="37"/>
      <c r="D637" s="37"/>
    </row>
    <row r="638" ht="15.75" customHeight="1">
      <c r="C638" s="37"/>
      <c r="D638" s="37"/>
    </row>
    <row r="639" ht="15.75" customHeight="1">
      <c r="C639" s="37"/>
      <c r="D639" s="37"/>
    </row>
    <row r="640" ht="15.75" customHeight="1">
      <c r="C640" s="37"/>
      <c r="D640" s="37"/>
    </row>
    <row r="641" ht="15.75" customHeight="1">
      <c r="C641" s="37"/>
      <c r="D641" s="37"/>
    </row>
    <row r="642" ht="15.75" customHeight="1">
      <c r="C642" s="37"/>
      <c r="D642" s="37"/>
    </row>
    <row r="643" ht="15.75" customHeight="1">
      <c r="C643" s="37"/>
      <c r="D643" s="37"/>
    </row>
    <row r="644" ht="15.75" customHeight="1">
      <c r="C644" s="37"/>
      <c r="D644" s="37"/>
    </row>
    <row r="645" ht="15.75" customHeight="1">
      <c r="C645" s="37"/>
      <c r="D645" s="37"/>
    </row>
    <row r="646" ht="15.75" customHeight="1">
      <c r="C646" s="37"/>
      <c r="D646" s="37"/>
    </row>
    <row r="647" ht="15.75" customHeight="1">
      <c r="C647" s="37"/>
      <c r="D647" s="37"/>
    </row>
    <row r="648" ht="15.75" customHeight="1">
      <c r="C648" s="37"/>
      <c r="D648" s="37"/>
    </row>
    <row r="649" ht="15.75" customHeight="1">
      <c r="C649" s="37"/>
      <c r="D649" s="37"/>
    </row>
    <row r="650" ht="15.75" customHeight="1">
      <c r="C650" s="37"/>
      <c r="D650" s="37"/>
    </row>
    <row r="651" ht="15.75" customHeight="1">
      <c r="C651" s="37"/>
      <c r="D651" s="37"/>
    </row>
    <row r="652" ht="15.75" customHeight="1">
      <c r="C652" s="37"/>
      <c r="D652" s="37"/>
    </row>
    <row r="653" ht="15.75" customHeight="1">
      <c r="C653" s="37"/>
      <c r="D653" s="37"/>
    </row>
    <row r="654" ht="15.75" customHeight="1">
      <c r="C654" s="37"/>
      <c r="D654" s="37"/>
    </row>
    <row r="655" ht="15.75" customHeight="1">
      <c r="C655" s="37"/>
      <c r="D655" s="37"/>
    </row>
    <row r="656" ht="15.75" customHeight="1">
      <c r="C656" s="37"/>
      <c r="D656" s="37"/>
    </row>
    <row r="657" ht="15.75" customHeight="1">
      <c r="C657" s="37"/>
      <c r="D657" s="37"/>
    </row>
    <row r="658" ht="15.75" customHeight="1">
      <c r="C658" s="37"/>
      <c r="D658" s="37"/>
    </row>
    <row r="659" ht="15.75" customHeight="1">
      <c r="C659" s="37"/>
      <c r="D659" s="37"/>
    </row>
    <row r="660" ht="15.75" customHeight="1">
      <c r="C660" s="37"/>
      <c r="D660" s="37"/>
    </row>
    <row r="661" ht="15.75" customHeight="1">
      <c r="C661" s="37"/>
      <c r="D661" s="37"/>
    </row>
    <row r="662" ht="15.75" customHeight="1">
      <c r="C662" s="37"/>
      <c r="D662" s="37"/>
    </row>
    <row r="663" ht="15.75" customHeight="1">
      <c r="C663" s="37"/>
      <c r="D663" s="37"/>
    </row>
    <row r="664" ht="15.75" customHeight="1">
      <c r="C664" s="37"/>
      <c r="D664" s="37"/>
    </row>
    <row r="665" ht="15.75" customHeight="1">
      <c r="C665" s="37"/>
      <c r="D665" s="37"/>
    </row>
    <row r="666" ht="15.75" customHeight="1">
      <c r="C666" s="37"/>
      <c r="D666" s="37"/>
    </row>
    <row r="667" ht="15.75" customHeight="1">
      <c r="C667" s="37"/>
      <c r="D667" s="37"/>
    </row>
    <row r="668" ht="15.75" customHeight="1">
      <c r="C668" s="37"/>
      <c r="D668" s="37"/>
    </row>
    <row r="669" ht="15.75" customHeight="1">
      <c r="C669" s="37"/>
      <c r="D669" s="37"/>
    </row>
    <row r="670" ht="15.75" customHeight="1">
      <c r="C670" s="37"/>
      <c r="D670" s="37"/>
    </row>
    <row r="671" ht="15.75" customHeight="1">
      <c r="C671" s="37"/>
      <c r="D671" s="37"/>
    </row>
    <row r="672" ht="15.75" customHeight="1">
      <c r="C672" s="37"/>
      <c r="D672" s="37"/>
    </row>
    <row r="673" ht="15.75" customHeight="1">
      <c r="C673" s="37"/>
      <c r="D673" s="37"/>
    </row>
    <row r="674" ht="15.75" customHeight="1">
      <c r="C674" s="37"/>
      <c r="D674" s="37"/>
    </row>
    <row r="675" ht="15.75" customHeight="1">
      <c r="C675" s="37"/>
      <c r="D675" s="37"/>
    </row>
    <row r="676" ht="15.75" customHeight="1">
      <c r="C676" s="37"/>
      <c r="D676" s="37"/>
    </row>
    <row r="677" ht="15.75" customHeight="1">
      <c r="C677" s="37"/>
      <c r="D677" s="37"/>
    </row>
    <row r="678" ht="15.75" customHeight="1">
      <c r="C678" s="37"/>
      <c r="D678" s="37"/>
    </row>
    <row r="679" ht="15.75" customHeight="1">
      <c r="C679" s="37"/>
      <c r="D679" s="37"/>
    </row>
    <row r="680" ht="15.75" customHeight="1">
      <c r="C680" s="37"/>
      <c r="D680" s="37"/>
    </row>
    <row r="681" ht="15.75" customHeight="1">
      <c r="C681" s="37"/>
      <c r="D681" s="37"/>
    </row>
    <row r="682" ht="15.75" customHeight="1">
      <c r="C682" s="37"/>
      <c r="D682" s="37"/>
    </row>
    <row r="683" ht="15.75" customHeight="1">
      <c r="C683" s="37"/>
      <c r="D683" s="37"/>
    </row>
    <row r="684" ht="15.75" customHeight="1">
      <c r="C684" s="37"/>
      <c r="D684" s="37"/>
    </row>
    <row r="685" ht="15.75" customHeight="1">
      <c r="C685" s="37"/>
      <c r="D685" s="37"/>
    </row>
    <row r="686" ht="15.75" customHeight="1">
      <c r="C686" s="37"/>
      <c r="D686" s="37"/>
    </row>
    <row r="687" ht="15.75" customHeight="1">
      <c r="C687" s="37"/>
      <c r="D687" s="37"/>
    </row>
    <row r="688" ht="15.75" customHeight="1">
      <c r="C688" s="37"/>
      <c r="D688" s="37"/>
    </row>
    <row r="689" ht="15.75" customHeight="1">
      <c r="C689" s="37"/>
      <c r="D689" s="37"/>
    </row>
    <row r="690" ht="15.75" customHeight="1">
      <c r="C690" s="37"/>
      <c r="D690" s="37"/>
    </row>
    <row r="691" ht="15.75" customHeight="1">
      <c r="C691" s="37"/>
      <c r="D691" s="37"/>
    </row>
    <row r="692" ht="15.75" customHeight="1">
      <c r="C692" s="37"/>
      <c r="D692" s="37"/>
    </row>
    <row r="693" ht="15.75" customHeight="1">
      <c r="C693" s="37"/>
      <c r="D693" s="37"/>
    </row>
    <row r="694" ht="15.75" customHeight="1">
      <c r="C694" s="37"/>
      <c r="D694" s="37"/>
    </row>
    <row r="695" ht="15.75" customHeight="1">
      <c r="C695" s="37"/>
      <c r="D695" s="37"/>
    </row>
    <row r="696" ht="15.75" customHeight="1">
      <c r="C696" s="37"/>
      <c r="D696" s="37"/>
    </row>
    <row r="697" ht="15.75" customHeight="1">
      <c r="C697" s="37"/>
      <c r="D697" s="37"/>
    </row>
    <row r="698" ht="15.75" customHeight="1">
      <c r="C698" s="37"/>
      <c r="D698" s="37"/>
    </row>
    <row r="699" ht="15.75" customHeight="1">
      <c r="C699" s="37"/>
      <c r="D699" s="37"/>
    </row>
    <row r="700" ht="15.75" customHeight="1">
      <c r="C700" s="37"/>
      <c r="D700" s="37"/>
    </row>
    <row r="701" ht="15.75" customHeight="1">
      <c r="C701" s="37"/>
      <c r="D701" s="37"/>
    </row>
    <row r="702" ht="15.75" customHeight="1">
      <c r="C702" s="37"/>
      <c r="D702" s="37"/>
    </row>
    <row r="703" ht="15.75" customHeight="1">
      <c r="C703" s="37"/>
      <c r="D703" s="37"/>
    </row>
    <row r="704" ht="15.75" customHeight="1">
      <c r="C704" s="37"/>
      <c r="D704" s="37"/>
    </row>
    <row r="705" ht="15.75" customHeight="1">
      <c r="C705" s="37"/>
      <c r="D705" s="37"/>
    </row>
    <row r="706" ht="15.75" customHeight="1">
      <c r="C706" s="37"/>
      <c r="D706" s="37"/>
    </row>
    <row r="707" ht="15.75" customHeight="1">
      <c r="C707" s="37"/>
      <c r="D707" s="37"/>
    </row>
    <row r="708" ht="15.75" customHeight="1">
      <c r="C708" s="37"/>
      <c r="D708" s="37"/>
    </row>
    <row r="709" ht="15.75" customHeight="1">
      <c r="C709" s="37"/>
      <c r="D709" s="37"/>
    </row>
    <row r="710" ht="15.75" customHeight="1">
      <c r="C710" s="37"/>
      <c r="D710" s="37"/>
    </row>
    <row r="711" ht="15.75" customHeight="1">
      <c r="C711" s="37"/>
      <c r="D711" s="37"/>
    </row>
    <row r="712" ht="15.75" customHeight="1">
      <c r="C712" s="37"/>
      <c r="D712" s="37"/>
    </row>
    <row r="713" ht="15.75" customHeight="1">
      <c r="C713" s="37"/>
      <c r="D713" s="37"/>
    </row>
    <row r="714" ht="15.75" customHeight="1">
      <c r="C714" s="37"/>
      <c r="D714" s="37"/>
    </row>
    <row r="715" ht="15.75" customHeight="1">
      <c r="C715" s="37"/>
      <c r="D715" s="37"/>
    </row>
    <row r="716" ht="15.75" customHeight="1">
      <c r="C716" s="37"/>
      <c r="D716" s="37"/>
    </row>
    <row r="717" ht="15.75" customHeight="1">
      <c r="C717" s="37"/>
      <c r="D717" s="37"/>
    </row>
    <row r="718" ht="15.75" customHeight="1">
      <c r="C718" s="37"/>
      <c r="D718" s="37"/>
    </row>
    <row r="719" ht="15.75" customHeight="1">
      <c r="C719" s="37"/>
      <c r="D719" s="37"/>
    </row>
    <row r="720" ht="15.75" customHeight="1">
      <c r="C720" s="37"/>
      <c r="D720" s="37"/>
    </row>
    <row r="721" ht="15.75" customHeight="1">
      <c r="C721" s="37"/>
      <c r="D721" s="37"/>
    </row>
    <row r="722" ht="15.75" customHeight="1">
      <c r="C722" s="37"/>
      <c r="D722" s="37"/>
    </row>
    <row r="723" ht="15.75" customHeight="1">
      <c r="C723" s="37"/>
      <c r="D723" s="37"/>
    </row>
    <row r="724" ht="15.75" customHeight="1">
      <c r="C724" s="37"/>
      <c r="D724" s="37"/>
    </row>
    <row r="725" ht="15.75" customHeight="1">
      <c r="C725" s="37"/>
      <c r="D725" s="37"/>
    </row>
    <row r="726" ht="15.75" customHeight="1">
      <c r="C726" s="37"/>
      <c r="D726" s="37"/>
    </row>
    <row r="727" ht="15.75" customHeight="1">
      <c r="C727" s="37"/>
      <c r="D727" s="37"/>
    </row>
    <row r="728" ht="15.75" customHeight="1">
      <c r="C728" s="37"/>
      <c r="D728" s="37"/>
    </row>
    <row r="729" ht="15.75" customHeight="1">
      <c r="C729" s="37"/>
      <c r="D729" s="37"/>
    </row>
    <row r="730" ht="15.75" customHeight="1">
      <c r="C730" s="37"/>
      <c r="D730" s="37"/>
    </row>
    <row r="731" ht="15.75" customHeight="1">
      <c r="C731" s="37"/>
      <c r="D731" s="37"/>
    </row>
    <row r="732" ht="15.75" customHeight="1">
      <c r="C732" s="37"/>
      <c r="D732" s="37"/>
    </row>
    <row r="733" ht="15.75" customHeight="1">
      <c r="C733" s="37"/>
      <c r="D733" s="37"/>
    </row>
    <row r="734" ht="15.75" customHeight="1">
      <c r="C734" s="37"/>
      <c r="D734" s="37"/>
    </row>
    <row r="735" ht="15.75" customHeight="1">
      <c r="C735" s="37"/>
      <c r="D735" s="37"/>
    </row>
    <row r="736" ht="15.75" customHeight="1">
      <c r="C736" s="37"/>
      <c r="D736" s="37"/>
    </row>
    <row r="737" ht="15.75" customHeight="1">
      <c r="C737" s="37"/>
      <c r="D737" s="37"/>
    </row>
    <row r="738" ht="15.75" customHeight="1">
      <c r="C738" s="37"/>
      <c r="D738" s="37"/>
    </row>
    <row r="739" ht="15.75" customHeight="1">
      <c r="C739" s="37"/>
      <c r="D739" s="37"/>
    </row>
    <row r="740" ht="15.75" customHeight="1">
      <c r="C740" s="37"/>
      <c r="D740" s="37"/>
    </row>
    <row r="741" ht="15.75" customHeight="1">
      <c r="C741" s="37"/>
      <c r="D741" s="37"/>
    </row>
    <row r="742" ht="15.75" customHeight="1">
      <c r="C742" s="37"/>
      <c r="D742" s="37"/>
    </row>
    <row r="743" ht="15.75" customHeight="1">
      <c r="C743" s="37"/>
      <c r="D743" s="37"/>
    </row>
    <row r="744" ht="15.75" customHeight="1">
      <c r="C744" s="37"/>
      <c r="D744" s="37"/>
    </row>
    <row r="745" ht="15.75" customHeight="1">
      <c r="C745" s="37"/>
      <c r="D745" s="37"/>
    </row>
    <row r="746" ht="15.75" customHeight="1">
      <c r="C746" s="37"/>
      <c r="D746" s="37"/>
    </row>
    <row r="747" ht="15.75" customHeight="1">
      <c r="C747" s="37"/>
      <c r="D747" s="37"/>
    </row>
    <row r="748" ht="15.75" customHeight="1">
      <c r="C748" s="37"/>
      <c r="D748" s="37"/>
    </row>
    <row r="749" ht="15.75" customHeight="1">
      <c r="C749" s="37"/>
      <c r="D749" s="37"/>
    </row>
    <row r="750" ht="15.75" customHeight="1">
      <c r="C750" s="37"/>
      <c r="D750" s="37"/>
    </row>
    <row r="751" ht="15.75" customHeight="1">
      <c r="C751" s="37"/>
      <c r="D751" s="37"/>
    </row>
    <row r="752" ht="15.75" customHeight="1">
      <c r="C752" s="37"/>
      <c r="D752" s="37"/>
    </row>
    <row r="753" ht="15.75" customHeight="1">
      <c r="C753" s="37"/>
      <c r="D753" s="37"/>
    </row>
    <row r="754" ht="15.75" customHeight="1">
      <c r="C754" s="37"/>
      <c r="D754" s="37"/>
    </row>
    <row r="755" ht="15.75" customHeight="1">
      <c r="C755" s="37"/>
      <c r="D755" s="37"/>
    </row>
    <row r="756" ht="15.75" customHeight="1">
      <c r="C756" s="37"/>
      <c r="D756" s="37"/>
    </row>
    <row r="757" ht="15.75" customHeight="1">
      <c r="C757" s="37"/>
      <c r="D757" s="37"/>
    </row>
    <row r="758" ht="15.75" customHeight="1">
      <c r="C758" s="37"/>
      <c r="D758" s="37"/>
    </row>
    <row r="759" ht="15.75" customHeight="1">
      <c r="C759" s="37"/>
      <c r="D759" s="37"/>
    </row>
    <row r="760" ht="15.75" customHeight="1">
      <c r="C760" s="37"/>
      <c r="D760" s="37"/>
    </row>
    <row r="761" ht="15.75" customHeight="1">
      <c r="C761" s="37"/>
      <c r="D761" s="37"/>
    </row>
    <row r="762" ht="15.75" customHeight="1">
      <c r="C762" s="37"/>
      <c r="D762" s="37"/>
    </row>
    <row r="763" ht="15.75" customHeight="1">
      <c r="C763" s="37"/>
      <c r="D763" s="37"/>
    </row>
    <row r="764" ht="15.75" customHeight="1">
      <c r="C764" s="37"/>
      <c r="D764" s="37"/>
    </row>
    <row r="765" ht="15.75" customHeight="1">
      <c r="C765" s="37"/>
      <c r="D765" s="37"/>
    </row>
    <row r="766" ht="15.75" customHeight="1">
      <c r="C766" s="37"/>
      <c r="D766" s="37"/>
    </row>
    <row r="767" ht="15.75" customHeight="1">
      <c r="C767" s="37"/>
      <c r="D767" s="37"/>
    </row>
    <row r="768" ht="15.75" customHeight="1">
      <c r="C768" s="37"/>
      <c r="D768" s="37"/>
    </row>
    <row r="769" ht="15.75" customHeight="1">
      <c r="C769" s="37"/>
      <c r="D769" s="37"/>
    </row>
    <row r="770" ht="15.75" customHeight="1">
      <c r="C770" s="37"/>
      <c r="D770" s="37"/>
    </row>
    <row r="771" ht="15.75" customHeight="1">
      <c r="C771" s="37"/>
      <c r="D771" s="37"/>
    </row>
    <row r="772" ht="15.75" customHeight="1">
      <c r="C772" s="37"/>
      <c r="D772" s="37"/>
    </row>
    <row r="773" ht="15.75" customHeight="1">
      <c r="C773" s="37"/>
      <c r="D773" s="37"/>
    </row>
    <row r="774" ht="15.75" customHeight="1">
      <c r="C774" s="37"/>
      <c r="D774" s="37"/>
    </row>
    <row r="775" ht="15.75" customHeight="1">
      <c r="C775" s="37"/>
      <c r="D775" s="37"/>
    </row>
    <row r="776" ht="15.75" customHeight="1">
      <c r="C776" s="37"/>
      <c r="D776" s="37"/>
    </row>
    <row r="777" ht="15.75" customHeight="1">
      <c r="C777" s="37"/>
      <c r="D777" s="37"/>
    </row>
    <row r="778" ht="15.75" customHeight="1">
      <c r="C778" s="37"/>
      <c r="D778" s="37"/>
    </row>
    <row r="779" ht="15.75" customHeight="1">
      <c r="C779" s="37"/>
      <c r="D779" s="37"/>
    </row>
    <row r="780" ht="15.75" customHeight="1">
      <c r="C780" s="37"/>
      <c r="D780" s="37"/>
    </row>
    <row r="781" ht="15.75" customHeight="1">
      <c r="C781" s="37"/>
      <c r="D781" s="37"/>
    </row>
    <row r="782" ht="15.75" customHeight="1">
      <c r="C782" s="37"/>
      <c r="D782" s="37"/>
    </row>
    <row r="783" ht="15.75" customHeight="1">
      <c r="C783" s="37"/>
      <c r="D783" s="37"/>
    </row>
    <row r="784" ht="15.75" customHeight="1">
      <c r="C784" s="37"/>
      <c r="D784" s="37"/>
    </row>
    <row r="785" ht="15.75" customHeight="1">
      <c r="C785" s="37"/>
      <c r="D785" s="37"/>
    </row>
    <row r="786" ht="15.75" customHeight="1">
      <c r="C786" s="37"/>
      <c r="D786" s="37"/>
    </row>
    <row r="787" ht="15.75" customHeight="1">
      <c r="C787" s="37"/>
      <c r="D787" s="37"/>
    </row>
    <row r="788" ht="15.75" customHeight="1">
      <c r="C788" s="37"/>
      <c r="D788" s="37"/>
    </row>
    <row r="789" ht="15.75" customHeight="1">
      <c r="C789" s="37"/>
      <c r="D789" s="37"/>
    </row>
    <row r="790" ht="15.75" customHeight="1">
      <c r="C790" s="37"/>
      <c r="D790" s="37"/>
    </row>
    <row r="791" ht="15.75" customHeight="1">
      <c r="C791" s="37"/>
      <c r="D791" s="37"/>
    </row>
    <row r="792" ht="15.75" customHeight="1">
      <c r="C792" s="37"/>
      <c r="D792" s="37"/>
    </row>
    <row r="793" ht="15.75" customHeight="1">
      <c r="C793" s="37"/>
      <c r="D793" s="37"/>
    </row>
    <row r="794" ht="15.75" customHeight="1">
      <c r="C794" s="37"/>
      <c r="D794" s="37"/>
    </row>
    <row r="795" ht="15.75" customHeight="1">
      <c r="C795" s="37"/>
      <c r="D795" s="37"/>
    </row>
    <row r="796" ht="15.75" customHeight="1">
      <c r="C796" s="37"/>
      <c r="D796" s="37"/>
    </row>
    <row r="797" ht="15.75" customHeight="1">
      <c r="C797" s="37"/>
      <c r="D797" s="37"/>
    </row>
    <row r="798" ht="15.75" customHeight="1">
      <c r="C798" s="37"/>
      <c r="D798" s="37"/>
    </row>
    <row r="799" ht="15.75" customHeight="1">
      <c r="C799" s="37"/>
      <c r="D799" s="37"/>
    </row>
    <row r="800" ht="15.75" customHeight="1">
      <c r="C800" s="37"/>
      <c r="D800" s="37"/>
    </row>
    <row r="801" ht="15.75" customHeight="1">
      <c r="C801" s="37"/>
      <c r="D801" s="37"/>
    </row>
    <row r="802" ht="15.75" customHeight="1">
      <c r="C802" s="37"/>
      <c r="D802" s="37"/>
    </row>
    <row r="803" ht="15.75" customHeight="1">
      <c r="C803" s="37"/>
      <c r="D803" s="37"/>
    </row>
    <row r="804" ht="15.75" customHeight="1">
      <c r="C804" s="37"/>
      <c r="D804" s="37"/>
    </row>
    <row r="805" ht="15.75" customHeight="1">
      <c r="C805" s="37"/>
      <c r="D805" s="37"/>
    </row>
    <row r="806" ht="15.75" customHeight="1">
      <c r="C806" s="37"/>
      <c r="D806" s="37"/>
    </row>
    <row r="807" ht="15.75" customHeight="1">
      <c r="C807" s="37"/>
      <c r="D807" s="37"/>
    </row>
    <row r="808" ht="15.75" customHeight="1">
      <c r="C808" s="37"/>
      <c r="D808" s="37"/>
    </row>
    <row r="809" ht="15.75" customHeight="1">
      <c r="C809" s="37"/>
      <c r="D809" s="37"/>
    </row>
    <row r="810" ht="15.75" customHeight="1">
      <c r="C810" s="37"/>
      <c r="D810" s="37"/>
    </row>
    <row r="811" ht="15.75" customHeight="1">
      <c r="C811" s="37"/>
      <c r="D811" s="37"/>
    </row>
    <row r="812" ht="15.75" customHeight="1">
      <c r="C812" s="37"/>
      <c r="D812" s="37"/>
    </row>
    <row r="813" ht="15.75" customHeight="1">
      <c r="C813" s="37"/>
      <c r="D813" s="37"/>
    </row>
    <row r="814" ht="15.75" customHeight="1">
      <c r="C814" s="37"/>
      <c r="D814" s="37"/>
    </row>
    <row r="815" ht="15.75" customHeight="1">
      <c r="C815" s="37"/>
      <c r="D815" s="37"/>
    </row>
    <row r="816" ht="15.75" customHeight="1">
      <c r="C816" s="37"/>
      <c r="D816" s="37"/>
    </row>
    <row r="817" ht="15.75" customHeight="1">
      <c r="C817" s="37"/>
      <c r="D817" s="37"/>
    </row>
    <row r="818" ht="15.75" customHeight="1">
      <c r="C818" s="37"/>
      <c r="D818" s="37"/>
    </row>
    <row r="819" ht="15.75" customHeight="1">
      <c r="C819" s="37"/>
      <c r="D819" s="37"/>
    </row>
    <row r="820" ht="15.75" customHeight="1">
      <c r="C820" s="37"/>
      <c r="D820" s="37"/>
    </row>
    <row r="821" ht="15.75" customHeight="1">
      <c r="C821" s="37"/>
      <c r="D821" s="37"/>
    </row>
    <row r="822" ht="15.75" customHeight="1">
      <c r="C822" s="37"/>
      <c r="D822" s="37"/>
    </row>
    <row r="823" ht="15.75" customHeight="1">
      <c r="C823" s="37"/>
      <c r="D823" s="37"/>
    </row>
    <row r="824" ht="15.75" customHeight="1">
      <c r="C824" s="37"/>
      <c r="D824" s="37"/>
    </row>
    <row r="825" ht="15.75" customHeight="1">
      <c r="C825" s="37"/>
      <c r="D825" s="37"/>
    </row>
    <row r="826" ht="15.75" customHeight="1">
      <c r="C826" s="37"/>
      <c r="D826" s="37"/>
    </row>
    <row r="827" ht="15.75" customHeight="1">
      <c r="C827" s="37"/>
      <c r="D827" s="37"/>
    </row>
    <row r="828" ht="15.75" customHeight="1">
      <c r="C828" s="37"/>
      <c r="D828" s="37"/>
    </row>
    <row r="829" ht="15.75" customHeight="1">
      <c r="C829" s="37"/>
      <c r="D829" s="37"/>
    </row>
    <row r="830" ht="15.75" customHeight="1">
      <c r="C830" s="37"/>
      <c r="D830" s="37"/>
    </row>
    <row r="831" ht="15.75" customHeight="1">
      <c r="C831" s="37"/>
      <c r="D831" s="37"/>
    </row>
    <row r="832" ht="15.75" customHeight="1">
      <c r="C832" s="37"/>
      <c r="D832" s="37"/>
    </row>
    <row r="833" ht="15.75" customHeight="1">
      <c r="C833" s="37"/>
      <c r="D833" s="37"/>
    </row>
    <row r="834" ht="15.75" customHeight="1">
      <c r="C834" s="37"/>
      <c r="D834" s="37"/>
    </row>
    <row r="835" ht="15.75" customHeight="1">
      <c r="C835" s="37"/>
      <c r="D835" s="37"/>
    </row>
    <row r="836" ht="15.75" customHeight="1">
      <c r="C836" s="37"/>
      <c r="D836" s="37"/>
    </row>
    <row r="837" ht="15.75" customHeight="1">
      <c r="C837" s="37"/>
      <c r="D837" s="37"/>
    </row>
    <row r="838" ht="15.75" customHeight="1">
      <c r="C838" s="37"/>
      <c r="D838" s="37"/>
    </row>
    <row r="839" ht="15.75" customHeight="1">
      <c r="C839" s="37"/>
      <c r="D839" s="37"/>
    </row>
    <row r="840" ht="15.75" customHeight="1">
      <c r="C840" s="37"/>
      <c r="D840" s="37"/>
    </row>
    <row r="841" ht="15.75" customHeight="1">
      <c r="C841" s="37"/>
      <c r="D841" s="37"/>
    </row>
    <row r="842" ht="15.75" customHeight="1">
      <c r="C842" s="37"/>
      <c r="D842" s="37"/>
    </row>
    <row r="843" ht="15.75" customHeight="1">
      <c r="C843" s="37"/>
      <c r="D843" s="37"/>
    </row>
    <row r="844" ht="15.75" customHeight="1">
      <c r="C844" s="37"/>
      <c r="D844" s="37"/>
    </row>
    <row r="845" ht="15.75" customHeight="1">
      <c r="C845" s="37"/>
      <c r="D845" s="37"/>
    </row>
    <row r="846" ht="15.75" customHeight="1">
      <c r="C846" s="37"/>
      <c r="D846" s="37"/>
    </row>
    <row r="847" ht="15.75" customHeight="1">
      <c r="C847" s="37"/>
      <c r="D847" s="37"/>
    </row>
    <row r="848" ht="15.75" customHeight="1">
      <c r="C848" s="37"/>
      <c r="D848" s="37"/>
    </row>
    <row r="849" ht="15.75" customHeight="1">
      <c r="C849" s="37"/>
      <c r="D849" s="37"/>
    </row>
    <row r="850" ht="15.75" customHeight="1">
      <c r="C850" s="37"/>
      <c r="D850" s="37"/>
    </row>
    <row r="851" ht="15.75" customHeight="1">
      <c r="C851" s="37"/>
      <c r="D851" s="37"/>
    </row>
    <row r="852" ht="15.75" customHeight="1">
      <c r="C852" s="37"/>
      <c r="D852" s="37"/>
    </row>
    <row r="853" ht="15.75" customHeight="1">
      <c r="C853" s="37"/>
      <c r="D853" s="37"/>
    </row>
    <row r="854" ht="15.75" customHeight="1">
      <c r="C854" s="37"/>
      <c r="D854" s="37"/>
    </row>
    <row r="855" ht="15.75" customHeight="1">
      <c r="C855" s="37"/>
      <c r="D855" s="37"/>
    </row>
    <row r="856" ht="15.75" customHeight="1">
      <c r="C856" s="37"/>
      <c r="D856" s="37"/>
    </row>
    <row r="857" ht="15.75" customHeight="1">
      <c r="C857" s="37"/>
      <c r="D857" s="37"/>
    </row>
    <row r="858" ht="15.75" customHeight="1">
      <c r="C858" s="37"/>
      <c r="D858" s="37"/>
    </row>
    <row r="859" ht="15.75" customHeight="1">
      <c r="C859" s="37"/>
      <c r="D859" s="37"/>
    </row>
    <row r="860" ht="15.75" customHeight="1">
      <c r="C860" s="37"/>
      <c r="D860" s="37"/>
    </row>
    <row r="861" ht="15.75" customHeight="1">
      <c r="C861" s="37"/>
      <c r="D861" s="37"/>
    </row>
    <row r="862" ht="15.75" customHeight="1">
      <c r="C862" s="37"/>
      <c r="D862" s="37"/>
    </row>
    <row r="863" ht="15.75" customHeight="1">
      <c r="C863" s="37"/>
      <c r="D863" s="37"/>
    </row>
    <row r="864" ht="15.75" customHeight="1">
      <c r="C864" s="37"/>
      <c r="D864" s="37"/>
    </row>
    <row r="865" ht="15.75" customHeight="1">
      <c r="C865" s="37"/>
      <c r="D865" s="37"/>
    </row>
    <row r="866" ht="15.75" customHeight="1">
      <c r="C866" s="37"/>
      <c r="D866" s="37"/>
    </row>
    <row r="867" ht="15.75" customHeight="1">
      <c r="C867" s="37"/>
      <c r="D867" s="37"/>
    </row>
    <row r="868" ht="15.75" customHeight="1">
      <c r="C868" s="37"/>
      <c r="D868" s="37"/>
    </row>
    <row r="869" ht="15.75" customHeight="1">
      <c r="C869" s="37"/>
      <c r="D869" s="37"/>
    </row>
    <row r="870" ht="15.75" customHeight="1">
      <c r="C870" s="37"/>
      <c r="D870" s="37"/>
    </row>
    <row r="871" ht="15.75" customHeight="1">
      <c r="C871" s="37"/>
      <c r="D871" s="37"/>
    </row>
    <row r="872" ht="15.75" customHeight="1">
      <c r="C872" s="37"/>
      <c r="D872" s="37"/>
    </row>
    <row r="873" ht="15.75" customHeight="1">
      <c r="C873" s="37"/>
      <c r="D873" s="37"/>
    </row>
    <row r="874" ht="15.75" customHeight="1">
      <c r="C874" s="37"/>
      <c r="D874" s="37"/>
    </row>
    <row r="875" ht="15.75" customHeight="1">
      <c r="C875" s="37"/>
      <c r="D875" s="37"/>
    </row>
    <row r="876" ht="15.75" customHeight="1">
      <c r="C876" s="37"/>
      <c r="D876" s="37"/>
    </row>
    <row r="877" ht="15.75" customHeight="1">
      <c r="C877" s="37"/>
      <c r="D877" s="37"/>
    </row>
    <row r="878" ht="15.75" customHeight="1">
      <c r="C878" s="37"/>
      <c r="D878" s="37"/>
    </row>
    <row r="879" ht="15.75" customHeight="1">
      <c r="C879" s="37"/>
      <c r="D879" s="37"/>
    </row>
    <row r="880" ht="15.75" customHeight="1">
      <c r="C880" s="37"/>
      <c r="D880" s="37"/>
    </row>
    <row r="881" ht="15.75" customHeight="1">
      <c r="C881" s="37"/>
      <c r="D881" s="37"/>
    </row>
    <row r="882" ht="15.75" customHeight="1">
      <c r="C882" s="37"/>
      <c r="D882" s="37"/>
    </row>
    <row r="883" ht="15.75" customHeight="1">
      <c r="C883" s="37"/>
      <c r="D883" s="37"/>
    </row>
    <row r="884" ht="15.75" customHeight="1">
      <c r="C884" s="37"/>
      <c r="D884" s="37"/>
    </row>
    <row r="885" ht="15.75" customHeight="1">
      <c r="C885" s="37"/>
      <c r="D885" s="37"/>
    </row>
    <row r="886" ht="15.75" customHeight="1">
      <c r="C886" s="37"/>
      <c r="D886" s="37"/>
    </row>
    <row r="887" ht="15.75" customHeight="1">
      <c r="C887" s="37"/>
      <c r="D887" s="37"/>
    </row>
    <row r="888" ht="15.75" customHeight="1">
      <c r="C888" s="37"/>
      <c r="D888" s="37"/>
    </row>
    <row r="889" ht="15.75" customHeight="1">
      <c r="C889" s="37"/>
      <c r="D889" s="37"/>
    </row>
    <row r="890" ht="15.75" customHeight="1">
      <c r="C890" s="37"/>
      <c r="D890" s="37"/>
    </row>
    <row r="891" ht="15.75" customHeight="1">
      <c r="C891" s="37"/>
      <c r="D891" s="37"/>
    </row>
    <row r="892" ht="15.75" customHeight="1">
      <c r="C892" s="37"/>
      <c r="D892" s="37"/>
    </row>
    <row r="893" ht="15.75" customHeight="1">
      <c r="C893" s="37"/>
      <c r="D893" s="37"/>
    </row>
    <row r="894" ht="15.75" customHeight="1">
      <c r="C894" s="37"/>
      <c r="D894" s="37"/>
    </row>
    <row r="895" ht="15.75" customHeight="1">
      <c r="C895" s="37"/>
      <c r="D895" s="37"/>
    </row>
    <row r="896" ht="15.75" customHeight="1">
      <c r="C896" s="37"/>
      <c r="D896" s="37"/>
    </row>
    <row r="897" ht="15.75" customHeight="1">
      <c r="C897" s="37"/>
      <c r="D897" s="37"/>
    </row>
    <row r="898" ht="15.75" customHeight="1">
      <c r="C898" s="37"/>
      <c r="D898" s="37"/>
    </row>
    <row r="899" ht="15.75" customHeight="1">
      <c r="C899" s="37"/>
      <c r="D899" s="37"/>
    </row>
    <row r="900" ht="15.75" customHeight="1">
      <c r="C900" s="37"/>
      <c r="D900" s="37"/>
    </row>
    <row r="901" ht="15.75" customHeight="1">
      <c r="C901" s="37"/>
      <c r="D901" s="37"/>
    </row>
    <row r="902" ht="15.75" customHeight="1">
      <c r="C902" s="37"/>
      <c r="D902" s="37"/>
    </row>
    <row r="903" ht="15.75" customHeight="1">
      <c r="C903" s="37"/>
      <c r="D903" s="37"/>
    </row>
    <row r="904" ht="15.75" customHeight="1">
      <c r="C904" s="37"/>
      <c r="D904" s="37"/>
    </row>
    <row r="905" ht="15.75" customHeight="1">
      <c r="C905" s="37"/>
      <c r="D905" s="37"/>
    </row>
    <row r="906" ht="15.75" customHeight="1">
      <c r="C906" s="37"/>
      <c r="D906" s="37"/>
    </row>
    <row r="907" ht="15.75" customHeight="1">
      <c r="C907" s="37"/>
      <c r="D907" s="37"/>
    </row>
    <row r="908" ht="15.75" customHeight="1">
      <c r="C908" s="37"/>
      <c r="D908" s="37"/>
    </row>
    <row r="909" ht="15.75" customHeight="1">
      <c r="C909" s="37"/>
      <c r="D909" s="37"/>
    </row>
    <row r="910" ht="15.75" customHeight="1">
      <c r="C910" s="37"/>
      <c r="D910" s="37"/>
    </row>
    <row r="911" ht="15.75" customHeight="1">
      <c r="C911" s="37"/>
      <c r="D911" s="37"/>
    </row>
    <row r="912" ht="15.75" customHeight="1">
      <c r="C912" s="37"/>
      <c r="D912" s="37"/>
    </row>
    <row r="913" ht="15.75" customHeight="1">
      <c r="C913" s="37"/>
      <c r="D913" s="37"/>
    </row>
    <row r="914" ht="15.75" customHeight="1">
      <c r="C914" s="37"/>
      <c r="D914" s="37"/>
    </row>
    <row r="915" ht="15.75" customHeight="1">
      <c r="C915" s="37"/>
      <c r="D915" s="37"/>
    </row>
    <row r="916" ht="15.75" customHeight="1">
      <c r="C916" s="37"/>
      <c r="D916" s="37"/>
    </row>
    <row r="917" ht="15.75" customHeight="1">
      <c r="C917" s="37"/>
      <c r="D917" s="37"/>
    </row>
    <row r="918" ht="15.75" customHeight="1">
      <c r="C918" s="37"/>
      <c r="D918" s="37"/>
    </row>
    <row r="919" ht="15.75" customHeight="1">
      <c r="C919" s="37"/>
      <c r="D919" s="37"/>
    </row>
    <row r="920" ht="15.75" customHeight="1">
      <c r="C920" s="37"/>
      <c r="D920" s="37"/>
    </row>
    <row r="921" ht="15.75" customHeight="1">
      <c r="C921" s="37"/>
      <c r="D921" s="37"/>
    </row>
    <row r="922" ht="15.75" customHeight="1">
      <c r="C922" s="37"/>
      <c r="D922" s="37"/>
    </row>
    <row r="923" ht="15.75" customHeight="1">
      <c r="C923" s="37"/>
      <c r="D923" s="37"/>
    </row>
    <row r="924" ht="15.75" customHeight="1">
      <c r="C924" s="37"/>
      <c r="D924" s="37"/>
    </row>
    <row r="925" ht="15.75" customHeight="1">
      <c r="C925" s="37"/>
      <c r="D925" s="37"/>
    </row>
    <row r="926" ht="15.75" customHeight="1">
      <c r="C926" s="37"/>
      <c r="D926" s="37"/>
    </row>
    <row r="927" ht="15.75" customHeight="1">
      <c r="C927" s="37"/>
      <c r="D927" s="37"/>
    </row>
    <row r="928" ht="15.75" customHeight="1">
      <c r="C928" s="37"/>
      <c r="D928" s="37"/>
    </row>
    <row r="929" ht="15.75" customHeight="1">
      <c r="C929" s="37"/>
      <c r="D929" s="37"/>
    </row>
    <row r="930" ht="15.75" customHeight="1">
      <c r="C930" s="37"/>
      <c r="D930" s="37"/>
    </row>
    <row r="931" ht="15.75" customHeight="1">
      <c r="C931" s="37"/>
      <c r="D931" s="37"/>
    </row>
    <row r="932" ht="15.75" customHeight="1">
      <c r="C932" s="37"/>
      <c r="D932" s="37"/>
    </row>
    <row r="933" ht="15.75" customHeight="1">
      <c r="C933" s="37"/>
      <c r="D933" s="37"/>
    </row>
    <row r="934" ht="15.75" customHeight="1">
      <c r="C934" s="37"/>
      <c r="D934" s="37"/>
    </row>
    <row r="935" ht="15.75" customHeight="1">
      <c r="C935" s="37"/>
      <c r="D935" s="37"/>
    </row>
    <row r="936" ht="15.75" customHeight="1">
      <c r="C936" s="37"/>
      <c r="D936" s="37"/>
    </row>
    <row r="937" ht="15.75" customHeight="1">
      <c r="C937" s="37"/>
      <c r="D937" s="37"/>
    </row>
    <row r="938" ht="15.75" customHeight="1">
      <c r="C938" s="37"/>
      <c r="D938" s="37"/>
    </row>
    <row r="939" ht="15.75" customHeight="1">
      <c r="C939" s="37"/>
      <c r="D939" s="37"/>
    </row>
    <row r="940" ht="15.75" customHeight="1">
      <c r="C940" s="37"/>
      <c r="D940" s="37"/>
    </row>
    <row r="941" ht="15.75" customHeight="1">
      <c r="C941" s="37"/>
      <c r="D941" s="37"/>
    </row>
    <row r="942" ht="15.75" customHeight="1">
      <c r="C942" s="37"/>
      <c r="D942" s="37"/>
    </row>
    <row r="943" ht="15.75" customHeight="1">
      <c r="C943" s="37"/>
      <c r="D943" s="37"/>
    </row>
    <row r="944" ht="15.75" customHeight="1">
      <c r="C944" s="37"/>
      <c r="D944" s="37"/>
    </row>
    <row r="945" ht="15.75" customHeight="1">
      <c r="C945" s="37"/>
      <c r="D945" s="37"/>
    </row>
    <row r="946" ht="15.75" customHeight="1">
      <c r="C946" s="37"/>
      <c r="D946" s="37"/>
    </row>
    <row r="947" ht="15.75" customHeight="1">
      <c r="C947" s="37"/>
      <c r="D947" s="37"/>
    </row>
    <row r="948" ht="15.75" customHeight="1">
      <c r="C948" s="37"/>
      <c r="D948" s="37"/>
    </row>
    <row r="949" ht="15.75" customHeight="1">
      <c r="C949" s="37"/>
      <c r="D949" s="37"/>
    </row>
    <row r="950" ht="15.75" customHeight="1">
      <c r="C950" s="37"/>
      <c r="D950" s="37"/>
    </row>
    <row r="951" ht="15.75" customHeight="1">
      <c r="C951" s="37"/>
      <c r="D951" s="37"/>
    </row>
    <row r="952" ht="15.75" customHeight="1">
      <c r="C952" s="37"/>
      <c r="D952" s="37"/>
    </row>
    <row r="953" ht="15.75" customHeight="1">
      <c r="C953" s="37"/>
      <c r="D953" s="37"/>
    </row>
    <row r="954" ht="15.75" customHeight="1">
      <c r="C954" s="37"/>
      <c r="D954" s="37"/>
    </row>
    <row r="955" ht="15.75" customHeight="1">
      <c r="C955" s="37"/>
      <c r="D955" s="37"/>
    </row>
    <row r="956" ht="15.75" customHeight="1">
      <c r="C956" s="37"/>
      <c r="D956" s="37"/>
    </row>
    <row r="957" ht="15.75" customHeight="1">
      <c r="C957" s="37"/>
      <c r="D957" s="37"/>
    </row>
    <row r="958" ht="15.75" customHeight="1">
      <c r="C958" s="37"/>
      <c r="D958" s="37"/>
    </row>
    <row r="959" ht="15.75" customHeight="1">
      <c r="C959" s="37"/>
      <c r="D959" s="37"/>
    </row>
    <row r="960" ht="15.75" customHeight="1">
      <c r="C960" s="37"/>
      <c r="D960" s="37"/>
    </row>
    <row r="961" ht="15.75" customHeight="1">
      <c r="C961" s="37"/>
      <c r="D961" s="37"/>
    </row>
    <row r="962" ht="15.75" customHeight="1">
      <c r="C962" s="37"/>
      <c r="D962" s="37"/>
    </row>
    <row r="963" ht="15.75" customHeight="1">
      <c r="C963" s="37"/>
      <c r="D963" s="37"/>
    </row>
    <row r="964" ht="15.75" customHeight="1">
      <c r="C964" s="37"/>
      <c r="D964" s="37"/>
    </row>
    <row r="965" ht="15.75" customHeight="1">
      <c r="C965" s="37"/>
      <c r="D965" s="37"/>
    </row>
    <row r="966" ht="15.75" customHeight="1">
      <c r="C966" s="37"/>
      <c r="D966" s="37"/>
    </row>
    <row r="967" ht="15.75" customHeight="1">
      <c r="C967" s="37"/>
      <c r="D967" s="37"/>
    </row>
    <row r="968" ht="15.75" customHeight="1">
      <c r="C968" s="37"/>
      <c r="D968" s="37"/>
    </row>
    <row r="969" ht="15.75" customHeight="1">
      <c r="C969" s="37"/>
      <c r="D969" s="37"/>
    </row>
    <row r="970" ht="15.75" customHeight="1">
      <c r="C970" s="37"/>
      <c r="D970" s="37"/>
    </row>
    <row r="971" ht="15.75" customHeight="1">
      <c r="C971" s="37"/>
      <c r="D971" s="37"/>
    </row>
    <row r="972" ht="15.75" customHeight="1">
      <c r="C972" s="37"/>
      <c r="D972" s="37"/>
    </row>
    <row r="973" ht="15.75" customHeight="1">
      <c r="C973" s="37"/>
      <c r="D973" s="37"/>
    </row>
    <row r="974" ht="15.75" customHeight="1">
      <c r="C974" s="37"/>
      <c r="D974" s="37"/>
    </row>
    <row r="975" ht="15.75" customHeight="1">
      <c r="C975" s="37"/>
      <c r="D975" s="37"/>
    </row>
    <row r="976" ht="15.75" customHeight="1">
      <c r="C976" s="37"/>
      <c r="D976" s="37"/>
    </row>
    <row r="977" ht="15.75" customHeight="1">
      <c r="C977" s="37"/>
      <c r="D977" s="37"/>
    </row>
    <row r="978" ht="15.75" customHeight="1">
      <c r="C978" s="37"/>
      <c r="D978" s="37"/>
    </row>
    <row r="979" ht="15.75" customHeight="1">
      <c r="C979" s="37"/>
      <c r="D979" s="37"/>
    </row>
    <row r="980" ht="15.75" customHeight="1">
      <c r="C980" s="37"/>
      <c r="D980" s="37"/>
    </row>
    <row r="981" ht="15.75" customHeight="1">
      <c r="C981" s="37"/>
      <c r="D981" s="37"/>
    </row>
    <row r="982" ht="15.75" customHeight="1">
      <c r="C982" s="37"/>
      <c r="D982" s="37"/>
    </row>
    <row r="983" ht="15.75" customHeight="1">
      <c r="C983" s="37"/>
      <c r="D983" s="37"/>
    </row>
    <row r="984" ht="15.75" customHeight="1">
      <c r="C984" s="37"/>
      <c r="D984" s="37"/>
    </row>
    <row r="985" ht="15.75" customHeight="1">
      <c r="C985" s="37"/>
      <c r="D985" s="37"/>
    </row>
    <row r="986" ht="15.75" customHeight="1">
      <c r="C986" s="37"/>
      <c r="D986" s="37"/>
    </row>
    <row r="987" ht="15.75" customHeight="1">
      <c r="C987" s="37"/>
      <c r="D987" s="37"/>
    </row>
    <row r="988" ht="15.75" customHeight="1">
      <c r="C988" s="37"/>
      <c r="D988" s="37"/>
    </row>
    <row r="989" ht="15.75" customHeight="1">
      <c r="C989" s="37"/>
      <c r="D989" s="37"/>
    </row>
    <row r="990" ht="15.75" customHeight="1">
      <c r="C990" s="37"/>
      <c r="D990" s="37"/>
    </row>
    <row r="991" ht="15.75" customHeight="1">
      <c r="C991" s="37"/>
      <c r="D991" s="37"/>
    </row>
    <row r="992" ht="15.75" customHeight="1">
      <c r="C992" s="37"/>
      <c r="D992" s="37"/>
    </row>
    <row r="993" ht="15.75" customHeight="1">
      <c r="C993" s="37"/>
      <c r="D993" s="37"/>
    </row>
    <row r="994" ht="15.75" customHeight="1">
      <c r="C994" s="37"/>
      <c r="D994" s="37"/>
    </row>
    <row r="995" ht="15.75" customHeight="1">
      <c r="C995" s="37"/>
      <c r="D995" s="37"/>
    </row>
    <row r="996" ht="15.75" customHeight="1">
      <c r="C996" s="37"/>
      <c r="D996" s="37"/>
    </row>
    <row r="997" ht="15.75" customHeight="1">
      <c r="C997" s="37"/>
      <c r="D997" s="37"/>
    </row>
    <row r="998" ht="15.75" customHeight="1">
      <c r="C998" s="37"/>
      <c r="D998" s="37"/>
    </row>
    <row r="999" ht="15.75" customHeight="1">
      <c r="C999" s="37"/>
      <c r="D999" s="37"/>
    </row>
    <row r="1000" ht="15.75" customHeight="1">
      <c r="C1000" s="37"/>
      <c r="D1000" s="37"/>
    </row>
  </sheetData>
  <printOptions/>
  <pageMargins bottom="0.75" footer="0.0" header="0.0" left="0.7" right="0.7" top="0.75"/>
  <pageSetup paperSize="9"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6.14"/>
    <col customWidth="1" min="3" max="3" width="7.57"/>
    <col customWidth="1" min="4" max="4" width="7.14"/>
    <col customWidth="1" min="5" max="5" width="6.71"/>
    <col customWidth="1" min="6" max="26" width="8.71"/>
  </cols>
  <sheetData>
    <row r="1">
      <c r="A1" s="4" t="s">
        <v>22</v>
      </c>
      <c r="B1" s="4" t="s">
        <v>29</v>
      </c>
      <c r="C1" s="37" t="s">
        <v>17</v>
      </c>
      <c r="D1" s="37" t="s">
        <v>76</v>
      </c>
    </row>
    <row r="2">
      <c r="A2" s="4">
        <v>1972.0</v>
      </c>
      <c r="B2" s="4">
        <v>1.0</v>
      </c>
      <c r="C2" s="37">
        <v>0.6671850699844479</v>
      </c>
      <c r="D2" s="35">
        <v>0.01</v>
      </c>
    </row>
    <row r="3">
      <c r="A3" s="4">
        <v>1973.0</v>
      </c>
      <c r="B3" s="4">
        <v>4.0</v>
      </c>
      <c r="C3" s="37">
        <v>1.3075435203094774</v>
      </c>
      <c r="D3" s="35">
        <v>0.01</v>
      </c>
    </row>
    <row r="4">
      <c r="A4" s="4">
        <v>1977.0</v>
      </c>
      <c r="B4" s="4">
        <v>26.0</v>
      </c>
      <c r="C4" s="37">
        <v>1.2810851544837984</v>
      </c>
      <c r="D4" s="35">
        <v>0.17</v>
      </c>
    </row>
    <row r="5">
      <c r="A5" s="4">
        <v>1982.0</v>
      </c>
      <c r="B5" s="4">
        <v>22.0</v>
      </c>
      <c r="C5" s="37">
        <v>1.5213707399736398</v>
      </c>
      <c r="D5" s="35">
        <v>0.08</v>
      </c>
    </row>
    <row r="6">
      <c r="A6" s="4">
        <v>1983.0</v>
      </c>
      <c r="B6" s="4">
        <v>31.0</v>
      </c>
      <c r="C6" s="37">
        <v>1.4993176057711055</v>
      </c>
      <c r="D6" s="35">
        <v>0.33</v>
      </c>
    </row>
    <row r="7">
      <c r="A7" s="4">
        <v>1984.0</v>
      </c>
      <c r="B7" s="4">
        <v>50.0</v>
      </c>
      <c r="C7" s="37">
        <v>1.953516329392907</v>
      </c>
      <c r="D7" s="35">
        <v>0.1</v>
      </c>
    </row>
    <row r="8">
      <c r="A8" s="4">
        <v>1987.0</v>
      </c>
      <c r="B8" s="4">
        <v>24.0</v>
      </c>
      <c r="C8" s="37">
        <v>1.1416094822208356</v>
      </c>
      <c r="D8" s="35">
        <v>0.4166666666666667</v>
      </c>
    </row>
    <row r="9">
      <c r="A9" s="4">
        <v>1991.0</v>
      </c>
      <c r="B9" s="4">
        <v>10.0</v>
      </c>
      <c r="C9" s="37">
        <v>1.5207111783620202</v>
      </c>
      <c r="D9" s="35">
        <v>0.23</v>
      </c>
    </row>
    <row r="10">
      <c r="A10" s="4">
        <v>1992.0</v>
      </c>
      <c r="B10" s="4">
        <v>5.0</v>
      </c>
      <c r="C10" s="37">
        <v>0.16213683223992506</v>
      </c>
      <c r="D10" s="35">
        <v>0.01</v>
      </c>
    </row>
    <row r="11">
      <c r="A11" s="4">
        <v>1993.0</v>
      </c>
      <c r="B11" s="4">
        <v>25.0</v>
      </c>
      <c r="C11" s="37">
        <v>1.8425259792166264</v>
      </c>
      <c r="D11" s="35">
        <v>0.36</v>
      </c>
    </row>
    <row r="12">
      <c r="A12" s="4">
        <v>1994.0</v>
      </c>
      <c r="B12" s="4">
        <v>17.0</v>
      </c>
      <c r="C12" s="37">
        <v>0.9733464955577491</v>
      </c>
      <c r="D12" s="35">
        <v>0.2</v>
      </c>
    </row>
    <row r="13">
      <c r="A13" s="4">
        <v>1995.0</v>
      </c>
      <c r="B13" s="4">
        <v>11.0</v>
      </c>
      <c r="C13" s="37">
        <v>0.9803528468323977</v>
      </c>
      <c r="D13" s="35">
        <v>0.01</v>
      </c>
    </row>
    <row r="14">
      <c r="A14" s="4">
        <v>1996.0</v>
      </c>
      <c r="B14" s="4">
        <v>26.0</v>
      </c>
      <c r="C14" s="37">
        <v>0.9728340675477238</v>
      </c>
      <c r="D14" s="35">
        <v>0.4</v>
      </c>
    </row>
    <row r="15">
      <c r="A15" s="4">
        <v>1997.0</v>
      </c>
      <c r="B15" s="4">
        <v>1.0</v>
      </c>
      <c r="C15" s="37">
        <v>0.16927322907083714</v>
      </c>
      <c r="D15" s="35">
        <v>0.01</v>
      </c>
    </row>
    <row r="16">
      <c r="A16" s="4">
        <v>1998.0</v>
      </c>
      <c r="C16" s="37"/>
      <c r="D16" s="35"/>
    </row>
    <row r="17">
      <c r="A17" s="4">
        <v>2004.0</v>
      </c>
      <c r="B17" s="4">
        <v>62.0</v>
      </c>
      <c r="C17" s="37">
        <v>2.4562761727135163</v>
      </c>
      <c r="D17" s="35">
        <v>0.1875</v>
      </c>
    </row>
    <row r="18">
      <c r="A18" s="4">
        <v>2005.0</v>
      </c>
      <c r="B18" s="4">
        <v>2.0</v>
      </c>
      <c r="C18" s="37">
        <v>0.40589505957772976</v>
      </c>
      <c r="D18" s="35">
        <v>0.09090909090909091</v>
      </c>
    </row>
    <row r="19">
      <c r="A19" s="4">
        <v>2006.0</v>
      </c>
      <c r="B19" s="4">
        <v>10.0</v>
      </c>
      <c r="C19" s="37">
        <v>0.5821078431372549</v>
      </c>
      <c r="D19" s="35">
        <v>0.2</v>
      </c>
    </row>
    <row r="20">
      <c r="A20" s="4">
        <v>2007.0</v>
      </c>
      <c r="B20" s="4">
        <v>13.0</v>
      </c>
      <c r="C20" s="37">
        <v>0.9665510268445172</v>
      </c>
      <c r="D20" s="35">
        <v>0.2857142857142857</v>
      </c>
    </row>
    <row r="21" ht="15.75" customHeight="1">
      <c r="A21" s="4">
        <v>2008.0</v>
      </c>
      <c r="B21" s="4">
        <v>39.0</v>
      </c>
      <c r="C21" s="37">
        <v>2.183993586108686</v>
      </c>
      <c r="D21" s="35">
        <v>0.17391304347826086</v>
      </c>
    </row>
    <row r="22" ht="15.75" customHeight="1">
      <c r="A22" s="4">
        <v>2009.0</v>
      </c>
      <c r="B22" s="4">
        <v>16.0</v>
      </c>
      <c r="C22" s="37">
        <v>0.9765736325119221</v>
      </c>
      <c r="D22" s="35">
        <v>0.15789473684210525</v>
      </c>
    </row>
    <row r="23" ht="15.75" customHeight="1">
      <c r="A23" s="4">
        <v>2010.0</v>
      </c>
      <c r="B23" s="4">
        <v>1.0</v>
      </c>
      <c r="C23" s="37">
        <v>0.12577048585931835</v>
      </c>
      <c r="D23" s="35">
        <v>0.01</v>
      </c>
    </row>
    <row r="24" ht="15.75" customHeight="1">
      <c r="A24" s="4">
        <v>2011.0</v>
      </c>
      <c r="B24" s="4">
        <v>7.0</v>
      </c>
      <c r="C24" s="37">
        <v>0.04128393023015791</v>
      </c>
      <c r="D24" s="35">
        <v>0.01</v>
      </c>
    </row>
    <row r="25" ht="15.75" customHeight="1">
      <c r="A25" s="4">
        <v>2012.0</v>
      </c>
      <c r="C25" s="37"/>
      <c r="D25" s="35"/>
    </row>
    <row r="26" ht="15.75" customHeight="1">
      <c r="A26" s="4">
        <v>2013.0</v>
      </c>
      <c r="C26" s="37"/>
      <c r="D26" s="35"/>
    </row>
    <row r="27" ht="15.75" customHeight="1">
      <c r="A27" s="4">
        <v>2014.0</v>
      </c>
      <c r="B27" s="4">
        <v>16.0</v>
      </c>
      <c r="C27" s="37">
        <v>0.1701682047254402</v>
      </c>
      <c r="D27" s="37">
        <v>0.01</v>
      </c>
    </row>
    <row r="28" ht="15.75" customHeight="1">
      <c r="A28" s="4">
        <v>2015.0</v>
      </c>
      <c r="B28" s="4">
        <v>57.0</v>
      </c>
      <c r="C28" s="37">
        <v>1.2141944214720701</v>
      </c>
      <c r="D28" s="37">
        <v>0.6428571428571429</v>
      </c>
    </row>
    <row r="29" ht="15.75" customHeight="1">
      <c r="A29" s="4">
        <v>2016.0</v>
      </c>
      <c r="B29" s="4">
        <v>54.0</v>
      </c>
      <c r="C29" s="4">
        <v>1.620339657688735</v>
      </c>
      <c r="D29" s="37">
        <v>0.3333333333333333</v>
      </c>
    </row>
    <row r="30" ht="15.75" customHeight="1">
      <c r="A30" s="4">
        <v>2017.0</v>
      </c>
      <c r="B30" s="4">
        <v>59.0</v>
      </c>
      <c r="C30" s="37">
        <v>2.5259218835269346</v>
      </c>
      <c r="D30" s="37">
        <v>0.40625</v>
      </c>
    </row>
    <row r="31" ht="15.75" customHeight="1">
      <c r="C31" s="37"/>
      <c r="D31" s="37"/>
    </row>
    <row r="32" ht="15.75" customHeight="1">
      <c r="C32" s="37"/>
      <c r="D32" s="37"/>
    </row>
    <row r="33" ht="15.75" customHeight="1">
      <c r="C33" s="37"/>
      <c r="D33" s="37"/>
    </row>
    <row r="34" ht="15.75" customHeight="1">
      <c r="C34" s="37"/>
      <c r="D34" s="37"/>
    </row>
    <row r="35" ht="15.75" customHeight="1">
      <c r="C35" s="37"/>
      <c r="D35" s="37"/>
    </row>
    <row r="36" ht="15.75" customHeight="1">
      <c r="C36" s="37"/>
      <c r="D36" s="37"/>
    </row>
    <row r="37" ht="15.75" customHeight="1">
      <c r="C37" s="37"/>
      <c r="D37" s="37"/>
    </row>
    <row r="38" ht="15.75" customHeight="1">
      <c r="C38" s="37"/>
      <c r="D38" s="37"/>
    </row>
    <row r="39" ht="15.75" customHeight="1">
      <c r="C39" s="37"/>
      <c r="D39" s="37"/>
    </row>
    <row r="40" ht="15.75" customHeight="1">
      <c r="C40" s="37"/>
      <c r="D40" s="37"/>
    </row>
    <row r="41" ht="15.75" customHeight="1">
      <c r="C41" s="37"/>
      <c r="D41" s="37"/>
    </row>
    <row r="42" ht="15.75" customHeight="1">
      <c r="C42" s="37"/>
      <c r="D42" s="37"/>
    </row>
    <row r="43" ht="15.75" customHeight="1">
      <c r="C43" s="37"/>
      <c r="D43" s="37"/>
    </row>
    <row r="44" ht="15.75" customHeight="1">
      <c r="C44" s="37"/>
      <c r="D44" s="37"/>
    </row>
    <row r="45" ht="15.75" customHeight="1">
      <c r="C45" s="37"/>
      <c r="D45" s="37"/>
    </row>
    <row r="46" ht="15.75" customHeight="1">
      <c r="C46" s="37"/>
      <c r="D46" s="37"/>
    </row>
    <row r="47" ht="15.75" customHeight="1">
      <c r="C47" s="37"/>
      <c r="D47" s="37"/>
    </row>
    <row r="48" ht="15.75" customHeight="1">
      <c r="C48" s="37"/>
      <c r="D48" s="37"/>
    </row>
    <row r="49" ht="15.75" customHeight="1">
      <c r="C49" s="37"/>
      <c r="D49" s="37"/>
    </row>
    <row r="50" ht="15.75" customHeight="1">
      <c r="C50" s="37"/>
      <c r="D50" s="37"/>
    </row>
    <row r="51" ht="15.75" customHeight="1">
      <c r="C51" s="37"/>
      <c r="D51" s="37"/>
    </row>
    <row r="52" ht="15.75" customHeight="1">
      <c r="C52" s="37"/>
      <c r="D52" s="37"/>
    </row>
    <row r="53" ht="15.75" customHeight="1">
      <c r="C53" s="37"/>
      <c r="D53" s="37"/>
    </row>
    <row r="54" ht="15.75" customHeight="1">
      <c r="C54" s="37"/>
      <c r="D54" s="37"/>
    </row>
    <row r="55" ht="15.75" customHeight="1">
      <c r="C55" s="37"/>
      <c r="D55" s="37"/>
    </row>
    <row r="56" ht="15.75" customHeight="1">
      <c r="C56" s="37"/>
      <c r="D56" s="37"/>
    </row>
    <row r="57" ht="15.75" customHeight="1">
      <c r="C57" s="37"/>
      <c r="D57" s="37"/>
    </row>
    <row r="58" ht="15.75" customHeight="1">
      <c r="C58" s="37"/>
      <c r="D58" s="37"/>
    </row>
    <row r="59" ht="15.75" customHeight="1">
      <c r="C59" s="37"/>
      <c r="D59" s="37"/>
    </row>
    <row r="60" ht="15.75" customHeight="1">
      <c r="C60" s="37"/>
      <c r="D60" s="37"/>
    </row>
    <row r="61" ht="15.75" customHeight="1">
      <c r="C61" s="37"/>
      <c r="D61" s="37"/>
    </row>
    <row r="62" ht="15.75" customHeight="1">
      <c r="C62" s="37"/>
      <c r="D62" s="37"/>
    </row>
    <row r="63" ht="15.75" customHeight="1">
      <c r="C63" s="37"/>
      <c r="D63" s="37"/>
    </row>
    <row r="64" ht="15.75" customHeight="1">
      <c r="C64" s="37"/>
      <c r="D64" s="37"/>
    </row>
    <row r="65" ht="15.75" customHeight="1">
      <c r="C65" s="37"/>
      <c r="D65" s="37"/>
    </row>
    <row r="66" ht="15.75" customHeight="1">
      <c r="C66" s="37"/>
      <c r="D66" s="37"/>
    </row>
    <row r="67" ht="15.75" customHeight="1">
      <c r="C67" s="37"/>
      <c r="D67" s="37"/>
    </row>
    <row r="68" ht="15.75" customHeight="1">
      <c r="C68" s="37"/>
      <c r="D68" s="37"/>
    </row>
    <row r="69" ht="15.75" customHeight="1">
      <c r="C69" s="37"/>
      <c r="D69" s="37"/>
    </row>
    <row r="70" ht="15.75" customHeight="1">
      <c r="C70" s="37"/>
      <c r="D70" s="37"/>
    </row>
    <row r="71" ht="15.75" customHeight="1">
      <c r="C71" s="37"/>
      <c r="D71" s="37"/>
    </row>
    <row r="72" ht="15.75" customHeight="1">
      <c r="C72" s="37"/>
      <c r="D72" s="37"/>
    </row>
    <row r="73" ht="15.75" customHeight="1">
      <c r="C73" s="37"/>
      <c r="D73" s="37"/>
    </row>
    <row r="74" ht="15.75" customHeight="1">
      <c r="C74" s="37"/>
      <c r="D74" s="37"/>
    </row>
    <row r="75" ht="15.75" customHeight="1">
      <c r="C75" s="37"/>
      <c r="D75" s="37"/>
    </row>
    <row r="76" ht="15.75" customHeight="1">
      <c r="C76" s="37"/>
      <c r="D76" s="37"/>
    </row>
    <row r="77" ht="15.75" customHeight="1">
      <c r="C77" s="37"/>
      <c r="D77" s="37"/>
    </row>
    <row r="78" ht="15.75" customHeight="1">
      <c r="C78" s="37"/>
      <c r="D78" s="37"/>
    </row>
    <row r="79" ht="15.75" customHeight="1">
      <c r="C79" s="37"/>
      <c r="D79" s="37"/>
    </row>
    <row r="80" ht="15.75" customHeight="1">
      <c r="C80" s="37"/>
      <c r="D80" s="37"/>
    </row>
    <row r="81" ht="15.75" customHeight="1">
      <c r="C81" s="37"/>
      <c r="D81" s="37"/>
    </row>
    <row r="82" ht="15.75" customHeight="1">
      <c r="C82" s="37"/>
      <c r="D82" s="37"/>
    </row>
    <row r="83" ht="15.75" customHeight="1">
      <c r="C83" s="37"/>
      <c r="D83" s="37"/>
    </row>
    <row r="84" ht="15.75" customHeight="1">
      <c r="C84" s="37"/>
      <c r="D84" s="37"/>
    </row>
    <row r="85" ht="15.75" customHeight="1">
      <c r="C85" s="37"/>
      <c r="D85" s="37"/>
    </row>
    <row r="86" ht="15.75" customHeight="1">
      <c r="C86" s="37"/>
      <c r="D86" s="37"/>
    </row>
    <row r="87" ht="15.75" customHeight="1">
      <c r="C87" s="37"/>
      <c r="D87" s="37"/>
    </row>
    <row r="88" ht="15.75" customHeight="1">
      <c r="C88" s="37"/>
      <c r="D88" s="37"/>
    </row>
    <row r="89" ht="15.75" customHeight="1">
      <c r="C89" s="37"/>
      <c r="D89" s="37"/>
    </row>
    <row r="90" ht="15.75" customHeight="1">
      <c r="C90" s="37"/>
      <c r="D90" s="37"/>
    </row>
    <row r="91" ht="15.75" customHeight="1">
      <c r="C91" s="37"/>
      <c r="D91" s="37"/>
    </row>
    <row r="92" ht="15.75" customHeight="1">
      <c r="C92" s="37"/>
      <c r="D92" s="37"/>
    </row>
    <row r="93" ht="15.75" customHeight="1">
      <c r="C93" s="37"/>
      <c r="D93" s="37"/>
    </row>
    <row r="94" ht="15.75" customHeight="1">
      <c r="C94" s="37"/>
      <c r="D94" s="37"/>
    </row>
    <row r="95" ht="15.75" customHeight="1">
      <c r="C95" s="37"/>
      <c r="D95" s="37"/>
    </row>
    <row r="96" ht="15.75" customHeight="1">
      <c r="C96" s="37"/>
      <c r="D96" s="37"/>
    </row>
    <row r="97" ht="15.75" customHeight="1">
      <c r="C97" s="37"/>
      <c r="D97" s="37"/>
    </row>
    <row r="98" ht="15.75" customHeight="1">
      <c r="C98" s="37"/>
      <c r="D98" s="37"/>
    </row>
    <row r="99" ht="15.75" customHeight="1">
      <c r="C99" s="37"/>
      <c r="D99" s="37"/>
    </row>
    <row r="100" ht="15.75" customHeight="1">
      <c r="C100" s="37"/>
      <c r="D100" s="37"/>
    </row>
    <row r="101" ht="15.75" customHeight="1">
      <c r="C101" s="37"/>
      <c r="D101" s="37"/>
    </row>
    <row r="102" ht="15.75" customHeight="1">
      <c r="C102" s="37"/>
      <c r="D102" s="37"/>
    </row>
    <row r="103" ht="15.75" customHeight="1">
      <c r="C103" s="37"/>
      <c r="D103" s="37"/>
    </row>
    <row r="104" ht="15.75" customHeight="1">
      <c r="C104" s="37"/>
      <c r="D104" s="37"/>
    </row>
    <row r="105" ht="15.75" customHeight="1">
      <c r="C105" s="37"/>
      <c r="D105" s="37"/>
    </row>
    <row r="106" ht="15.75" customHeight="1">
      <c r="C106" s="37"/>
      <c r="D106" s="37"/>
    </row>
    <row r="107" ht="15.75" customHeight="1">
      <c r="C107" s="37"/>
      <c r="D107" s="37"/>
    </row>
    <row r="108" ht="15.75" customHeight="1">
      <c r="C108" s="37"/>
      <c r="D108" s="37"/>
    </row>
    <row r="109" ht="15.75" customHeight="1">
      <c r="C109" s="37"/>
      <c r="D109" s="37"/>
    </row>
    <row r="110" ht="15.75" customHeight="1">
      <c r="C110" s="37"/>
      <c r="D110" s="37"/>
    </row>
    <row r="111" ht="15.75" customHeight="1">
      <c r="C111" s="37"/>
      <c r="D111" s="37"/>
    </row>
    <row r="112" ht="15.75" customHeight="1">
      <c r="C112" s="37"/>
      <c r="D112" s="37"/>
    </row>
    <row r="113" ht="15.75" customHeight="1">
      <c r="C113" s="37"/>
      <c r="D113" s="37"/>
    </row>
    <row r="114" ht="15.75" customHeight="1">
      <c r="C114" s="37"/>
      <c r="D114" s="37"/>
    </row>
    <row r="115" ht="15.75" customHeight="1">
      <c r="C115" s="37"/>
      <c r="D115" s="37"/>
    </row>
    <row r="116" ht="15.75" customHeight="1">
      <c r="C116" s="37"/>
      <c r="D116" s="37"/>
    </row>
    <row r="117" ht="15.75" customHeight="1">
      <c r="C117" s="37"/>
      <c r="D117" s="37"/>
    </row>
    <row r="118" ht="15.75" customHeight="1">
      <c r="C118" s="37"/>
      <c r="D118" s="37"/>
    </row>
    <row r="119" ht="15.75" customHeight="1">
      <c r="C119" s="37"/>
      <c r="D119" s="37"/>
    </row>
    <row r="120" ht="15.75" customHeight="1">
      <c r="C120" s="37"/>
      <c r="D120" s="37"/>
    </row>
    <row r="121" ht="15.75" customHeight="1">
      <c r="C121" s="37"/>
      <c r="D121" s="37"/>
    </row>
    <row r="122" ht="15.75" customHeight="1">
      <c r="C122" s="37"/>
      <c r="D122" s="37"/>
    </row>
    <row r="123" ht="15.75" customHeight="1">
      <c r="C123" s="37"/>
      <c r="D123" s="37"/>
    </row>
    <row r="124" ht="15.75" customHeight="1">
      <c r="C124" s="37"/>
      <c r="D124" s="37"/>
    </row>
    <row r="125" ht="15.75" customHeight="1">
      <c r="C125" s="37"/>
      <c r="D125" s="37"/>
    </row>
    <row r="126" ht="15.75" customHeight="1">
      <c r="C126" s="37"/>
      <c r="D126" s="37"/>
    </row>
    <row r="127" ht="15.75" customHeight="1">
      <c r="C127" s="37"/>
      <c r="D127" s="37"/>
    </row>
    <row r="128" ht="15.75" customHeight="1">
      <c r="C128" s="37"/>
      <c r="D128" s="37"/>
    </row>
    <row r="129" ht="15.75" customHeight="1">
      <c r="C129" s="37"/>
      <c r="D129" s="37"/>
    </row>
    <row r="130" ht="15.75" customHeight="1">
      <c r="C130" s="37"/>
      <c r="D130" s="37"/>
    </row>
    <row r="131" ht="15.75" customHeight="1">
      <c r="C131" s="37"/>
      <c r="D131" s="37"/>
    </row>
    <row r="132" ht="15.75" customHeight="1">
      <c r="C132" s="37"/>
      <c r="D132" s="37"/>
    </row>
    <row r="133" ht="15.75" customHeight="1">
      <c r="C133" s="37"/>
      <c r="D133" s="37"/>
    </row>
    <row r="134" ht="15.75" customHeight="1">
      <c r="C134" s="37"/>
      <c r="D134" s="37"/>
    </row>
    <row r="135" ht="15.75" customHeight="1">
      <c r="C135" s="37"/>
      <c r="D135" s="37"/>
    </row>
    <row r="136" ht="15.75" customHeight="1">
      <c r="C136" s="37"/>
      <c r="D136" s="37"/>
    </row>
    <row r="137" ht="15.75" customHeight="1">
      <c r="C137" s="37"/>
      <c r="D137" s="37"/>
    </row>
    <row r="138" ht="15.75" customHeight="1">
      <c r="C138" s="37"/>
      <c r="D138" s="37"/>
    </row>
    <row r="139" ht="15.75" customHeight="1">
      <c r="C139" s="37"/>
      <c r="D139" s="37"/>
    </row>
    <row r="140" ht="15.75" customHeight="1">
      <c r="C140" s="37"/>
      <c r="D140" s="37"/>
    </row>
    <row r="141" ht="15.75" customHeight="1">
      <c r="C141" s="37"/>
      <c r="D141" s="37"/>
    </row>
    <row r="142" ht="15.75" customHeight="1">
      <c r="C142" s="37"/>
      <c r="D142" s="37"/>
    </row>
    <row r="143" ht="15.75" customHeight="1">
      <c r="C143" s="37"/>
      <c r="D143" s="37"/>
    </row>
    <row r="144" ht="15.75" customHeight="1">
      <c r="C144" s="37"/>
      <c r="D144" s="37"/>
    </row>
    <row r="145" ht="15.75" customHeight="1">
      <c r="C145" s="37"/>
      <c r="D145" s="37"/>
    </row>
    <row r="146" ht="15.75" customHeight="1">
      <c r="C146" s="37"/>
      <c r="D146" s="37"/>
    </row>
    <row r="147" ht="15.75" customHeight="1">
      <c r="C147" s="37"/>
      <c r="D147" s="37"/>
    </row>
    <row r="148" ht="15.75" customHeight="1">
      <c r="C148" s="37"/>
      <c r="D148" s="37"/>
    </row>
    <row r="149" ht="15.75" customHeight="1">
      <c r="C149" s="37"/>
      <c r="D149" s="37"/>
    </row>
    <row r="150" ht="15.75" customHeight="1">
      <c r="C150" s="37"/>
      <c r="D150" s="37"/>
    </row>
    <row r="151" ht="15.75" customHeight="1">
      <c r="C151" s="37"/>
      <c r="D151" s="37"/>
    </row>
    <row r="152" ht="15.75" customHeight="1">
      <c r="C152" s="37"/>
      <c r="D152" s="37"/>
    </row>
    <row r="153" ht="15.75" customHeight="1">
      <c r="C153" s="37"/>
      <c r="D153" s="37"/>
    </row>
    <row r="154" ht="15.75" customHeight="1">
      <c r="C154" s="37"/>
      <c r="D154" s="37"/>
    </row>
    <row r="155" ht="15.75" customHeight="1">
      <c r="C155" s="37"/>
      <c r="D155" s="37"/>
    </row>
    <row r="156" ht="15.75" customHeight="1">
      <c r="C156" s="37"/>
      <c r="D156" s="37"/>
    </row>
    <row r="157" ht="15.75" customHeight="1">
      <c r="C157" s="37"/>
      <c r="D157" s="37"/>
    </row>
    <row r="158" ht="15.75" customHeight="1">
      <c r="C158" s="37"/>
      <c r="D158" s="37"/>
    </row>
    <row r="159" ht="15.75" customHeight="1">
      <c r="C159" s="37"/>
      <c r="D159" s="37"/>
    </row>
    <row r="160" ht="15.75" customHeight="1">
      <c r="C160" s="37"/>
      <c r="D160" s="37"/>
    </row>
    <row r="161" ht="15.75" customHeight="1">
      <c r="C161" s="37"/>
      <c r="D161" s="37"/>
    </row>
    <row r="162" ht="15.75" customHeight="1">
      <c r="C162" s="37"/>
      <c r="D162" s="37"/>
    </row>
    <row r="163" ht="15.75" customHeight="1">
      <c r="C163" s="37"/>
      <c r="D163" s="37"/>
    </row>
    <row r="164" ht="15.75" customHeight="1">
      <c r="C164" s="37"/>
      <c r="D164" s="37"/>
    </row>
    <row r="165" ht="15.75" customHeight="1">
      <c r="C165" s="37"/>
      <c r="D165" s="37"/>
    </row>
    <row r="166" ht="15.75" customHeight="1">
      <c r="C166" s="37"/>
      <c r="D166" s="37"/>
    </row>
    <row r="167" ht="15.75" customHeight="1">
      <c r="C167" s="37"/>
      <c r="D167" s="37"/>
    </row>
    <row r="168" ht="15.75" customHeight="1">
      <c r="C168" s="37"/>
      <c r="D168" s="37"/>
    </row>
    <row r="169" ht="15.75" customHeight="1">
      <c r="C169" s="37"/>
      <c r="D169" s="37"/>
    </row>
    <row r="170" ht="15.75" customHeight="1">
      <c r="C170" s="37"/>
      <c r="D170" s="37"/>
    </row>
    <row r="171" ht="15.75" customHeight="1">
      <c r="C171" s="37"/>
      <c r="D171" s="37"/>
    </row>
    <row r="172" ht="15.75" customHeight="1">
      <c r="C172" s="37"/>
      <c r="D172" s="37"/>
    </row>
    <row r="173" ht="15.75" customHeight="1">
      <c r="C173" s="37"/>
      <c r="D173" s="37"/>
    </row>
    <row r="174" ht="15.75" customHeight="1">
      <c r="C174" s="37"/>
      <c r="D174" s="37"/>
    </row>
    <row r="175" ht="15.75" customHeight="1">
      <c r="C175" s="37"/>
      <c r="D175" s="37"/>
    </row>
    <row r="176" ht="15.75" customHeight="1">
      <c r="C176" s="37"/>
      <c r="D176" s="37"/>
    </row>
    <row r="177" ht="15.75" customHeight="1">
      <c r="C177" s="37"/>
      <c r="D177" s="37"/>
    </row>
    <row r="178" ht="15.75" customHeight="1">
      <c r="C178" s="37"/>
      <c r="D178" s="37"/>
    </row>
    <row r="179" ht="15.75" customHeight="1">
      <c r="C179" s="37"/>
      <c r="D179" s="37"/>
    </row>
    <row r="180" ht="15.75" customHeight="1">
      <c r="C180" s="37"/>
      <c r="D180" s="37"/>
    </row>
    <row r="181" ht="15.75" customHeight="1">
      <c r="C181" s="37"/>
      <c r="D181" s="37"/>
    </row>
    <row r="182" ht="15.75" customHeight="1">
      <c r="C182" s="37"/>
      <c r="D182" s="37"/>
    </row>
    <row r="183" ht="15.75" customHeight="1">
      <c r="C183" s="37"/>
      <c r="D183" s="37"/>
    </row>
    <row r="184" ht="15.75" customHeight="1">
      <c r="C184" s="37"/>
      <c r="D184" s="37"/>
    </row>
    <row r="185" ht="15.75" customHeight="1">
      <c r="C185" s="37"/>
      <c r="D185" s="37"/>
    </row>
    <row r="186" ht="15.75" customHeight="1">
      <c r="C186" s="37"/>
      <c r="D186" s="37"/>
    </row>
    <row r="187" ht="15.75" customHeight="1">
      <c r="C187" s="37"/>
      <c r="D187" s="37"/>
    </row>
    <row r="188" ht="15.75" customHeight="1">
      <c r="C188" s="37"/>
      <c r="D188" s="37"/>
    </row>
    <row r="189" ht="15.75" customHeight="1">
      <c r="C189" s="37"/>
      <c r="D189" s="37"/>
    </row>
    <row r="190" ht="15.75" customHeight="1">
      <c r="C190" s="37"/>
      <c r="D190" s="37"/>
    </row>
    <row r="191" ht="15.75" customHeight="1">
      <c r="C191" s="37"/>
      <c r="D191" s="37"/>
    </row>
    <row r="192" ht="15.75" customHeight="1">
      <c r="C192" s="37"/>
      <c r="D192" s="37"/>
    </row>
    <row r="193" ht="15.75" customHeight="1">
      <c r="C193" s="37"/>
      <c r="D193" s="37"/>
    </row>
    <row r="194" ht="15.75" customHeight="1">
      <c r="C194" s="37"/>
      <c r="D194" s="37"/>
    </row>
    <row r="195" ht="15.75" customHeight="1">
      <c r="C195" s="37"/>
      <c r="D195" s="37"/>
    </row>
    <row r="196" ht="15.75" customHeight="1">
      <c r="C196" s="37"/>
      <c r="D196" s="37"/>
    </row>
    <row r="197" ht="15.75" customHeight="1">
      <c r="C197" s="37"/>
      <c r="D197" s="37"/>
    </row>
    <row r="198" ht="15.75" customHeight="1">
      <c r="C198" s="37"/>
      <c r="D198" s="37"/>
    </row>
    <row r="199" ht="15.75" customHeight="1">
      <c r="C199" s="37"/>
      <c r="D199" s="37"/>
    </row>
    <row r="200" ht="15.75" customHeight="1">
      <c r="C200" s="37"/>
      <c r="D200" s="37"/>
    </row>
    <row r="201" ht="15.75" customHeight="1">
      <c r="C201" s="37"/>
      <c r="D201" s="37"/>
    </row>
    <row r="202" ht="15.75" customHeight="1">
      <c r="C202" s="37"/>
      <c r="D202" s="37"/>
    </row>
    <row r="203" ht="15.75" customHeight="1">
      <c r="C203" s="37"/>
      <c r="D203" s="37"/>
    </row>
    <row r="204" ht="15.75" customHeight="1">
      <c r="C204" s="37"/>
      <c r="D204" s="37"/>
    </row>
    <row r="205" ht="15.75" customHeight="1">
      <c r="C205" s="37"/>
      <c r="D205" s="37"/>
    </row>
    <row r="206" ht="15.75" customHeight="1">
      <c r="C206" s="37"/>
      <c r="D206" s="37"/>
    </row>
    <row r="207" ht="15.75" customHeight="1">
      <c r="C207" s="37"/>
      <c r="D207" s="37"/>
    </row>
    <row r="208" ht="15.75" customHeight="1">
      <c r="C208" s="37"/>
      <c r="D208" s="37"/>
    </row>
    <row r="209" ht="15.75" customHeight="1">
      <c r="C209" s="37"/>
      <c r="D209" s="37"/>
    </row>
    <row r="210" ht="15.75" customHeight="1">
      <c r="C210" s="37"/>
      <c r="D210" s="37"/>
    </row>
    <row r="211" ht="15.75" customHeight="1">
      <c r="C211" s="37"/>
      <c r="D211" s="37"/>
    </row>
    <row r="212" ht="15.75" customHeight="1">
      <c r="C212" s="37"/>
      <c r="D212" s="37"/>
    </row>
    <row r="213" ht="15.75" customHeight="1">
      <c r="C213" s="37"/>
      <c r="D213" s="37"/>
    </row>
    <row r="214" ht="15.75" customHeight="1">
      <c r="C214" s="37"/>
      <c r="D214" s="37"/>
    </row>
    <row r="215" ht="15.75" customHeight="1">
      <c r="C215" s="37"/>
      <c r="D215" s="37"/>
    </row>
    <row r="216" ht="15.75" customHeight="1">
      <c r="C216" s="37"/>
      <c r="D216" s="37"/>
    </row>
    <row r="217" ht="15.75" customHeight="1">
      <c r="C217" s="37"/>
      <c r="D217" s="37"/>
    </row>
    <row r="218" ht="15.75" customHeight="1">
      <c r="C218" s="37"/>
      <c r="D218" s="37"/>
    </row>
    <row r="219" ht="15.75" customHeight="1">
      <c r="C219" s="37"/>
      <c r="D219" s="37"/>
    </row>
    <row r="220" ht="15.75" customHeight="1">
      <c r="C220" s="37"/>
      <c r="D220" s="37"/>
    </row>
    <row r="221" ht="15.75" customHeight="1">
      <c r="C221" s="37"/>
      <c r="D221" s="37"/>
    </row>
    <row r="222" ht="15.75" customHeight="1">
      <c r="C222" s="37"/>
      <c r="D222" s="37"/>
    </row>
    <row r="223" ht="15.75" customHeight="1">
      <c r="C223" s="37"/>
      <c r="D223" s="37"/>
    </row>
    <row r="224" ht="15.75" customHeight="1">
      <c r="C224" s="37"/>
      <c r="D224" s="37"/>
    </row>
    <row r="225" ht="15.75" customHeight="1">
      <c r="C225" s="37"/>
      <c r="D225" s="37"/>
    </row>
    <row r="226" ht="15.75" customHeight="1">
      <c r="C226" s="37"/>
      <c r="D226" s="37"/>
    </row>
    <row r="227" ht="15.75" customHeight="1">
      <c r="C227" s="37"/>
      <c r="D227" s="37"/>
    </row>
    <row r="228" ht="15.75" customHeight="1">
      <c r="C228" s="37"/>
      <c r="D228" s="37"/>
    </row>
    <row r="229" ht="15.75" customHeight="1">
      <c r="C229" s="37"/>
      <c r="D229" s="37"/>
    </row>
    <row r="230" ht="15.75" customHeight="1">
      <c r="C230" s="37"/>
      <c r="D230" s="37"/>
    </row>
    <row r="231" ht="15.75" customHeight="1">
      <c r="C231" s="37"/>
      <c r="D231" s="37"/>
    </row>
    <row r="232" ht="15.75" customHeight="1">
      <c r="C232" s="37"/>
      <c r="D232" s="37"/>
    </row>
    <row r="233" ht="15.75" customHeight="1">
      <c r="C233" s="37"/>
      <c r="D233" s="37"/>
    </row>
    <row r="234" ht="15.75" customHeight="1">
      <c r="C234" s="37"/>
      <c r="D234" s="37"/>
    </row>
    <row r="235" ht="15.75" customHeight="1">
      <c r="C235" s="37"/>
      <c r="D235" s="37"/>
    </row>
    <row r="236" ht="15.75" customHeight="1">
      <c r="C236" s="37"/>
      <c r="D236" s="37"/>
    </row>
    <row r="237" ht="15.75" customHeight="1">
      <c r="C237" s="37"/>
      <c r="D237" s="37"/>
    </row>
    <row r="238" ht="15.75" customHeight="1">
      <c r="C238" s="37"/>
      <c r="D238" s="37"/>
    </row>
    <row r="239" ht="15.75" customHeight="1">
      <c r="C239" s="37"/>
      <c r="D239" s="37"/>
    </row>
    <row r="240" ht="15.75" customHeight="1">
      <c r="C240" s="37"/>
      <c r="D240" s="37"/>
    </row>
    <row r="241" ht="15.75" customHeight="1">
      <c r="C241" s="37"/>
      <c r="D241" s="37"/>
    </row>
    <row r="242" ht="15.75" customHeight="1">
      <c r="C242" s="37"/>
      <c r="D242" s="37"/>
    </row>
    <row r="243" ht="15.75" customHeight="1">
      <c r="C243" s="37"/>
      <c r="D243" s="37"/>
    </row>
    <row r="244" ht="15.75" customHeight="1">
      <c r="C244" s="37"/>
      <c r="D244" s="37"/>
    </row>
    <row r="245" ht="15.75" customHeight="1">
      <c r="C245" s="37"/>
      <c r="D245" s="37"/>
    </row>
    <row r="246" ht="15.75" customHeight="1">
      <c r="C246" s="37"/>
      <c r="D246" s="37"/>
    </row>
    <row r="247" ht="15.75" customHeight="1">
      <c r="C247" s="37"/>
      <c r="D247" s="37"/>
    </row>
    <row r="248" ht="15.75" customHeight="1">
      <c r="C248" s="37"/>
      <c r="D248" s="37"/>
    </row>
    <row r="249" ht="15.75" customHeight="1">
      <c r="C249" s="37"/>
      <c r="D249" s="37"/>
    </row>
    <row r="250" ht="15.75" customHeight="1">
      <c r="C250" s="37"/>
      <c r="D250" s="37"/>
    </row>
    <row r="251" ht="15.75" customHeight="1">
      <c r="C251" s="37"/>
      <c r="D251" s="37"/>
    </row>
    <row r="252" ht="15.75" customHeight="1">
      <c r="C252" s="37"/>
      <c r="D252" s="37"/>
    </row>
    <row r="253" ht="15.75" customHeight="1">
      <c r="C253" s="37"/>
      <c r="D253" s="37"/>
    </row>
    <row r="254" ht="15.75" customHeight="1">
      <c r="C254" s="37"/>
      <c r="D254" s="37"/>
    </row>
    <row r="255" ht="15.75" customHeight="1">
      <c r="C255" s="37"/>
      <c r="D255" s="37"/>
    </row>
    <row r="256" ht="15.75" customHeight="1">
      <c r="C256" s="37"/>
      <c r="D256" s="37"/>
    </row>
    <row r="257" ht="15.75" customHeight="1">
      <c r="C257" s="37"/>
      <c r="D257" s="37"/>
    </row>
    <row r="258" ht="15.75" customHeight="1">
      <c r="C258" s="37"/>
      <c r="D258" s="37"/>
    </row>
    <row r="259" ht="15.75" customHeight="1">
      <c r="C259" s="37"/>
      <c r="D259" s="37"/>
    </row>
    <row r="260" ht="15.75" customHeight="1">
      <c r="C260" s="37"/>
      <c r="D260" s="37"/>
    </row>
    <row r="261" ht="15.75" customHeight="1">
      <c r="C261" s="37"/>
      <c r="D261" s="37"/>
    </row>
    <row r="262" ht="15.75" customHeight="1">
      <c r="C262" s="37"/>
      <c r="D262" s="37"/>
    </row>
    <row r="263" ht="15.75" customHeight="1">
      <c r="C263" s="37"/>
      <c r="D263" s="37"/>
    </row>
    <row r="264" ht="15.75" customHeight="1">
      <c r="C264" s="37"/>
      <c r="D264" s="37"/>
    </row>
    <row r="265" ht="15.75" customHeight="1">
      <c r="C265" s="37"/>
      <c r="D265" s="37"/>
    </row>
    <row r="266" ht="15.75" customHeight="1">
      <c r="C266" s="37"/>
      <c r="D266" s="37"/>
    </row>
    <row r="267" ht="15.75" customHeight="1">
      <c r="C267" s="37"/>
      <c r="D267" s="37"/>
    </row>
    <row r="268" ht="15.75" customHeight="1">
      <c r="C268" s="37"/>
      <c r="D268" s="37"/>
    </row>
    <row r="269" ht="15.75" customHeight="1">
      <c r="C269" s="37"/>
      <c r="D269" s="37"/>
    </row>
    <row r="270" ht="15.75" customHeight="1">
      <c r="C270" s="37"/>
      <c r="D270" s="37"/>
    </row>
    <row r="271" ht="15.75" customHeight="1">
      <c r="C271" s="37"/>
      <c r="D271" s="37"/>
    </row>
    <row r="272" ht="15.75" customHeight="1">
      <c r="C272" s="37"/>
      <c r="D272" s="37"/>
    </row>
    <row r="273" ht="15.75" customHeight="1">
      <c r="C273" s="37"/>
      <c r="D273" s="37"/>
    </row>
    <row r="274" ht="15.75" customHeight="1">
      <c r="C274" s="37"/>
      <c r="D274" s="37"/>
    </row>
    <row r="275" ht="15.75" customHeight="1">
      <c r="C275" s="37"/>
      <c r="D275" s="37"/>
    </row>
    <row r="276" ht="15.75" customHeight="1">
      <c r="C276" s="37"/>
      <c r="D276" s="37"/>
    </row>
    <row r="277" ht="15.75" customHeight="1">
      <c r="C277" s="37"/>
      <c r="D277" s="37"/>
    </row>
    <row r="278" ht="15.75" customHeight="1">
      <c r="C278" s="37"/>
      <c r="D278" s="37"/>
    </row>
    <row r="279" ht="15.75" customHeight="1">
      <c r="C279" s="37"/>
      <c r="D279" s="37"/>
    </row>
    <row r="280" ht="15.75" customHeight="1">
      <c r="C280" s="37"/>
      <c r="D280" s="37"/>
    </row>
    <row r="281" ht="15.75" customHeight="1">
      <c r="C281" s="37"/>
      <c r="D281" s="37"/>
    </row>
    <row r="282" ht="15.75" customHeight="1">
      <c r="C282" s="37"/>
      <c r="D282" s="37"/>
    </row>
    <row r="283" ht="15.75" customHeight="1">
      <c r="C283" s="37"/>
      <c r="D283" s="37"/>
    </row>
    <row r="284" ht="15.75" customHeight="1">
      <c r="C284" s="37"/>
      <c r="D284" s="37"/>
    </row>
    <row r="285" ht="15.75" customHeight="1">
      <c r="C285" s="37"/>
      <c r="D285" s="37"/>
    </row>
    <row r="286" ht="15.75" customHeight="1">
      <c r="C286" s="37"/>
      <c r="D286" s="37"/>
    </row>
    <row r="287" ht="15.75" customHeight="1">
      <c r="C287" s="37"/>
      <c r="D287" s="37"/>
    </row>
    <row r="288" ht="15.75" customHeight="1">
      <c r="C288" s="37"/>
      <c r="D288" s="37"/>
    </row>
    <row r="289" ht="15.75" customHeight="1">
      <c r="C289" s="37"/>
      <c r="D289" s="37"/>
    </row>
    <row r="290" ht="15.75" customHeight="1">
      <c r="C290" s="37"/>
      <c r="D290" s="37"/>
    </row>
    <row r="291" ht="15.75" customHeight="1">
      <c r="C291" s="37"/>
      <c r="D291" s="37"/>
    </row>
    <row r="292" ht="15.75" customHeight="1">
      <c r="C292" s="37"/>
      <c r="D292" s="37"/>
    </row>
    <row r="293" ht="15.75" customHeight="1">
      <c r="C293" s="37"/>
      <c r="D293" s="37"/>
    </row>
    <row r="294" ht="15.75" customHeight="1">
      <c r="C294" s="37"/>
      <c r="D294" s="37"/>
    </row>
    <row r="295" ht="15.75" customHeight="1">
      <c r="C295" s="37"/>
      <c r="D295" s="37"/>
    </row>
    <row r="296" ht="15.75" customHeight="1">
      <c r="C296" s="37"/>
      <c r="D296" s="37"/>
    </row>
    <row r="297" ht="15.75" customHeight="1">
      <c r="C297" s="37"/>
      <c r="D297" s="37"/>
    </row>
    <row r="298" ht="15.75" customHeight="1">
      <c r="C298" s="37"/>
      <c r="D298" s="37"/>
    </row>
    <row r="299" ht="15.75" customHeight="1">
      <c r="C299" s="37"/>
      <c r="D299" s="37"/>
    </row>
    <row r="300" ht="15.75" customHeight="1">
      <c r="C300" s="37"/>
      <c r="D300" s="37"/>
    </row>
    <row r="301" ht="15.75" customHeight="1">
      <c r="C301" s="37"/>
      <c r="D301" s="37"/>
    </row>
    <row r="302" ht="15.75" customHeight="1">
      <c r="C302" s="37"/>
      <c r="D302" s="37"/>
    </row>
    <row r="303" ht="15.75" customHeight="1">
      <c r="C303" s="37"/>
      <c r="D303" s="37"/>
    </row>
    <row r="304" ht="15.75" customHeight="1">
      <c r="C304" s="37"/>
      <c r="D304" s="37"/>
    </row>
    <row r="305" ht="15.75" customHeight="1">
      <c r="C305" s="37"/>
      <c r="D305" s="37"/>
    </row>
    <row r="306" ht="15.75" customHeight="1">
      <c r="C306" s="37"/>
      <c r="D306" s="37"/>
    </row>
    <row r="307" ht="15.75" customHeight="1">
      <c r="C307" s="37"/>
      <c r="D307" s="37"/>
    </row>
    <row r="308" ht="15.75" customHeight="1">
      <c r="C308" s="37"/>
      <c r="D308" s="37"/>
    </row>
    <row r="309" ht="15.75" customHeight="1">
      <c r="C309" s="37"/>
      <c r="D309" s="37"/>
    </row>
    <row r="310" ht="15.75" customHeight="1">
      <c r="C310" s="37"/>
      <c r="D310" s="37"/>
    </row>
    <row r="311" ht="15.75" customHeight="1">
      <c r="C311" s="37"/>
      <c r="D311" s="37"/>
    </row>
    <row r="312" ht="15.75" customHeight="1">
      <c r="C312" s="37"/>
      <c r="D312" s="37"/>
    </row>
    <row r="313" ht="15.75" customHeight="1">
      <c r="C313" s="37"/>
      <c r="D313" s="37"/>
    </row>
    <row r="314" ht="15.75" customHeight="1">
      <c r="C314" s="37"/>
      <c r="D314" s="37"/>
    </row>
    <row r="315" ht="15.75" customHeight="1">
      <c r="C315" s="37"/>
      <c r="D315" s="37"/>
    </row>
    <row r="316" ht="15.75" customHeight="1">
      <c r="C316" s="37"/>
      <c r="D316" s="37"/>
    </row>
    <row r="317" ht="15.75" customHeight="1">
      <c r="C317" s="37"/>
      <c r="D317" s="37"/>
    </row>
    <row r="318" ht="15.75" customHeight="1">
      <c r="C318" s="37"/>
      <c r="D318" s="37"/>
    </row>
    <row r="319" ht="15.75" customHeight="1">
      <c r="C319" s="37"/>
      <c r="D319" s="37"/>
    </row>
    <row r="320" ht="15.75" customHeight="1">
      <c r="C320" s="37"/>
      <c r="D320" s="37"/>
    </row>
    <row r="321" ht="15.75" customHeight="1">
      <c r="C321" s="37"/>
      <c r="D321" s="37"/>
    </row>
    <row r="322" ht="15.75" customHeight="1">
      <c r="C322" s="37"/>
      <c r="D322" s="37"/>
    </row>
    <row r="323" ht="15.75" customHeight="1">
      <c r="C323" s="37"/>
      <c r="D323" s="37"/>
    </row>
    <row r="324" ht="15.75" customHeight="1">
      <c r="C324" s="37"/>
      <c r="D324" s="37"/>
    </row>
    <row r="325" ht="15.75" customHeight="1">
      <c r="C325" s="37"/>
      <c r="D325" s="37"/>
    </row>
    <row r="326" ht="15.75" customHeight="1">
      <c r="C326" s="37"/>
      <c r="D326" s="37"/>
    </row>
    <row r="327" ht="15.75" customHeight="1">
      <c r="C327" s="37"/>
      <c r="D327" s="37"/>
    </row>
    <row r="328" ht="15.75" customHeight="1">
      <c r="C328" s="37"/>
      <c r="D328" s="37"/>
    </row>
    <row r="329" ht="15.75" customHeight="1">
      <c r="C329" s="37"/>
      <c r="D329" s="37"/>
    </row>
    <row r="330" ht="15.75" customHeight="1">
      <c r="C330" s="37"/>
      <c r="D330" s="37"/>
    </row>
    <row r="331" ht="15.75" customHeight="1">
      <c r="C331" s="37"/>
      <c r="D331" s="37"/>
    </row>
    <row r="332" ht="15.75" customHeight="1">
      <c r="C332" s="37"/>
      <c r="D332" s="37"/>
    </row>
    <row r="333" ht="15.75" customHeight="1">
      <c r="C333" s="37"/>
      <c r="D333" s="37"/>
    </row>
    <row r="334" ht="15.75" customHeight="1">
      <c r="C334" s="37"/>
      <c r="D334" s="37"/>
    </row>
    <row r="335" ht="15.75" customHeight="1">
      <c r="C335" s="37"/>
      <c r="D335" s="37"/>
    </row>
    <row r="336" ht="15.75" customHeight="1">
      <c r="C336" s="37"/>
      <c r="D336" s="37"/>
    </row>
    <row r="337" ht="15.75" customHeight="1">
      <c r="C337" s="37"/>
      <c r="D337" s="37"/>
    </row>
    <row r="338" ht="15.75" customHeight="1">
      <c r="C338" s="37"/>
      <c r="D338" s="37"/>
    </row>
    <row r="339" ht="15.75" customHeight="1">
      <c r="C339" s="37"/>
      <c r="D339" s="37"/>
    </row>
    <row r="340" ht="15.75" customHeight="1">
      <c r="C340" s="37"/>
      <c r="D340" s="37"/>
    </row>
    <row r="341" ht="15.75" customHeight="1">
      <c r="C341" s="37"/>
      <c r="D341" s="37"/>
    </row>
    <row r="342" ht="15.75" customHeight="1">
      <c r="C342" s="37"/>
      <c r="D342" s="37"/>
    </row>
    <row r="343" ht="15.75" customHeight="1">
      <c r="C343" s="37"/>
      <c r="D343" s="37"/>
    </row>
    <row r="344" ht="15.75" customHeight="1">
      <c r="C344" s="37"/>
      <c r="D344" s="37"/>
    </row>
    <row r="345" ht="15.75" customHeight="1">
      <c r="C345" s="37"/>
      <c r="D345" s="37"/>
    </row>
    <row r="346" ht="15.75" customHeight="1">
      <c r="C346" s="37"/>
      <c r="D346" s="37"/>
    </row>
    <row r="347" ht="15.75" customHeight="1">
      <c r="C347" s="37"/>
      <c r="D347" s="37"/>
    </row>
    <row r="348" ht="15.75" customHeight="1">
      <c r="C348" s="37"/>
      <c r="D348" s="37"/>
    </row>
    <row r="349" ht="15.75" customHeight="1">
      <c r="C349" s="37"/>
      <c r="D349" s="37"/>
    </row>
    <row r="350" ht="15.75" customHeight="1">
      <c r="C350" s="37"/>
      <c r="D350" s="37"/>
    </row>
    <row r="351" ht="15.75" customHeight="1">
      <c r="C351" s="37"/>
      <c r="D351" s="37"/>
    </row>
    <row r="352" ht="15.75" customHeight="1">
      <c r="C352" s="37"/>
      <c r="D352" s="37"/>
    </row>
    <row r="353" ht="15.75" customHeight="1">
      <c r="C353" s="37"/>
      <c r="D353" s="37"/>
    </row>
    <row r="354" ht="15.75" customHeight="1">
      <c r="C354" s="37"/>
      <c r="D354" s="37"/>
    </row>
    <row r="355" ht="15.75" customHeight="1">
      <c r="C355" s="37"/>
      <c r="D355" s="37"/>
    </row>
    <row r="356" ht="15.75" customHeight="1">
      <c r="C356" s="37"/>
      <c r="D356" s="37"/>
    </row>
    <row r="357" ht="15.75" customHeight="1">
      <c r="C357" s="37"/>
      <c r="D357" s="37"/>
    </row>
    <row r="358" ht="15.75" customHeight="1">
      <c r="C358" s="37"/>
      <c r="D358" s="37"/>
    </row>
    <row r="359" ht="15.75" customHeight="1">
      <c r="C359" s="37"/>
      <c r="D359" s="37"/>
    </row>
    <row r="360" ht="15.75" customHeight="1">
      <c r="C360" s="37"/>
      <c r="D360" s="37"/>
    </row>
    <row r="361" ht="15.75" customHeight="1">
      <c r="C361" s="37"/>
      <c r="D361" s="37"/>
    </row>
    <row r="362" ht="15.75" customHeight="1">
      <c r="C362" s="37"/>
      <c r="D362" s="37"/>
    </row>
    <row r="363" ht="15.75" customHeight="1">
      <c r="C363" s="37"/>
      <c r="D363" s="37"/>
    </row>
    <row r="364" ht="15.75" customHeight="1">
      <c r="C364" s="37"/>
      <c r="D364" s="37"/>
    </row>
    <row r="365" ht="15.75" customHeight="1">
      <c r="C365" s="37"/>
      <c r="D365" s="37"/>
    </row>
    <row r="366" ht="15.75" customHeight="1">
      <c r="C366" s="37"/>
      <c r="D366" s="37"/>
    </row>
    <row r="367" ht="15.75" customHeight="1">
      <c r="C367" s="37"/>
      <c r="D367" s="37"/>
    </row>
    <row r="368" ht="15.75" customHeight="1">
      <c r="C368" s="37"/>
      <c r="D368" s="37"/>
    </row>
    <row r="369" ht="15.75" customHeight="1">
      <c r="C369" s="37"/>
      <c r="D369" s="37"/>
    </row>
    <row r="370" ht="15.75" customHeight="1">
      <c r="C370" s="37"/>
      <c r="D370" s="37"/>
    </row>
    <row r="371" ht="15.75" customHeight="1">
      <c r="C371" s="37"/>
      <c r="D371" s="37"/>
    </row>
    <row r="372" ht="15.75" customHeight="1">
      <c r="C372" s="37"/>
      <c r="D372" s="37"/>
    </row>
    <row r="373" ht="15.75" customHeight="1">
      <c r="C373" s="37"/>
      <c r="D373" s="37"/>
    </row>
    <row r="374" ht="15.75" customHeight="1">
      <c r="C374" s="37"/>
      <c r="D374" s="37"/>
    </row>
    <row r="375" ht="15.75" customHeight="1">
      <c r="C375" s="37"/>
      <c r="D375" s="37"/>
    </row>
    <row r="376" ht="15.75" customHeight="1">
      <c r="C376" s="37"/>
      <c r="D376" s="37"/>
    </row>
    <row r="377" ht="15.75" customHeight="1">
      <c r="C377" s="37"/>
      <c r="D377" s="37"/>
    </row>
    <row r="378" ht="15.75" customHeight="1">
      <c r="C378" s="37"/>
      <c r="D378" s="37"/>
    </row>
    <row r="379" ht="15.75" customHeight="1">
      <c r="C379" s="37"/>
      <c r="D379" s="37"/>
    </row>
    <row r="380" ht="15.75" customHeight="1">
      <c r="C380" s="37"/>
      <c r="D380" s="37"/>
    </row>
    <row r="381" ht="15.75" customHeight="1">
      <c r="C381" s="37"/>
      <c r="D381" s="37"/>
    </row>
    <row r="382" ht="15.75" customHeight="1">
      <c r="C382" s="37"/>
      <c r="D382" s="37"/>
    </row>
    <row r="383" ht="15.75" customHeight="1">
      <c r="C383" s="37"/>
      <c r="D383" s="37"/>
    </row>
    <row r="384" ht="15.75" customHeight="1">
      <c r="C384" s="37"/>
      <c r="D384" s="37"/>
    </row>
    <row r="385" ht="15.75" customHeight="1">
      <c r="C385" s="37"/>
      <c r="D385" s="37"/>
    </row>
    <row r="386" ht="15.75" customHeight="1">
      <c r="C386" s="37"/>
      <c r="D386" s="37"/>
    </row>
    <row r="387" ht="15.75" customHeight="1">
      <c r="C387" s="37"/>
      <c r="D387" s="37"/>
    </row>
    <row r="388" ht="15.75" customHeight="1">
      <c r="C388" s="37"/>
      <c r="D388" s="37"/>
    </row>
    <row r="389" ht="15.75" customHeight="1">
      <c r="C389" s="37"/>
      <c r="D389" s="37"/>
    </row>
    <row r="390" ht="15.75" customHeight="1">
      <c r="C390" s="37"/>
      <c r="D390" s="37"/>
    </row>
    <row r="391" ht="15.75" customHeight="1">
      <c r="C391" s="37"/>
      <c r="D391" s="37"/>
    </row>
    <row r="392" ht="15.75" customHeight="1">
      <c r="C392" s="37"/>
      <c r="D392" s="37"/>
    </row>
    <row r="393" ht="15.75" customHeight="1">
      <c r="C393" s="37"/>
      <c r="D393" s="37"/>
    </row>
    <row r="394" ht="15.75" customHeight="1">
      <c r="C394" s="37"/>
      <c r="D394" s="37"/>
    </row>
    <row r="395" ht="15.75" customHeight="1">
      <c r="C395" s="37"/>
      <c r="D395" s="37"/>
    </row>
    <row r="396" ht="15.75" customHeight="1">
      <c r="C396" s="37"/>
      <c r="D396" s="37"/>
    </row>
    <row r="397" ht="15.75" customHeight="1">
      <c r="C397" s="37"/>
      <c r="D397" s="37"/>
    </row>
    <row r="398" ht="15.75" customHeight="1">
      <c r="C398" s="37"/>
      <c r="D398" s="37"/>
    </row>
    <row r="399" ht="15.75" customHeight="1">
      <c r="C399" s="37"/>
      <c r="D399" s="37"/>
    </row>
    <row r="400" ht="15.75" customHeight="1">
      <c r="C400" s="37"/>
      <c r="D400" s="37"/>
    </row>
    <row r="401" ht="15.75" customHeight="1">
      <c r="C401" s="37"/>
      <c r="D401" s="37"/>
    </row>
    <row r="402" ht="15.75" customHeight="1">
      <c r="C402" s="37"/>
      <c r="D402" s="37"/>
    </row>
    <row r="403" ht="15.75" customHeight="1">
      <c r="C403" s="37"/>
      <c r="D403" s="37"/>
    </row>
    <row r="404" ht="15.75" customHeight="1">
      <c r="C404" s="37"/>
      <c r="D404" s="37"/>
    </row>
    <row r="405" ht="15.75" customHeight="1">
      <c r="C405" s="37"/>
      <c r="D405" s="37"/>
    </row>
    <row r="406" ht="15.75" customHeight="1">
      <c r="C406" s="37"/>
      <c r="D406" s="37"/>
    </row>
    <row r="407" ht="15.75" customHeight="1">
      <c r="C407" s="37"/>
      <c r="D407" s="37"/>
    </row>
    <row r="408" ht="15.75" customHeight="1">
      <c r="C408" s="37"/>
      <c r="D408" s="37"/>
    </row>
    <row r="409" ht="15.75" customHeight="1">
      <c r="C409" s="37"/>
      <c r="D409" s="37"/>
    </row>
    <row r="410" ht="15.75" customHeight="1">
      <c r="C410" s="37"/>
      <c r="D410" s="37"/>
    </row>
    <row r="411" ht="15.75" customHeight="1">
      <c r="C411" s="37"/>
      <c r="D411" s="37"/>
    </row>
    <row r="412" ht="15.75" customHeight="1">
      <c r="C412" s="37"/>
      <c r="D412" s="37"/>
    </row>
    <row r="413" ht="15.75" customHeight="1">
      <c r="C413" s="37"/>
      <c r="D413" s="37"/>
    </row>
    <row r="414" ht="15.75" customHeight="1">
      <c r="C414" s="37"/>
      <c r="D414" s="37"/>
    </row>
    <row r="415" ht="15.75" customHeight="1">
      <c r="C415" s="37"/>
      <c r="D415" s="37"/>
    </row>
    <row r="416" ht="15.75" customHeight="1">
      <c r="C416" s="37"/>
      <c r="D416" s="37"/>
    </row>
    <row r="417" ht="15.75" customHeight="1">
      <c r="C417" s="37"/>
      <c r="D417" s="37"/>
    </row>
    <row r="418" ht="15.75" customHeight="1">
      <c r="C418" s="37"/>
      <c r="D418" s="37"/>
    </row>
    <row r="419" ht="15.75" customHeight="1">
      <c r="C419" s="37"/>
      <c r="D419" s="37"/>
    </row>
    <row r="420" ht="15.75" customHeight="1">
      <c r="C420" s="37"/>
      <c r="D420" s="37"/>
    </row>
    <row r="421" ht="15.75" customHeight="1">
      <c r="C421" s="37"/>
      <c r="D421" s="37"/>
    </row>
    <row r="422" ht="15.75" customHeight="1">
      <c r="C422" s="37"/>
      <c r="D422" s="37"/>
    </row>
    <row r="423" ht="15.75" customHeight="1">
      <c r="C423" s="37"/>
      <c r="D423" s="37"/>
    </row>
    <row r="424" ht="15.75" customHeight="1">
      <c r="C424" s="37"/>
      <c r="D424" s="37"/>
    </row>
    <row r="425" ht="15.75" customHeight="1">
      <c r="C425" s="37"/>
      <c r="D425" s="37"/>
    </row>
    <row r="426" ht="15.75" customHeight="1">
      <c r="C426" s="37"/>
      <c r="D426" s="37"/>
    </row>
    <row r="427" ht="15.75" customHeight="1">
      <c r="C427" s="37"/>
      <c r="D427" s="37"/>
    </row>
    <row r="428" ht="15.75" customHeight="1">
      <c r="C428" s="37"/>
      <c r="D428" s="37"/>
    </row>
    <row r="429" ht="15.75" customHeight="1">
      <c r="C429" s="37"/>
      <c r="D429" s="37"/>
    </row>
    <row r="430" ht="15.75" customHeight="1">
      <c r="C430" s="37"/>
      <c r="D430" s="37"/>
    </row>
    <row r="431" ht="15.75" customHeight="1">
      <c r="C431" s="37"/>
      <c r="D431" s="37"/>
    </row>
    <row r="432" ht="15.75" customHeight="1">
      <c r="C432" s="37"/>
      <c r="D432" s="37"/>
    </row>
    <row r="433" ht="15.75" customHeight="1">
      <c r="C433" s="37"/>
      <c r="D433" s="37"/>
    </row>
    <row r="434" ht="15.75" customHeight="1">
      <c r="C434" s="37"/>
      <c r="D434" s="37"/>
    </row>
    <row r="435" ht="15.75" customHeight="1">
      <c r="C435" s="37"/>
      <c r="D435" s="37"/>
    </row>
    <row r="436" ht="15.75" customHeight="1">
      <c r="C436" s="37"/>
      <c r="D436" s="37"/>
    </row>
    <row r="437" ht="15.75" customHeight="1">
      <c r="C437" s="37"/>
      <c r="D437" s="37"/>
    </row>
    <row r="438" ht="15.75" customHeight="1">
      <c r="C438" s="37"/>
      <c r="D438" s="37"/>
    </row>
    <row r="439" ht="15.75" customHeight="1">
      <c r="C439" s="37"/>
      <c r="D439" s="37"/>
    </row>
    <row r="440" ht="15.75" customHeight="1">
      <c r="C440" s="37"/>
      <c r="D440" s="37"/>
    </row>
    <row r="441" ht="15.75" customHeight="1">
      <c r="C441" s="37"/>
      <c r="D441" s="37"/>
    </row>
    <row r="442" ht="15.75" customHeight="1">
      <c r="C442" s="37"/>
      <c r="D442" s="37"/>
    </row>
    <row r="443" ht="15.75" customHeight="1">
      <c r="C443" s="37"/>
      <c r="D443" s="37"/>
    </row>
    <row r="444" ht="15.75" customHeight="1">
      <c r="C444" s="37"/>
      <c r="D444" s="37"/>
    </row>
    <row r="445" ht="15.75" customHeight="1">
      <c r="C445" s="37"/>
      <c r="D445" s="37"/>
    </row>
    <row r="446" ht="15.75" customHeight="1">
      <c r="C446" s="37"/>
      <c r="D446" s="37"/>
    </row>
    <row r="447" ht="15.75" customHeight="1">
      <c r="C447" s="37"/>
      <c r="D447" s="37"/>
    </row>
    <row r="448" ht="15.75" customHeight="1">
      <c r="C448" s="37"/>
      <c r="D448" s="37"/>
    </row>
    <row r="449" ht="15.75" customHeight="1">
      <c r="C449" s="37"/>
      <c r="D449" s="37"/>
    </row>
    <row r="450" ht="15.75" customHeight="1">
      <c r="C450" s="37"/>
      <c r="D450" s="37"/>
    </row>
    <row r="451" ht="15.75" customHeight="1">
      <c r="C451" s="37"/>
      <c r="D451" s="37"/>
    </row>
    <row r="452" ht="15.75" customHeight="1">
      <c r="C452" s="37"/>
      <c r="D452" s="37"/>
    </row>
    <row r="453" ht="15.75" customHeight="1">
      <c r="C453" s="37"/>
      <c r="D453" s="37"/>
    </row>
    <row r="454" ht="15.75" customHeight="1">
      <c r="C454" s="37"/>
      <c r="D454" s="37"/>
    </row>
    <row r="455" ht="15.75" customHeight="1">
      <c r="C455" s="37"/>
      <c r="D455" s="37"/>
    </row>
    <row r="456" ht="15.75" customHeight="1">
      <c r="C456" s="37"/>
      <c r="D456" s="37"/>
    </row>
    <row r="457" ht="15.75" customHeight="1">
      <c r="C457" s="37"/>
      <c r="D457" s="37"/>
    </row>
    <row r="458" ht="15.75" customHeight="1">
      <c r="C458" s="37"/>
      <c r="D458" s="37"/>
    </row>
    <row r="459" ht="15.75" customHeight="1">
      <c r="C459" s="37"/>
      <c r="D459" s="37"/>
    </row>
    <row r="460" ht="15.75" customHeight="1">
      <c r="C460" s="37"/>
      <c r="D460" s="37"/>
    </row>
    <row r="461" ht="15.75" customHeight="1">
      <c r="C461" s="37"/>
      <c r="D461" s="37"/>
    </row>
    <row r="462" ht="15.75" customHeight="1">
      <c r="C462" s="37"/>
      <c r="D462" s="37"/>
    </row>
    <row r="463" ht="15.75" customHeight="1">
      <c r="C463" s="37"/>
      <c r="D463" s="37"/>
    </row>
    <row r="464" ht="15.75" customHeight="1">
      <c r="C464" s="37"/>
      <c r="D464" s="37"/>
    </row>
    <row r="465" ht="15.75" customHeight="1">
      <c r="C465" s="37"/>
      <c r="D465" s="37"/>
    </row>
    <row r="466" ht="15.75" customHeight="1">
      <c r="C466" s="37"/>
      <c r="D466" s="37"/>
    </row>
    <row r="467" ht="15.75" customHeight="1">
      <c r="C467" s="37"/>
      <c r="D467" s="37"/>
    </row>
    <row r="468" ht="15.75" customHeight="1">
      <c r="C468" s="37"/>
      <c r="D468" s="37"/>
    </row>
    <row r="469" ht="15.75" customHeight="1">
      <c r="C469" s="37"/>
      <c r="D469" s="37"/>
    </row>
    <row r="470" ht="15.75" customHeight="1">
      <c r="C470" s="37"/>
      <c r="D470" s="37"/>
    </row>
    <row r="471" ht="15.75" customHeight="1">
      <c r="C471" s="37"/>
      <c r="D471" s="37"/>
    </row>
    <row r="472" ht="15.75" customHeight="1">
      <c r="C472" s="37"/>
      <c r="D472" s="37"/>
    </row>
    <row r="473" ht="15.75" customHeight="1">
      <c r="C473" s="37"/>
      <c r="D473" s="37"/>
    </row>
    <row r="474" ht="15.75" customHeight="1">
      <c r="C474" s="37"/>
      <c r="D474" s="37"/>
    </row>
    <row r="475" ht="15.75" customHeight="1">
      <c r="C475" s="37"/>
      <c r="D475" s="37"/>
    </row>
    <row r="476" ht="15.75" customHeight="1">
      <c r="C476" s="37"/>
      <c r="D476" s="37"/>
    </row>
    <row r="477" ht="15.75" customHeight="1">
      <c r="C477" s="37"/>
      <c r="D477" s="37"/>
    </row>
    <row r="478" ht="15.75" customHeight="1">
      <c r="C478" s="37"/>
      <c r="D478" s="37"/>
    </row>
    <row r="479" ht="15.75" customHeight="1">
      <c r="C479" s="37"/>
      <c r="D479" s="37"/>
    </row>
    <row r="480" ht="15.75" customHeight="1">
      <c r="C480" s="37"/>
      <c r="D480" s="37"/>
    </row>
    <row r="481" ht="15.75" customHeight="1">
      <c r="C481" s="37"/>
      <c r="D481" s="37"/>
    </row>
    <row r="482" ht="15.75" customHeight="1">
      <c r="C482" s="37"/>
      <c r="D482" s="37"/>
    </row>
    <row r="483" ht="15.75" customHeight="1">
      <c r="C483" s="37"/>
      <c r="D483" s="37"/>
    </row>
    <row r="484" ht="15.75" customHeight="1">
      <c r="C484" s="37"/>
      <c r="D484" s="37"/>
    </row>
    <row r="485" ht="15.75" customHeight="1">
      <c r="C485" s="37"/>
      <c r="D485" s="37"/>
    </row>
    <row r="486" ht="15.75" customHeight="1">
      <c r="C486" s="37"/>
      <c r="D486" s="37"/>
    </row>
    <row r="487" ht="15.75" customHeight="1">
      <c r="C487" s="37"/>
      <c r="D487" s="37"/>
    </row>
    <row r="488" ht="15.75" customHeight="1">
      <c r="C488" s="37"/>
      <c r="D488" s="37"/>
    </row>
    <row r="489" ht="15.75" customHeight="1">
      <c r="C489" s="37"/>
      <c r="D489" s="37"/>
    </row>
    <row r="490" ht="15.75" customHeight="1">
      <c r="C490" s="37"/>
      <c r="D490" s="37"/>
    </row>
    <row r="491" ht="15.75" customHeight="1">
      <c r="C491" s="37"/>
      <c r="D491" s="37"/>
    </row>
    <row r="492" ht="15.75" customHeight="1">
      <c r="C492" s="37"/>
      <c r="D492" s="37"/>
    </row>
    <row r="493" ht="15.75" customHeight="1">
      <c r="C493" s="37"/>
      <c r="D493" s="37"/>
    </row>
    <row r="494" ht="15.75" customHeight="1">
      <c r="C494" s="37"/>
      <c r="D494" s="37"/>
    </row>
    <row r="495" ht="15.75" customHeight="1">
      <c r="C495" s="37"/>
      <c r="D495" s="37"/>
    </row>
    <row r="496" ht="15.75" customHeight="1">
      <c r="C496" s="37"/>
      <c r="D496" s="37"/>
    </row>
    <row r="497" ht="15.75" customHeight="1">
      <c r="C497" s="37"/>
      <c r="D497" s="37"/>
    </row>
    <row r="498" ht="15.75" customHeight="1">
      <c r="C498" s="37"/>
      <c r="D498" s="37"/>
    </row>
    <row r="499" ht="15.75" customHeight="1">
      <c r="C499" s="37"/>
      <c r="D499" s="37"/>
    </row>
    <row r="500" ht="15.75" customHeight="1">
      <c r="C500" s="37"/>
      <c r="D500" s="37"/>
    </row>
    <row r="501" ht="15.75" customHeight="1">
      <c r="C501" s="37"/>
      <c r="D501" s="37"/>
    </row>
    <row r="502" ht="15.75" customHeight="1">
      <c r="C502" s="37"/>
      <c r="D502" s="37"/>
    </row>
    <row r="503" ht="15.75" customHeight="1">
      <c r="C503" s="37"/>
      <c r="D503" s="37"/>
    </row>
    <row r="504" ht="15.75" customHeight="1">
      <c r="C504" s="37"/>
      <c r="D504" s="37"/>
    </row>
    <row r="505" ht="15.75" customHeight="1">
      <c r="C505" s="37"/>
      <c r="D505" s="37"/>
    </row>
    <row r="506" ht="15.75" customHeight="1">
      <c r="C506" s="37"/>
      <c r="D506" s="37"/>
    </row>
    <row r="507" ht="15.75" customHeight="1">
      <c r="C507" s="37"/>
      <c r="D507" s="37"/>
    </row>
    <row r="508" ht="15.75" customHeight="1">
      <c r="C508" s="37"/>
      <c r="D508" s="37"/>
    </row>
    <row r="509" ht="15.75" customHeight="1">
      <c r="C509" s="37"/>
      <c r="D509" s="37"/>
    </row>
    <row r="510" ht="15.75" customHeight="1">
      <c r="C510" s="37"/>
      <c r="D510" s="37"/>
    </row>
    <row r="511" ht="15.75" customHeight="1">
      <c r="C511" s="37"/>
      <c r="D511" s="37"/>
    </row>
    <row r="512" ht="15.75" customHeight="1">
      <c r="C512" s="37"/>
      <c r="D512" s="37"/>
    </row>
    <row r="513" ht="15.75" customHeight="1">
      <c r="C513" s="37"/>
      <c r="D513" s="37"/>
    </row>
    <row r="514" ht="15.75" customHeight="1">
      <c r="C514" s="37"/>
      <c r="D514" s="37"/>
    </row>
    <row r="515" ht="15.75" customHeight="1">
      <c r="C515" s="37"/>
      <c r="D515" s="37"/>
    </row>
    <row r="516" ht="15.75" customHeight="1">
      <c r="C516" s="37"/>
      <c r="D516" s="37"/>
    </row>
    <row r="517" ht="15.75" customHeight="1">
      <c r="C517" s="37"/>
      <c r="D517" s="37"/>
    </row>
    <row r="518" ht="15.75" customHeight="1">
      <c r="C518" s="37"/>
      <c r="D518" s="37"/>
    </row>
    <row r="519" ht="15.75" customHeight="1">
      <c r="C519" s="37"/>
      <c r="D519" s="37"/>
    </row>
    <row r="520" ht="15.75" customHeight="1">
      <c r="C520" s="37"/>
      <c r="D520" s="37"/>
    </row>
    <row r="521" ht="15.75" customHeight="1">
      <c r="C521" s="37"/>
      <c r="D521" s="37"/>
    </row>
    <row r="522" ht="15.75" customHeight="1">
      <c r="C522" s="37"/>
      <c r="D522" s="37"/>
    </row>
    <row r="523" ht="15.75" customHeight="1">
      <c r="C523" s="37"/>
      <c r="D523" s="37"/>
    </row>
    <row r="524" ht="15.75" customHeight="1">
      <c r="C524" s="37"/>
      <c r="D524" s="37"/>
    </row>
    <row r="525" ht="15.75" customHeight="1">
      <c r="C525" s="37"/>
      <c r="D525" s="37"/>
    </row>
    <row r="526" ht="15.75" customHeight="1">
      <c r="C526" s="37"/>
      <c r="D526" s="37"/>
    </row>
    <row r="527" ht="15.75" customHeight="1">
      <c r="C527" s="37"/>
      <c r="D527" s="37"/>
    </row>
    <row r="528" ht="15.75" customHeight="1">
      <c r="C528" s="37"/>
      <c r="D528" s="37"/>
    </row>
    <row r="529" ht="15.75" customHeight="1">
      <c r="C529" s="37"/>
      <c r="D529" s="37"/>
    </row>
    <row r="530" ht="15.75" customHeight="1">
      <c r="C530" s="37"/>
      <c r="D530" s="37"/>
    </row>
    <row r="531" ht="15.75" customHeight="1">
      <c r="C531" s="37"/>
      <c r="D531" s="37"/>
    </row>
    <row r="532" ht="15.75" customHeight="1">
      <c r="C532" s="37"/>
      <c r="D532" s="37"/>
    </row>
    <row r="533" ht="15.75" customHeight="1">
      <c r="C533" s="37"/>
      <c r="D533" s="37"/>
    </row>
    <row r="534" ht="15.75" customHeight="1">
      <c r="C534" s="37"/>
      <c r="D534" s="37"/>
    </row>
    <row r="535" ht="15.75" customHeight="1">
      <c r="C535" s="37"/>
      <c r="D535" s="37"/>
    </row>
    <row r="536" ht="15.75" customHeight="1">
      <c r="C536" s="37"/>
      <c r="D536" s="37"/>
    </row>
    <row r="537" ht="15.75" customHeight="1">
      <c r="C537" s="37"/>
      <c r="D537" s="37"/>
    </row>
    <row r="538" ht="15.75" customHeight="1">
      <c r="C538" s="37"/>
      <c r="D538" s="37"/>
    </row>
    <row r="539" ht="15.75" customHeight="1">
      <c r="C539" s="37"/>
      <c r="D539" s="37"/>
    </row>
    <row r="540" ht="15.75" customHeight="1">
      <c r="C540" s="37"/>
      <c r="D540" s="37"/>
    </row>
    <row r="541" ht="15.75" customHeight="1">
      <c r="C541" s="37"/>
      <c r="D541" s="37"/>
    </row>
    <row r="542" ht="15.75" customHeight="1">
      <c r="C542" s="37"/>
      <c r="D542" s="37"/>
    </row>
    <row r="543" ht="15.75" customHeight="1">
      <c r="C543" s="37"/>
      <c r="D543" s="37"/>
    </row>
    <row r="544" ht="15.75" customHeight="1">
      <c r="C544" s="37"/>
      <c r="D544" s="37"/>
    </row>
    <row r="545" ht="15.75" customHeight="1">
      <c r="C545" s="37"/>
      <c r="D545" s="37"/>
    </row>
    <row r="546" ht="15.75" customHeight="1">
      <c r="C546" s="37"/>
      <c r="D546" s="37"/>
    </row>
    <row r="547" ht="15.75" customHeight="1">
      <c r="C547" s="37"/>
      <c r="D547" s="37"/>
    </row>
    <row r="548" ht="15.75" customHeight="1">
      <c r="C548" s="37"/>
      <c r="D548" s="37"/>
    </row>
    <row r="549" ht="15.75" customHeight="1">
      <c r="C549" s="37"/>
      <c r="D549" s="37"/>
    </row>
    <row r="550" ht="15.75" customHeight="1">
      <c r="C550" s="37"/>
      <c r="D550" s="37"/>
    </row>
    <row r="551" ht="15.75" customHeight="1">
      <c r="C551" s="37"/>
      <c r="D551" s="37"/>
    </row>
    <row r="552" ht="15.75" customHeight="1">
      <c r="C552" s="37"/>
      <c r="D552" s="37"/>
    </row>
    <row r="553" ht="15.75" customHeight="1">
      <c r="C553" s="37"/>
      <c r="D553" s="37"/>
    </row>
    <row r="554" ht="15.75" customHeight="1">
      <c r="C554" s="37"/>
      <c r="D554" s="37"/>
    </row>
    <row r="555" ht="15.75" customHeight="1">
      <c r="C555" s="37"/>
      <c r="D555" s="37"/>
    </row>
    <row r="556" ht="15.75" customHeight="1">
      <c r="C556" s="37"/>
      <c r="D556" s="37"/>
    </row>
    <row r="557" ht="15.75" customHeight="1">
      <c r="C557" s="37"/>
      <c r="D557" s="37"/>
    </row>
    <row r="558" ht="15.75" customHeight="1">
      <c r="C558" s="37"/>
      <c r="D558" s="37"/>
    </row>
    <row r="559" ht="15.75" customHeight="1">
      <c r="C559" s="37"/>
      <c r="D559" s="37"/>
    </row>
    <row r="560" ht="15.75" customHeight="1">
      <c r="C560" s="37"/>
      <c r="D560" s="37"/>
    </row>
    <row r="561" ht="15.75" customHeight="1">
      <c r="C561" s="37"/>
      <c r="D561" s="37"/>
    </row>
    <row r="562" ht="15.75" customHeight="1">
      <c r="C562" s="37"/>
      <c r="D562" s="37"/>
    </row>
    <row r="563" ht="15.75" customHeight="1">
      <c r="C563" s="37"/>
      <c r="D563" s="37"/>
    </row>
    <row r="564" ht="15.75" customHeight="1">
      <c r="C564" s="37"/>
      <c r="D564" s="37"/>
    </row>
    <row r="565" ht="15.75" customHeight="1">
      <c r="C565" s="37"/>
      <c r="D565" s="37"/>
    </row>
    <row r="566" ht="15.75" customHeight="1">
      <c r="C566" s="37"/>
      <c r="D566" s="37"/>
    </row>
    <row r="567" ht="15.75" customHeight="1">
      <c r="C567" s="37"/>
      <c r="D567" s="37"/>
    </row>
    <row r="568" ht="15.75" customHeight="1">
      <c r="C568" s="37"/>
      <c r="D568" s="37"/>
    </row>
    <row r="569" ht="15.75" customHeight="1">
      <c r="C569" s="37"/>
      <c r="D569" s="37"/>
    </row>
    <row r="570" ht="15.75" customHeight="1">
      <c r="C570" s="37"/>
      <c r="D570" s="37"/>
    </row>
    <row r="571" ht="15.75" customHeight="1">
      <c r="C571" s="37"/>
      <c r="D571" s="37"/>
    </row>
    <row r="572" ht="15.75" customHeight="1">
      <c r="C572" s="37"/>
      <c r="D572" s="37"/>
    </row>
    <row r="573" ht="15.75" customHeight="1">
      <c r="C573" s="37"/>
      <c r="D573" s="37"/>
    </row>
    <row r="574" ht="15.75" customHeight="1">
      <c r="C574" s="37"/>
      <c r="D574" s="37"/>
    </row>
    <row r="575" ht="15.75" customHeight="1">
      <c r="C575" s="37"/>
      <c r="D575" s="37"/>
    </row>
    <row r="576" ht="15.75" customHeight="1">
      <c r="C576" s="37"/>
      <c r="D576" s="37"/>
    </row>
    <row r="577" ht="15.75" customHeight="1">
      <c r="C577" s="37"/>
      <c r="D577" s="37"/>
    </row>
    <row r="578" ht="15.75" customHeight="1">
      <c r="C578" s="37"/>
      <c r="D578" s="37"/>
    </row>
    <row r="579" ht="15.75" customHeight="1">
      <c r="C579" s="37"/>
      <c r="D579" s="37"/>
    </row>
    <row r="580" ht="15.75" customHeight="1">
      <c r="C580" s="37"/>
      <c r="D580" s="37"/>
    </row>
    <row r="581" ht="15.75" customHeight="1">
      <c r="C581" s="37"/>
      <c r="D581" s="37"/>
    </row>
    <row r="582" ht="15.75" customHeight="1">
      <c r="C582" s="37"/>
      <c r="D582" s="37"/>
    </row>
    <row r="583" ht="15.75" customHeight="1">
      <c r="C583" s="37"/>
      <c r="D583" s="37"/>
    </row>
    <row r="584" ht="15.75" customHeight="1">
      <c r="C584" s="37"/>
      <c r="D584" s="37"/>
    </row>
    <row r="585" ht="15.75" customHeight="1">
      <c r="C585" s="37"/>
      <c r="D585" s="37"/>
    </row>
    <row r="586" ht="15.75" customHeight="1">
      <c r="C586" s="37"/>
      <c r="D586" s="37"/>
    </row>
    <row r="587" ht="15.75" customHeight="1">
      <c r="C587" s="37"/>
      <c r="D587" s="37"/>
    </row>
    <row r="588" ht="15.75" customHeight="1">
      <c r="C588" s="37"/>
      <c r="D588" s="37"/>
    </row>
    <row r="589" ht="15.75" customHeight="1">
      <c r="C589" s="37"/>
      <c r="D589" s="37"/>
    </row>
    <row r="590" ht="15.75" customHeight="1">
      <c r="C590" s="37"/>
      <c r="D590" s="37"/>
    </row>
    <row r="591" ht="15.75" customHeight="1">
      <c r="C591" s="37"/>
      <c r="D591" s="37"/>
    </row>
    <row r="592" ht="15.75" customHeight="1">
      <c r="C592" s="37"/>
      <c r="D592" s="37"/>
    </row>
    <row r="593" ht="15.75" customHeight="1">
      <c r="C593" s="37"/>
      <c r="D593" s="37"/>
    </row>
    <row r="594" ht="15.75" customHeight="1">
      <c r="C594" s="37"/>
      <c r="D594" s="37"/>
    </row>
    <row r="595" ht="15.75" customHeight="1">
      <c r="C595" s="37"/>
      <c r="D595" s="37"/>
    </row>
    <row r="596" ht="15.75" customHeight="1">
      <c r="C596" s="37"/>
      <c r="D596" s="37"/>
    </row>
    <row r="597" ht="15.75" customHeight="1">
      <c r="C597" s="37"/>
      <c r="D597" s="37"/>
    </row>
    <row r="598" ht="15.75" customHeight="1">
      <c r="C598" s="37"/>
      <c r="D598" s="37"/>
    </row>
    <row r="599" ht="15.75" customHeight="1">
      <c r="C599" s="37"/>
      <c r="D599" s="37"/>
    </row>
    <row r="600" ht="15.75" customHeight="1">
      <c r="C600" s="37"/>
      <c r="D600" s="37"/>
    </row>
    <row r="601" ht="15.75" customHeight="1">
      <c r="C601" s="37"/>
      <c r="D601" s="37"/>
    </row>
    <row r="602" ht="15.75" customHeight="1">
      <c r="C602" s="37"/>
      <c r="D602" s="37"/>
    </row>
    <row r="603" ht="15.75" customHeight="1">
      <c r="C603" s="37"/>
      <c r="D603" s="37"/>
    </row>
    <row r="604" ht="15.75" customHeight="1">
      <c r="C604" s="37"/>
      <c r="D604" s="37"/>
    </row>
    <row r="605" ht="15.75" customHeight="1">
      <c r="C605" s="37"/>
      <c r="D605" s="37"/>
    </row>
    <row r="606" ht="15.75" customHeight="1">
      <c r="C606" s="37"/>
      <c r="D606" s="37"/>
    </row>
    <row r="607" ht="15.75" customHeight="1">
      <c r="C607" s="37"/>
      <c r="D607" s="37"/>
    </row>
    <row r="608" ht="15.75" customHeight="1">
      <c r="C608" s="37"/>
      <c r="D608" s="37"/>
    </row>
    <row r="609" ht="15.75" customHeight="1">
      <c r="C609" s="37"/>
      <c r="D609" s="37"/>
    </row>
    <row r="610" ht="15.75" customHeight="1">
      <c r="C610" s="37"/>
      <c r="D610" s="37"/>
    </row>
    <row r="611" ht="15.75" customHeight="1">
      <c r="C611" s="37"/>
      <c r="D611" s="37"/>
    </row>
    <row r="612" ht="15.75" customHeight="1">
      <c r="C612" s="37"/>
      <c r="D612" s="37"/>
    </row>
    <row r="613" ht="15.75" customHeight="1">
      <c r="C613" s="37"/>
      <c r="D613" s="37"/>
    </row>
    <row r="614" ht="15.75" customHeight="1">
      <c r="C614" s="37"/>
      <c r="D614" s="37"/>
    </row>
    <row r="615" ht="15.75" customHeight="1">
      <c r="C615" s="37"/>
      <c r="D615" s="37"/>
    </row>
    <row r="616" ht="15.75" customHeight="1">
      <c r="C616" s="37"/>
      <c r="D616" s="37"/>
    </row>
    <row r="617" ht="15.75" customHeight="1">
      <c r="C617" s="37"/>
      <c r="D617" s="37"/>
    </row>
    <row r="618" ht="15.75" customHeight="1">
      <c r="C618" s="37"/>
      <c r="D618" s="37"/>
    </row>
    <row r="619" ht="15.75" customHeight="1">
      <c r="C619" s="37"/>
      <c r="D619" s="37"/>
    </row>
    <row r="620" ht="15.75" customHeight="1">
      <c r="C620" s="37"/>
      <c r="D620" s="37"/>
    </row>
    <row r="621" ht="15.75" customHeight="1">
      <c r="C621" s="37"/>
      <c r="D621" s="37"/>
    </row>
    <row r="622" ht="15.75" customHeight="1">
      <c r="C622" s="37"/>
      <c r="D622" s="37"/>
    </row>
    <row r="623" ht="15.75" customHeight="1">
      <c r="C623" s="37"/>
      <c r="D623" s="37"/>
    </row>
    <row r="624" ht="15.75" customHeight="1">
      <c r="C624" s="37"/>
      <c r="D624" s="37"/>
    </row>
    <row r="625" ht="15.75" customHeight="1">
      <c r="C625" s="37"/>
      <c r="D625" s="37"/>
    </row>
    <row r="626" ht="15.75" customHeight="1">
      <c r="C626" s="37"/>
      <c r="D626" s="37"/>
    </row>
    <row r="627" ht="15.75" customHeight="1">
      <c r="C627" s="37"/>
      <c r="D627" s="37"/>
    </row>
    <row r="628" ht="15.75" customHeight="1">
      <c r="C628" s="37"/>
      <c r="D628" s="37"/>
    </row>
    <row r="629" ht="15.75" customHeight="1">
      <c r="C629" s="37"/>
      <c r="D629" s="37"/>
    </row>
    <row r="630" ht="15.75" customHeight="1">
      <c r="C630" s="37"/>
      <c r="D630" s="37"/>
    </row>
    <row r="631" ht="15.75" customHeight="1">
      <c r="C631" s="37"/>
      <c r="D631" s="37"/>
    </row>
    <row r="632" ht="15.75" customHeight="1">
      <c r="C632" s="37"/>
      <c r="D632" s="37"/>
    </row>
    <row r="633" ht="15.75" customHeight="1">
      <c r="C633" s="37"/>
      <c r="D633" s="37"/>
    </row>
    <row r="634" ht="15.75" customHeight="1">
      <c r="C634" s="37"/>
      <c r="D634" s="37"/>
    </row>
    <row r="635" ht="15.75" customHeight="1">
      <c r="C635" s="37"/>
      <c r="D635" s="37"/>
    </row>
    <row r="636" ht="15.75" customHeight="1">
      <c r="C636" s="37"/>
      <c r="D636" s="37"/>
    </row>
    <row r="637" ht="15.75" customHeight="1">
      <c r="C637" s="37"/>
      <c r="D637" s="37"/>
    </row>
    <row r="638" ht="15.75" customHeight="1">
      <c r="C638" s="37"/>
      <c r="D638" s="37"/>
    </row>
    <row r="639" ht="15.75" customHeight="1">
      <c r="C639" s="37"/>
      <c r="D639" s="37"/>
    </row>
    <row r="640" ht="15.75" customHeight="1">
      <c r="C640" s="37"/>
      <c r="D640" s="37"/>
    </row>
    <row r="641" ht="15.75" customHeight="1">
      <c r="C641" s="37"/>
      <c r="D641" s="37"/>
    </row>
    <row r="642" ht="15.75" customHeight="1">
      <c r="C642" s="37"/>
      <c r="D642" s="37"/>
    </row>
    <row r="643" ht="15.75" customHeight="1">
      <c r="C643" s="37"/>
      <c r="D643" s="37"/>
    </row>
    <row r="644" ht="15.75" customHeight="1">
      <c r="C644" s="37"/>
      <c r="D644" s="37"/>
    </row>
    <row r="645" ht="15.75" customHeight="1">
      <c r="C645" s="37"/>
      <c r="D645" s="37"/>
    </row>
    <row r="646" ht="15.75" customHeight="1">
      <c r="C646" s="37"/>
      <c r="D646" s="37"/>
    </row>
    <row r="647" ht="15.75" customHeight="1">
      <c r="C647" s="37"/>
      <c r="D647" s="37"/>
    </row>
    <row r="648" ht="15.75" customHeight="1">
      <c r="C648" s="37"/>
      <c r="D648" s="37"/>
    </row>
    <row r="649" ht="15.75" customHeight="1">
      <c r="C649" s="37"/>
      <c r="D649" s="37"/>
    </row>
    <row r="650" ht="15.75" customHeight="1">
      <c r="C650" s="37"/>
      <c r="D650" s="37"/>
    </row>
    <row r="651" ht="15.75" customHeight="1">
      <c r="C651" s="37"/>
      <c r="D651" s="37"/>
    </row>
    <row r="652" ht="15.75" customHeight="1">
      <c r="C652" s="37"/>
      <c r="D652" s="37"/>
    </row>
    <row r="653" ht="15.75" customHeight="1">
      <c r="C653" s="37"/>
      <c r="D653" s="37"/>
    </row>
    <row r="654" ht="15.75" customHeight="1">
      <c r="C654" s="37"/>
      <c r="D654" s="37"/>
    </row>
    <row r="655" ht="15.75" customHeight="1">
      <c r="C655" s="37"/>
      <c r="D655" s="37"/>
    </row>
    <row r="656" ht="15.75" customHeight="1">
      <c r="C656" s="37"/>
      <c r="D656" s="37"/>
    </row>
    <row r="657" ht="15.75" customHeight="1">
      <c r="C657" s="37"/>
      <c r="D657" s="37"/>
    </row>
    <row r="658" ht="15.75" customHeight="1">
      <c r="C658" s="37"/>
      <c r="D658" s="37"/>
    </row>
    <row r="659" ht="15.75" customHeight="1">
      <c r="C659" s="37"/>
      <c r="D659" s="37"/>
    </row>
    <row r="660" ht="15.75" customHeight="1">
      <c r="C660" s="37"/>
      <c r="D660" s="37"/>
    </row>
    <row r="661" ht="15.75" customHeight="1">
      <c r="C661" s="37"/>
      <c r="D661" s="37"/>
    </row>
    <row r="662" ht="15.75" customHeight="1">
      <c r="C662" s="37"/>
      <c r="D662" s="37"/>
    </row>
    <row r="663" ht="15.75" customHeight="1">
      <c r="C663" s="37"/>
      <c r="D663" s="37"/>
    </row>
    <row r="664" ht="15.75" customHeight="1">
      <c r="C664" s="37"/>
      <c r="D664" s="37"/>
    </row>
    <row r="665" ht="15.75" customHeight="1">
      <c r="C665" s="37"/>
      <c r="D665" s="37"/>
    </row>
    <row r="666" ht="15.75" customHeight="1">
      <c r="C666" s="37"/>
      <c r="D666" s="37"/>
    </row>
    <row r="667" ht="15.75" customHeight="1">
      <c r="C667" s="37"/>
      <c r="D667" s="37"/>
    </row>
    <row r="668" ht="15.75" customHeight="1">
      <c r="C668" s="37"/>
      <c r="D668" s="37"/>
    </row>
    <row r="669" ht="15.75" customHeight="1">
      <c r="C669" s="37"/>
      <c r="D669" s="37"/>
    </row>
    <row r="670" ht="15.75" customHeight="1">
      <c r="C670" s="37"/>
      <c r="D670" s="37"/>
    </row>
    <row r="671" ht="15.75" customHeight="1">
      <c r="C671" s="37"/>
      <c r="D671" s="37"/>
    </row>
    <row r="672" ht="15.75" customHeight="1">
      <c r="C672" s="37"/>
      <c r="D672" s="37"/>
    </row>
    <row r="673" ht="15.75" customHeight="1">
      <c r="C673" s="37"/>
      <c r="D673" s="37"/>
    </row>
    <row r="674" ht="15.75" customHeight="1">
      <c r="C674" s="37"/>
      <c r="D674" s="37"/>
    </row>
    <row r="675" ht="15.75" customHeight="1">
      <c r="C675" s="37"/>
      <c r="D675" s="37"/>
    </row>
    <row r="676" ht="15.75" customHeight="1">
      <c r="C676" s="37"/>
      <c r="D676" s="37"/>
    </row>
    <row r="677" ht="15.75" customHeight="1">
      <c r="C677" s="37"/>
      <c r="D677" s="37"/>
    </row>
    <row r="678" ht="15.75" customHeight="1">
      <c r="C678" s="37"/>
      <c r="D678" s="37"/>
    </row>
    <row r="679" ht="15.75" customHeight="1">
      <c r="C679" s="37"/>
      <c r="D679" s="37"/>
    </row>
    <row r="680" ht="15.75" customHeight="1">
      <c r="C680" s="37"/>
      <c r="D680" s="37"/>
    </row>
    <row r="681" ht="15.75" customHeight="1">
      <c r="C681" s="37"/>
      <c r="D681" s="37"/>
    </row>
    <row r="682" ht="15.75" customHeight="1">
      <c r="C682" s="37"/>
      <c r="D682" s="37"/>
    </row>
    <row r="683" ht="15.75" customHeight="1">
      <c r="C683" s="37"/>
      <c r="D683" s="37"/>
    </row>
    <row r="684" ht="15.75" customHeight="1">
      <c r="C684" s="37"/>
      <c r="D684" s="37"/>
    </row>
    <row r="685" ht="15.75" customHeight="1">
      <c r="C685" s="37"/>
      <c r="D685" s="37"/>
    </row>
    <row r="686" ht="15.75" customHeight="1">
      <c r="C686" s="37"/>
      <c r="D686" s="37"/>
    </row>
    <row r="687" ht="15.75" customHeight="1">
      <c r="C687" s="37"/>
      <c r="D687" s="37"/>
    </row>
    <row r="688" ht="15.75" customHeight="1">
      <c r="C688" s="37"/>
      <c r="D688" s="37"/>
    </row>
    <row r="689" ht="15.75" customHeight="1">
      <c r="C689" s="37"/>
      <c r="D689" s="37"/>
    </row>
    <row r="690" ht="15.75" customHeight="1">
      <c r="C690" s="37"/>
      <c r="D690" s="37"/>
    </row>
    <row r="691" ht="15.75" customHeight="1">
      <c r="C691" s="37"/>
      <c r="D691" s="37"/>
    </row>
    <row r="692" ht="15.75" customHeight="1">
      <c r="C692" s="37"/>
      <c r="D692" s="37"/>
    </row>
    <row r="693" ht="15.75" customHeight="1">
      <c r="C693" s="37"/>
      <c r="D693" s="37"/>
    </row>
    <row r="694" ht="15.75" customHeight="1">
      <c r="C694" s="37"/>
      <c r="D694" s="37"/>
    </row>
    <row r="695" ht="15.75" customHeight="1">
      <c r="C695" s="37"/>
      <c r="D695" s="37"/>
    </row>
    <row r="696" ht="15.75" customHeight="1">
      <c r="C696" s="37"/>
      <c r="D696" s="37"/>
    </row>
    <row r="697" ht="15.75" customHeight="1">
      <c r="C697" s="37"/>
      <c r="D697" s="37"/>
    </row>
    <row r="698" ht="15.75" customHeight="1">
      <c r="C698" s="37"/>
      <c r="D698" s="37"/>
    </row>
    <row r="699" ht="15.75" customHeight="1">
      <c r="C699" s="37"/>
      <c r="D699" s="37"/>
    </row>
    <row r="700" ht="15.75" customHeight="1">
      <c r="C700" s="37"/>
      <c r="D700" s="37"/>
    </row>
    <row r="701" ht="15.75" customHeight="1">
      <c r="C701" s="37"/>
      <c r="D701" s="37"/>
    </row>
    <row r="702" ht="15.75" customHeight="1">
      <c r="C702" s="37"/>
      <c r="D702" s="37"/>
    </row>
    <row r="703" ht="15.75" customHeight="1">
      <c r="C703" s="37"/>
      <c r="D703" s="37"/>
    </row>
    <row r="704" ht="15.75" customHeight="1">
      <c r="C704" s="37"/>
      <c r="D704" s="37"/>
    </row>
    <row r="705" ht="15.75" customHeight="1">
      <c r="C705" s="37"/>
      <c r="D705" s="37"/>
    </row>
    <row r="706" ht="15.75" customHeight="1">
      <c r="C706" s="37"/>
      <c r="D706" s="37"/>
    </row>
    <row r="707" ht="15.75" customHeight="1">
      <c r="C707" s="37"/>
      <c r="D707" s="37"/>
    </row>
    <row r="708" ht="15.75" customHeight="1">
      <c r="C708" s="37"/>
      <c r="D708" s="37"/>
    </row>
    <row r="709" ht="15.75" customHeight="1">
      <c r="C709" s="37"/>
      <c r="D709" s="37"/>
    </row>
    <row r="710" ht="15.75" customHeight="1">
      <c r="C710" s="37"/>
      <c r="D710" s="37"/>
    </row>
    <row r="711" ht="15.75" customHeight="1">
      <c r="C711" s="37"/>
      <c r="D711" s="37"/>
    </row>
    <row r="712" ht="15.75" customHeight="1">
      <c r="C712" s="37"/>
      <c r="D712" s="37"/>
    </row>
    <row r="713" ht="15.75" customHeight="1">
      <c r="C713" s="37"/>
      <c r="D713" s="37"/>
    </row>
    <row r="714" ht="15.75" customHeight="1">
      <c r="C714" s="37"/>
      <c r="D714" s="37"/>
    </row>
    <row r="715" ht="15.75" customHeight="1">
      <c r="C715" s="37"/>
      <c r="D715" s="37"/>
    </row>
    <row r="716" ht="15.75" customHeight="1">
      <c r="C716" s="37"/>
      <c r="D716" s="37"/>
    </row>
    <row r="717" ht="15.75" customHeight="1">
      <c r="C717" s="37"/>
      <c r="D717" s="37"/>
    </row>
    <row r="718" ht="15.75" customHeight="1">
      <c r="C718" s="37"/>
      <c r="D718" s="37"/>
    </row>
    <row r="719" ht="15.75" customHeight="1">
      <c r="C719" s="37"/>
      <c r="D719" s="37"/>
    </row>
    <row r="720" ht="15.75" customHeight="1">
      <c r="C720" s="37"/>
      <c r="D720" s="37"/>
    </row>
    <row r="721" ht="15.75" customHeight="1">
      <c r="C721" s="37"/>
      <c r="D721" s="37"/>
    </row>
    <row r="722" ht="15.75" customHeight="1">
      <c r="C722" s="37"/>
      <c r="D722" s="37"/>
    </row>
    <row r="723" ht="15.75" customHeight="1">
      <c r="C723" s="37"/>
      <c r="D723" s="37"/>
    </row>
    <row r="724" ht="15.75" customHeight="1">
      <c r="C724" s="37"/>
      <c r="D724" s="37"/>
    </row>
    <row r="725" ht="15.75" customHeight="1">
      <c r="C725" s="37"/>
      <c r="D725" s="37"/>
    </row>
    <row r="726" ht="15.75" customHeight="1">
      <c r="C726" s="37"/>
      <c r="D726" s="37"/>
    </row>
    <row r="727" ht="15.75" customHeight="1">
      <c r="C727" s="37"/>
      <c r="D727" s="37"/>
    </row>
    <row r="728" ht="15.75" customHeight="1">
      <c r="C728" s="37"/>
      <c r="D728" s="37"/>
    </row>
    <row r="729" ht="15.75" customHeight="1">
      <c r="C729" s="37"/>
      <c r="D729" s="37"/>
    </row>
    <row r="730" ht="15.75" customHeight="1">
      <c r="C730" s="37"/>
      <c r="D730" s="37"/>
    </row>
    <row r="731" ht="15.75" customHeight="1">
      <c r="C731" s="37"/>
      <c r="D731" s="37"/>
    </row>
    <row r="732" ht="15.75" customHeight="1">
      <c r="C732" s="37"/>
      <c r="D732" s="37"/>
    </row>
    <row r="733" ht="15.75" customHeight="1">
      <c r="C733" s="37"/>
      <c r="D733" s="37"/>
    </row>
    <row r="734" ht="15.75" customHeight="1">
      <c r="C734" s="37"/>
      <c r="D734" s="37"/>
    </row>
    <row r="735" ht="15.75" customHeight="1">
      <c r="C735" s="37"/>
      <c r="D735" s="37"/>
    </row>
    <row r="736" ht="15.75" customHeight="1">
      <c r="C736" s="37"/>
      <c r="D736" s="37"/>
    </row>
    <row r="737" ht="15.75" customHeight="1">
      <c r="C737" s="37"/>
      <c r="D737" s="37"/>
    </row>
    <row r="738" ht="15.75" customHeight="1">
      <c r="C738" s="37"/>
      <c r="D738" s="37"/>
    </row>
    <row r="739" ht="15.75" customHeight="1">
      <c r="C739" s="37"/>
      <c r="D739" s="37"/>
    </row>
    <row r="740" ht="15.75" customHeight="1">
      <c r="C740" s="37"/>
      <c r="D740" s="37"/>
    </row>
    <row r="741" ht="15.75" customHeight="1">
      <c r="C741" s="37"/>
      <c r="D741" s="37"/>
    </row>
    <row r="742" ht="15.75" customHeight="1">
      <c r="C742" s="37"/>
      <c r="D742" s="37"/>
    </row>
    <row r="743" ht="15.75" customHeight="1">
      <c r="C743" s="37"/>
      <c r="D743" s="37"/>
    </row>
    <row r="744" ht="15.75" customHeight="1">
      <c r="C744" s="37"/>
      <c r="D744" s="37"/>
    </row>
    <row r="745" ht="15.75" customHeight="1">
      <c r="C745" s="37"/>
      <c r="D745" s="37"/>
    </row>
    <row r="746" ht="15.75" customHeight="1">
      <c r="C746" s="37"/>
      <c r="D746" s="37"/>
    </row>
    <row r="747" ht="15.75" customHeight="1">
      <c r="C747" s="37"/>
      <c r="D747" s="37"/>
    </row>
    <row r="748" ht="15.75" customHeight="1">
      <c r="C748" s="37"/>
      <c r="D748" s="37"/>
    </row>
    <row r="749" ht="15.75" customHeight="1">
      <c r="C749" s="37"/>
      <c r="D749" s="37"/>
    </row>
    <row r="750" ht="15.75" customHeight="1">
      <c r="C750" s="37"/>
      <c r="D750" s="37"/>
    </row>
    <row r="751" ht="15.75" customHeight="1">
      <c r="C751" s="37"/>
      <c r="D751" s="37"/>
    </row>
    <row r="752" ht="15.75" customHeight="1">
      <c r="C752" s="37"/>
      <c r="D752" s="37"/>
    </row>
    <row r="753" ht="15.75" customHeight="1">
      <c r="C753" s="37"/>
      <c r="D753" s="37"/>
    </row>
    <row r="754" ht="15.75" customHeight="1">
      <c r="C754" s="37"/>
      <c r="D754" s="37"/>
    </row>
    <row r="755" ht="15.75" customHeight="1">
      <c r="C755" s="37"/>
      <c r="D755" s="37"/>
    </row>
    <row r="756" ht="15.75" customHeight="1">
      <c r="C756" s="37"/>
      <c r="D756" s="37"/>
    </row>
    <row r="757" ht="15.75" customHeight="1">
      <c r="C757" s="37"/>
      <c r="D757" s="37"/>
    </row>
    <row r="758" ht="15.75" customHeight="1">
      <c r="C758" s="37"/>
      <c r="D758" s="37"/>
    </row>
    <row r="759" ht="15.75" customHeight="1">
      <c r="C759" s="37"/>
      <c r="D759" s="37"/>
    </row>
    <row r="760" ht="15.75" customHeight="1">
      <c r="C760" s="37"/>
      <c r="D760" s="37"/>
    </row>
    <row r="761" ht="15.75" customHeight="1">
      <c r="C761" s="37"/>
      <c r="D761" s="37"/>
    </row>
    <row r="762" ht="15.75" customHeight="1">
      <c r="C762" s="37"/>
      <c r="D762" s="37"/>
    </row>
    <row r="763" ht="15.75" customHeight="1">
      <c r="C763" s="37"/>
      <c r="D763" s="37"/>
    </row>
    <row r="764" ht="15.75" customHeight="1">
      <c r="C764" s="37"/>
      <c r="D764" s="37"/>
    </row>
    <row r="765" ht="15.75" customHeight="1">
      <c r="C765" s="37"/>
      <c r="D765" s="37"/>
    </row>
    <row r="766" ht="15.75" customHeight="1">
      <c r="C766" s="37"/>
      <c r="D766" s="37"/>
    </row>
    <row r="767" ht="15.75" customHeight="1">
      <c r="C767" s="37"/>
      <c r="D767" s="37"/>
    </row>
    <row r="768" ht="15.75" customHeight="1">
      <c r="C768" s="37"/>
      <c r="D768" s="37"/>
    </row>
    <row r="769" ht="15.75" customHeight="1">
      <c r="C769" s="37"/>
      <c r="D769" s="37"/>
    </row>
    <row r="770" ht="15.75" customHeight="1">
      <c r="C770" s="37"/>
      <c r="D770" s="37"/>
    </row>
    <row r="771" ht="15.75" customHeight="1">
      <c r="C771" s="37"/>
      <c r="D771" s="37"/>
    </row>
    <row r="772" ht="15.75" customHeight="1">
      <c r="C772" s="37"/>
      <c r="D772" s="37"/>
    </row>
    <row r="773" ht="15.75" customHeight="1">
      <c r="C773" s="37"/>
      <c r="D773" s="37"/>
    </row>
    <row r="774" ht="15.75" customHeight="1">
      <c r="C774" s="37"/>
      <c r="D774" s="37"/>
    </row>
    <row r="775" ht="15.75" customHeight="1">
      <c r="C775" s="37"/>
      <c r="D775" s="37"/>
    </row>
    <row r="776" ht="15.75" customHeight="1">
      <c r="C776" s="37"/>
      <c r="D776" s="37"/>
    </row>
    <row r="777" ht="15.75" customHeight="1">
      <c r="C777" s="37"/>
      <c r="D777" s="37"/>
    </row>
    <row r="778" ht="15.75" customHeight="1">
      <c r="C778" s="37"/>
      <c r="D778" s="37"/>
    </row>
    <row r="779" ht="15.75" customHeight="1">
      <c r="C779" s="37"/>
      <c r="D779" s="37"/>
    </row>
    <row r="780" ht="15.75" customHeight="1">
      <c r="C780" s="37"/>
      <c r="D780" s="37"/>
    </row>
    <row r="781" ht="15.75" customHeight="1">
      <c r="C781" s="37"/>
      <c r="D781" s="37"/>
    </row>
    <row r="782" ht="15.75" customHeight="1">
      <c r="C782" s="37"/>
      <c r="D782" s="37"/>
    </row>
    <row r="783" ht="15.75" customHeight="1">
      <c r="C783" s="37"/>
      <c r="D783" s="37"/>
    </row>
    <row r="784" ht="15.75" customHeight="1">
      <c r="C784" s="37"/>
      <c r="D784" s="37"/>
    </row>
    <row r="785" ht="15.75" customHeight="1">
      <c r="C785" s="37"/>
      <c r="D785" s="37"/>
    </row>
    <row r="786" ht="15.75" customHeight="1">
      <c r="C786" s="37"/>
      <c r="D786" s="37"/>
    </row>
    <row r="787" ht="15.75" customHeight="1">
      <c r="C787" s="37"/>
      <c r="D787" s="37"/>
    </row>
    <row r="788" ht="15.75" customHeight="1">
      <c r="C788" s="37"/>
      <c r="D788" s="37"/>
    </row>
    <row r="789" ht="15.75" customHeight="1">
      <c r="C789" s="37"/>
      <c r="D789" s="37"/>
    </row>
    <row r="790" ht="15.75" customHeight="1">
      <c r="C790" s="37"/>
      <c r="D790" s="37"/>
    </row>
    <row r="791" ht="15.75" customHeight="1">
      <c r="C791" s="37"/>
      <c r="D791" s="37"/>
    </row>
    <row r="792" ht="15.75" customHeight="1">
      <c r="C792" s="37"/>
      <c r="D792" s="37"/>
    </row>
    <row r="793" ht="15.75" customHeight="1">
      <c r="C793" s="37"/>
      <c r="D793" s="37"/>
    </row>
    <row r="794" ht="15.75" customHeight="1">
      <c r="C794" s="37"/>
      <c r="D794" s="37"/>
    </row>
    <row r="795" ht="15.75" customHeight="1">
      <c r="C795" s="37"/>
      <c r="D795" s="37"/>
    </row>
    <row r="796" ht="15.75" customHeight="1">
      <c r="C796" s="37"/>
      <c r="D796" s="37"/>
    </row>
    <row r="797" ht="15.75" customHeight="1">
      <c r="C797" s="37"/>
      <c r="D797" s="37"/>
    </row>
    <row r="798" ht="15.75" customHeight="1">
      <c r="C798" s="37"/>
      <c r="D798" s="37"/>
    </row>
    <row r="799" ht="15.75" customHeight="1">
      <c r="C799" s="37"/>
      <c r="D799" s="37"/>
    </row>
    <row r="800" ht="15.75" customHeight="1">
      <c r="C800" s="37"/>
      <c r="D800" s="37"/>
    </row>
    <row r="801" ht="15.75" customHeight="1">
      <c r="C801" s="37"/>
      <c r="D801" s="37"/>
    </row>
    <row r="802" ht="15.75" customHeight="1">
      <c r="C802" s="37"/>
      <c r="D802" s="37"/>
    </row>
    <row r="803" ht="15.75" customHeight="1">
      <c r="C803" s="37"/>
      <c r="D803" s="37"/>
    </row>
    <row r="804" ht="15.75" customHeight="1">
      <c r="C804" s="37"/>
      <c r="D804" s="37"/>
    </row>
    <row r="805" ht="15.75" customHeight="1">
      <c r="C805" s="37"/>
      <c r="D805" s="37"/>
    </row>
    <row r="806" ht="15.75" customHeight="1">
      <c r="C806" s="37"/>
      <c r="D806" s="37"/>
    </row>
    <row r="807" ht="15.75" customHeight="1">
      <c r="C807" s="37"/>
      <c r="D807" s="37"/>
    </row>
    <row r="808" ht="15.75" customHeight="1">
      <c r="C808" s="37"/>
      <c r="D808" s="37"/>
    </row>
    <row r="809" ht="15.75" customHeight="1">
      <c r="C809" s="37"/>
      <c r="D809" s="37"/>
    </row>
    <row r="810" ht="15.75" customHeight="1">
      <c r="C810" s="37"/>
      <c r="D810" s="37"/>
    </row>
    <row r="811" ht="15.75" customHeight="1">
      <c r="C811" s="37"/>
      <c r="D811" s="37"/>
    </row>
    <row r="812" ht="15.75" customHeight="1">
      <c r="C812" s="37"/>
      <c r="D812" s="37"/>
    </row>
    <row r="813" ht="15.75" customHeight="1">
      <c r="C813" s="37"/>
      <c r="D813" s="37"/>
    </row>
    <row r="814" ht="15.75" customHeight="1">
      <c r="C814" s="37"/>
      <c r="D814" s="37"/>
    </row>
    <row r="815" ht="15.75" customHeight="1">
      <c r="C815" s="37"/>
      <c r="D815" s="37"/>
    </row>
    <row r="816" ht="15.75" customHeight="1">
      <c r="C816" s="37"/>
      <c r="D816" s="37"/>
    </row>
    <row r="817" ht="15.75" customHeight="1">
      <c r="C817" s="37"/>
      <c r="D817" s="37"/>
    </row>
    <row r="818" ht="15.75" customHeight="1">
      <c r="C818" s="37"/>
      <c r="D818" s="37"/>
    </row>
    <row r="819" ht="15.75" customHeight="1">
      <c r="C819" s="37"/>
      <c r="D819" s="37"/>
    </row>
    <row r="820" ht="15.75" customHeight="1">
      <c r="C820" s="37"/>
      <c r="D820" s="37"/>
    </row>
    <row r="821" ht="15.75" customHeight="1">
      <c r="C821" s="37"/>
      <c r="D821" s="37"/>
    </row>
    <row r="822" ht="15.75" customHeight="1">
      <c r="C822" s="37"/>
      <c r="D822" s="37"/>
    </row>
    <row r="823" ht="15.75" customHeight="1">
      <c r="C823" s="37"/>
      <c r="D823" s="37"/>
    </row>
    <row r="824" ht="15.75" customHeight="1">
      <c r="C824" s="37"/>
      <c r="D824" s="37"/>
    </row>
    <row r="825" ht="15.75" customHeight="1">
      <c r="C825" s="37"/>
      <c r="D825" s="37"/>
    </row>
    <row r="826" ht="15.75" customHeight="1">
      <c r="C826" s="37"/>
      <c r="D826" s="37"/>
    </row>
    <row r="827" ht="15.75" customHeight="1">
      <c r="C827" s="37"/>
      <c r="D827" s="37"/>
    </row>
    <row r="828" ht="15.75" customHeight="1">
      <c r="C828" s="37"/>
      <c r="D828" s="37"/>
    </row>
    <row r="829" ht="15.75" customHeight="1">
      <c r="C829" s="37"/>
      <c r="D829" s="37"/>
    </row>
    <row r="830" ht="15.75" customHeight="1">
      <c r="C830" s="37"/>
      <c r="D830" s="37"/>
    </row>
    <row r="831" ht="15.75" customHeight="1">
      <c r="C831" s="37"/>
      <c r="D831" s="37"/>
    </row>
    <row r="832" ht="15.75" customHeight="1">
      <c r="C832" s="37"/>
      <c r="D832" s="37"/>
    </row>
    <row r="833" ht="15.75" customHeight="1">
      <c r="C833" s="37"/>
      <c r="D833" s="37"/>
    </row>
    <row r="834" ht="15.75" customHeight="1">
      <c r="C834" s="37"/>
      <c r="D834" s="37"/>
    </row>
    <row r="835" ht="15.75" customHeight="1">
      <c r="C835" s="37"/>
      <c r="D835" s="37"/>
    </row>
    <row r="836" ht="15.75" customHeight="1">
      <c r="C836" s="37"/>
      <c r="D836" s="37"/>
    </row>
    <row r="837" ht="15.75" customHeight="1">
      <c r="C837" s="37"/>
      <c r="D837" s="37"/>
    </row>
    <row r="838" ht="15.75" customHeight="1">
      <c r="C838" s="37"/>
      <c r="D838" s="37"/>
    </row>
    <row r="839" ht="15.75" customHeight="1">
      <c r="C839" s="37"/>
      <c r="D839" s="37"/>
    </row>
    <row r="840" ht="15.75" customHeight="1">
      <c r="C840" s="37"/>
      <c r="D840" s="37"/>
    </row>
    <row r="841" ht="15.75" customHeight="1">
      <c r="C841" s="37"/>
      <c r="D841" s="37"/>
    </row>
    <row r="842" ht="15.75" customHeight="1">
      <c r="C842" s="37"/>
      <c r="D842" s="37"/>
    </row>
    <row r="843" ht="15.75" customHeight="1">
      <c r="C843" s="37"/>
      <c r="D843" s="37"/>
    </row>
    <row r="844" ht="15.75" customHeight="1">
      <c r="C844" s="37"/>
      <c r="D844" s="37"/>
    </row>
    <row r="845" ht="15.75" customHeight="1">
      <c r="C845" s="37"/>
      <c r="D845" s="37"/>
    </row>
    <row r="846" ht="15.75" customHeight="1">
      <c r="C846" s="37"/>
      <c r="D846" s="37"/>
    </row>
    <row r="847" ht="15.75" customHeight="1">
      <c r="C847" s="37"/>
      <c r="D847" s="37"/>
    </row>
    <row r="848" ht="15.75" customHeight="1">
      <c r="C848" s="37"/>
      <c r="D848" s="37"/>
    </row>
    <row r="849" ht="15.75" customHeight="1">
      <c r="C849" s="37"/>
      <c r="D849" s="37"/>
    </row>
    <row r="850" ht="15.75" customHeight="1">
      <c r="C850" s="37"/>
      <c r="D850" s="37"/>
    </row>
    <row r="851" ht="15.75" customHeight="1">
      <c r="C851" s="37"/>
      <c r="D851" s="37"/>
    </row>
    <row r="852" ht="15.75" customHeight="1">
      <c r="C852" s="37"/>
      <c r="D852" s="37"/>
    </row>
    <row r="853" ht="15.75" customHeight="1">
      <c r="C853" s="37"/>
      <c r="D853" s="37"/>
    </row>
    <row r="854" ht="15.75" customHeight="1">
      <c r="C854" s="37"/>
      <c r="D854" s="37"/>
    </row>
    <row r="855" ht="15.75" customHeight="1">
      <c r="C855" s="37"/>
      <c r="D855" s="37"/>
    </row>
    <row r="856" ht="15.75" customHeight="1">
      <c r="C856" s="37"/>
      <c r="D856" s="37"/>
    </row>
    <row r="857" ht="15.75" customHeight="1">
      <c r="C857" s="37"/>
      <c r="D857" s="37"/>
    </row>
    <row r="858" ht="15.75" customHeight="1">
      <c r="C858" s="37"/>
      <c r="D858" s="37"/>
    </row>
    <row r="859" ht="15.75" customHeight="1">
      <c r="C859" s="37"/>
      <c r="D859" s="37"/>
    </row>
    <row r="860" ht="15.75" customHeight="1">
      <c r="C860" s="37"/>
      <c r="D860" s="37"/>
    </row>
    <row r="861" ht="15.75" customHeight="1">
      <c r="C861" s="37"/>
      <c r="D861" s="37"/>
    </row>
    <row r="862" ht="15.75" customHeight="1">
      <c r="C862" s="37"/>
      <c r="D862" s="37"/>
    </row>
    <row r="863" ht="15.75" customHeight="1">
      <c r="C863" s="37"/>
      <c r="D863" s="37"/>
    </row>
    <row r="864" ht="15.75" customHeight="1">
      <c r="C864" s="37"/>
      <c r="D864" s="37"/>
    </row>
    <row r="865" ht="15.75" customHeight="1">
      <c r="C865" s="37"/>
      <c r="D865" s="37"/>
    </row>
    <row r="866" ht="15.75" customHeight="1">
      <c r="C866" s="37"/>
      <c r="D866" s="37"/>
    </row>
    <row r="867" ht="15.75" customHeight="1">
      <c r="C867" s="37"/>
      <c r="D867" s="37"/>
    </row>
    <row r="868" ht="15.75" customHeight="1">
      <c r="C868" s="37"/>
      <c r="D868" s="37"/>
    </row>
    <row r="869" ht="15.75" customHeight="1">
      <c r="C869" s="37"/>
      <c r="D869" s="37"/>
    </row>
    <row r="870" ht="15.75" customHeight="1">
      <c r="C870" s="37"/>
      <c r="D870" s="37"/>
    </row>
    <row r="871" ht="15.75" customHeight="1">
      <c r="C871" s="37"/>
      <c r="D871" s="37"/>
    </row>
    <row r="872" ht="15.75" customHeight="1">
      <c r="C872" s="37"/>
      <c r="D872" s="37"/>
    </row>
    <row r="873" ht="15.75" customHeight="1">
      <c r="C873" s="37"/>
      <c r="D873" s="37"/>
    </row>
    <row r="874" ht="15.75" customHeight="1">
      <c r="C874" s="37"/>
      <c r="D874" s="37"/>
    </row>
    <row r="875" ht="15.75" customHeight="1">
      <c r="C875" s="37"/>
      <c r="D875" s="37"/>
    </row>
    <row r="876" ht="15.75" customHeight="1">
      <c r="C876" s="37"/>
      <c r="D876" s="37"/>
    </row>
    <row r="877" ht="15.75" customHeight="1">
      <c r="C877" s="37"/>
      <c r="D877" s="37"/>
    </row>
    <row r="878" ht="15.75" customHeight="1">
      <c r="C878" s="37"/>
      <c r="D878" s="37"/>
    </row>
    <row r="879" ht="15.75" customHeight="1">
      <c r="C879" s="37"/>
      <c r="D879" s="37"/>
    </row>
    <row r="880" ht="15.75" customHeight="1">
      <c r="C880" s="37"/>
      <c r="D880" s="37"/>
    </row>
    <row r="881" ht="15.75" customHeight="1">
      <c r="C881" s="37"/>
      <c r="D881" s="37"/>
    </row>
    <row r="882" ht="15.75" customHeight="1">
      <c r="C882" s="37"/>
      <c r="D882" s="37"/>
    </row>
    <row r="883" ht="15.75" customHeight="1">
      <c r="C883" s="37"/>
      <c r="D883" s="37"/>
    </row>
    <row r="884" ht="15.75" customHeight="1">
      <c r="C884" s="37"/>
      <c r="D884" s="37"/>
    </row>
    <row r="885" ht="15.75" customHeight="1">
      <c r="C885" s="37"/>
      <c r="D885" s="37"/>
    </row>
    <row r="886" ht="15.75" customHeight="1">
      <c r="C886" s="37"/>
      <c r="D886" s="37"/>
    </row>
    <row r="887" ht="15.75" customHeight="1">
      <c r="C887" s="37"/>
      <c r="D887" s="37"/>
    </row>
    <row r="888" ht="15.75" customHeight="1">
      <c r="C888" s="37"/>
      <c r="D888" s="37"/>
    </row>
    <row r="889" ht="15.75" customHeight="1">
      <c r="C889" s="37"/>
      <c r="D889" s="37"/>
    </row>
    <row r="890" ht="15.75" customHeight="1">
      <c r="C890" s="37"/>
      <c r="D890" s="37"/>
    </row>
    <row r="891" ht="15.75" customHeight="1">
      <c r="C891" s="37"/>
      <c r="D891" s="37"/>
    </row>
    <row r="892" ht="15.75" customHeight="1">
      <c r="C892" s="37"/>
      <c r="D892" s="37"/>
    </row>
    <row r="893" ht="15.75" customHeight="1">
      <c r="C893" s="37"/>
      <c r="D893" s="37"/>
    </row>
    <row r="894" ht="15.75" customHeight="1">
      <c r="C894" s="37"/>
      <c r="D894" s="37"/>
    </row>
    <row r="895" ht="15.75" customHeight="1">
      <c r="C895" s="37"/>
      <c r="D895" s="37"/>
    </row>
    <row r="896" ht="15.75" customHeight="1">
      <c r="C896" s="37"/>
      <c r="D896" s="37"/>
    </row>
    <row r="897" ht="15.75" customHeight="1">
      <c r="C897" s="37"/>
      <c r="D897" s="37"/>
    </row>
    <row r="898" ht="15.75" customHeight="1">
      <c r="C898" s="37"/>
      <c r="D898" s="37"/>
    </row>
    <row r="899" ht="15.75" customHeight="1">
      <c r="C899" s="37"/>
      <c r="D899" s="37"/>
    </row>
    <row r="900" ht="15.75" customHeight="1">
      <c r="C900" s="37"/>
      <c r="D900" s="37"/>
    </row>
    <row r="901" ht="15.75" customHeight="1">
      <c r="C901" s="37"/>
      <c r="D901" s="37"/>
    </row>
    <row r="902" ht="15.75" customHeight="1">
      <c r="C902" s="37"/>
      <c r="D902" s="37"/>
    </row>
    <row r="903" ht="15.75" customHeight="1">
      <c r="C903" s="37"/>
      <c r="D903" s="37"/>
    </row>
    <row r="904" ht="15.75" customHeight="1">
      <c r="C904" s="37"/>
      <c r="D904" s="37"/>
    </row>
    <row r="905" ht="15.75" customHeight="1">
      <c r="C905" s="37"/>
      <c r="D905" s="37"/>
    </row>
    <row r="906" ht="15.75" customHeight="1">
      <c r="C906" s="37"/>
      <c r="D906" s="37"/>
    </row>
    <row r="907" ht="15.75" customHeight="1">
      <c r="C907" s="37"/>
      <c r="D907" s="37"/>
    </row>
    <row r="908" ht="15.75" customHeight="1">
      <c r="C908" s="37"/>
      <c r="D908" s="37"/>
    </row>
    <row r="909" ht="15.75" customHeight="1">
      <c r="C909" s="37"/>
      <c r="D909" s="37"/>
    </row>
    <row r="910" ht="15.75" customHeight="1">
      <c r="C910" s="37"/>
      <c r="D910" s="37"/>
    </row>
    <row r="911" ht="15.75" customHeight="1">
      <c r="C911" s="37"/>
      <c r="D911" s="37"/>
    </row>
    <row r="912" ht="15.75" customHeight="1">
      <c r="C912" s="37"/>
      <c r="D912" s="37"/>
    </row>
    <row r="913" ht="15.75" customHeight="1">
      <c r="C913" s="37"/>
      <c r="D913" s="37"/>
    </row>
    <row r="914" ht="15.75" customHeight="1">
      <c r="C914" s="37"/>
      <c r="D914" s="37"/>
    </row>
    <row r="915" ht="15.75" customHeight="1">
      <c r="C915" s="37"/>
      <c r="D915" s="37"/>
    </row>
    <row r="916" ht="15.75" customHeight="1">
      <c r="C916" s="37"/>
      <c r="D916" s="37"/>
    </row>
    <row r="917" ht="15.75" customHeight="1">
      <c r="C917" s="37"/>
      <c r="D917" s="37"/>
    </row>
    <row r="918" ht="15.75" customHeight="1">
      <c r="C918" s="37"/>
      <c r="D918" s="37"/>
    </row>
    <row r="919" ht="15.75" customHeight="1">
      <c r="C919" s="37"/>
      <c r="D919" s="37"/>
    </row>
    <row r="920" ht="15.75" customHeight="1">
      <c r="C920" s="37"/>
      <c r="D920" s="37"/>
    </row>
    <row r="921" ht="15.75" customHeight="1">
      <c r="C921" s="37"/>
      <c r="D921" s="37"/>
    </row>
    <row r="922" ht="15.75" customHeight="1">
      <c r="C922" s="37"/>
      <c r="D922" s="37"/>
    </row>
    <row r="923" ht="15.75" customHeight="1">
      <c r="C923" s="37"/>
      <c r="D923" s="37"/>
    </row>
    <row r="924" ht="15.75" customHeight="1">
      <c r="C924" s="37"/>
      <c r="D924" s="37"/>
    </row>
    <row r="925" ht="15.75" customHeight="1">
      <c r="C925" s="37"/>
      <c r="D925" s="37"/>
    </row>
    <row r="926" ht="15.75" customHeight="1">
      <c r="C926" s="37"/>
      <c r="D926" s="37"/>
    </row>
    <row r="927" ht="15.75" customHeight="1">
      <c r="C927" s="37"/>
      <c r="D927" s="37"/>
    </row>
    <row r="928" ht="15.75" customHeight="1">
      <c r="C928" s="37"/>
      <c r="D928" s="37"/>
    </row>
    <row r="929" ht="15.75" customHeight="1">
      <c r="C929" s="37"/>
      <c r="D929" s="37"/>
    </row>
    <row r="930" ht="15.75" customHeight="1">
      <c r="C930" s="37"/>
      <c r="D930" s="37"/>
    </row>
    <row r="931" ht="15.75" customHeight="1">
      <c r="C931" s="37"/>
      <c r="D931" s="37"/>
    </row>
    <row r="932" ht="15.75" customHeight="1">
      <c r="C932" s="37"/>
      <c r="D932" s="37"/>
    </row>
    <row r="933" ht="15.75" customHeight="1">
      <c r="C933" s="37"/>
      <c r="D933" s="37"/>
    </row>
    <row r="934" ht="15.75" customHeight="1">
      <c r="C934" s="37"/>
      <c r="D934" s="37"/>
    </row>
    <row r="935" ht="15.75" customHeight="1">
      <c r="C935" s="37"/>
      <c r="D935" s="37"/>
    </row>
    <row r="936" ht="15.75" customHeight="1">
      <c r="C936" s="37"/>
      <c r="D936" s="37"/>
    </row>
    <row r="937" ht="15.75" customHeight="1">
      <c r="C937" s="37"/>
      <c r="D937" s="37"/>
    </row>
    <row r="938" ht="15.75" customHeight="1">
      <c r="C938" s="37"/>
      <c r="D938" s="37"/>
    </row>
    <row r="939" ht="15.75" customHeight="1">
      <c r="C939" s="37"/>
      <c r="D939" s="37"/>
    </row>
    <row r="940" ht="15.75" customHeight="1">
      <c r="C940" s="37"/>
      <c r="D940" s="37"/>
    </row>
    <row r="941" ht="15.75" customHeight="1">
      <c r="C941" s="37"/>
      <c r="D941" s="37"/>
    </row>
    <row r="942" ht="15.75" customHeight="1">
      <c r="C942" s="37"/>
      <c r="D942" s="37"/>
    </row>
    <row r="943" ht="15.75" customHeight="1">
      <c r="C943" s="37"/>
      <c r="D943" s="37"/>
    </row>
    <row r="944" ht="15.75" customHeight="1">
      <c r="C944" s="37"/>
      <c r="D944" s="37"/>
    </row>
    <row r="945" ht="15.75" customHeight="1">
      <c r="C945" s="37"/>
      <c r="D945" s="37"/>
    </row>
    <row r="946" ht="15.75" customHeight="1">
      <c r="C946" s="37"/>
      <c r="D946" s="37"/>
    </row>
    <row r="947" ht="15.75" customHeight="1">
      <c r="C947" s="37"/>
      <c r="D947" s="37"/>
    </row>
    <row r="948" ht="15.75" customHeight="1">
      <c r="C948" s="37"/>
      <c r="D948" s="37"/>
    </row>
    <row r="949" ht="15.75" customHeight="1">
      <c r="C949" s="37"/>
      <c r="D949" s="37"/>
    </row>
    <row r="950" ht="15.75" customHeight="1">
      <c r="C950" s="37"/>
      <c r="D950" s="37"/>
    </row>
    <row r="951" ht="15.75" customHeight="1">
      <c r="C951" s="37"/>
      <c r="D951" s="37"/>
    </row>
    <row r="952" ht="15.75" customHeight="1">
      <c r="C952" s="37"/>
      <c r="D952" s="37"/>
    </row>
    <row r="953" ht="15.75" customHeight="1">
      <c r="C953" s="37"/>
      <c r="D953" s="37"/>
    </row>
    <row r="954" ht="15.75" customHeight="1">
      <c r="C954" s="37"/>
      <c r="D954" s="37"/>
    </row>
    <row r="955" ht="15.75" customHeight="1">
      <c r="C955" s="37"/>
      <c r="D955" s="37"/>
    </row>
    <row r="956" ht="15.75" customHeight="1">
      <c r="C956" s="37"/>
      <c r="D956" s="37"/>
    </row>
    <row r="957" ht="15.75" customHeight="1">
      <c r="C957" s="37"/>
      <c r="D957" s="37"/>
    </row>
    <row r="958" ht="15.75" customHeight="1">
      <c r="C958" s="37"/>
      <c r="D958" s="37"/>
    </row>
    <row r="959" ht="15.75" customHeight="1">
      <c r="C959" s="37"/>
      <c r="D959" s="37"/>
    </row>
    <row r="960" ht="15.75" customHeight="1">
      <c r="C960" s="37"/>
      <c r="D960" s="37"/>
    </row>
    <row r="961" ht="15.75" customHeight="1">
      <c r="C961" s="37"/>
      <c r="D961" s="37"/>
    </row>
    <row r="962" ht="15.75" customHeight="1">
      <c r="C962" s="37"/>
      <c r="D962" s="37"/>
    </row>
    <row r="963" ht="15.75" customHeight="1">
      <c r="C963" s="37"/>
      <c r="D963" s="37"/>
    </row>
    <row r="964" ht="15.75" customHeight="1">
      <c r="C964" s="37"/>
      <c r="D964" s="37"/>
    </row>
    <row r="965" ht="15.75" customHeight="1">
      <c r="C965" s="37"/>
      <c r="D965" s="37"/>
    </row>
    <row r="966" ht="15.75" customHeight="1">
      <c r="C966" s="37"/>
      <c r="D966" s="37"/>
    </row>
    <row r="967" ht="15.75" customHeight="1">
      <c r="C967" s="37"/>
      <c r="D967" s="37"/>
    </row>
    <row r="968" ht="15.75" customHeight="1">
      <c r="C968" s="37"/>
      <c r="D968" s="37"/>
    </row>
    <row r="969" ht="15.75" customHeight="1">
      <c r="C969" s="37"/>
      <c r="D969" s="37"/>
    </row>
    <row r="970" ht="15.75" customHeight="1">
      <c r="C970" s="37"/>
      <c r="D970" s="37"/>
    </row>
    <row r="971" ht="15.75" customHeight="1">
      <c r="C971" s="37"/>
      <c r="D971" s="37"/>
    </row>
    <row r="972" ht="15.75" customHeight="1">
      <c r="C972" s="37"/>
      <c r="D972" s="37"/>
    </row>
    <row r="973" ht="15.75" customHeight="1">
      <c r="C973" s="37"/>
      <c r="D973" s="37"/>
    </row>
    <row r="974" ht="15.75" customHeight="1">
      <c r="C974" s="37"/>
      <c r="D974" s="37"/>
    </row>
    <row r="975" ht="15.75" customHeight="1">
      <c r="C975" s="37"/>
      <c r="D975" s="37"/>
    </row>
    <row r="976" ht="15.75" customHeight="1">
      <c r="C976" s="37"/>
      <c r="D976" s="37"/>
    </row>
    <row r="977" ht="15.75" customHeight="1">
      <c r="C977" s="37"/>
      <c r="D977" s="37"/>
    </row>
    <row r="978" ht="15.75" customHeight="1">
      <c r="C978" s="37"/>
      <c r="D978" s="37"/>
    </row>
    <row r="979" ht="15.75" customHeight="1">
      <c r="C979" s="37"/>
      <c r="D979" s="37"/>
    </row>
    <row r="980" ht="15.75" customHeight="1">
      <c r="C980" s="37"/>
      <c r="D980" s="37"/>
    </row>
    <row r="981" ht="15.75" customHeight="1">
      <c r="C981" s="37"/>
      <c r="D981" s="37"/>
    </row>
    <row r="982" ht="15.75" customHeight="1">
      <c r="C982" s="37"/>
      <c r="D982" s="37"/>
    </row>
    <row r="983" ht="15.75" customHeight="1">
      <c r="C983" s="37"/>
      <c r="D983" s="37"/>
    </row>
    <row r="984" ht="15.75" customHeight="1">
      <c r="C984" s="37"/>
      <c r="D984" s="37"/>
    </row>
    <row r="985" ht="15.75" customHeight="1">
      <c r="C985" s="37"/>
      <c r="D985" s="37"/>
    </row>
    <row r="986" ht="15.75" customHeight="1">
      <c r="C986" s="37"/>
      <c r="D986" s="37"/>
    </row>
    <row r="987" ht="15.75" customHeight="1">
      <c r="C987" s="37"/>
      <c r="D987" s="37"/>
    </row>
    <row r="988" ht="15.75" customHeight="1">
      <c r="C988" s="37"/>
      <c r="D988" s="37"/>
    </row>
    <row r="989" ht="15.75" customHeight="1">
      <c r="C989" s="37"/>
      <c r="D989" s="37"/>
    </row>
    <row r="990" ht="15.75" customHeight="1">
      <c r="C990" s="37"/>
      <c r="D990" s="37"/>
    </row>
    <row r="991" ht="15.75" customHeight="1">
      <c r="C991" s="37"/>
      <c r="D991" s="37"/>
    </row>
    <row r="992" ht="15.75" customHeight="1">
      <c r="C992" s="37"/>
      <c r="D992" s="37"/>
    </row>
    <row r="993" ht="15.75" customHeight="1">
      <c r="C993" s="37"/>
      <c r="D993" s="37"/>
    </row>
    <row r="994" ht="15.75" customHeight="1">
      <c r="C994" s="37"/>
      <c r="D994" s="37"/>
    </row>
    <row r="995" ht="15.75" customHeight="1">
      <c r="C995" s="37"/>
      <c r="D995" s="37"/>
    </row>
    <row r="996" ht="15.75" customHeight="1">
      <c r="C996" s="37"/>
      <c r="D996" s="37"/>
    </row>
    <row r="997" ht="15.75" customHeight="1">
      <c r="C997" s="37"/>
      <c r="D997" s="37"/>
    </row>
    <row r="998" ht="15.75" customHeight="1">
      <c r="C998" s="37"/>
      <c r="D998" s="37"/>
    </row>
    <row r="999" ht="15.75" customHeight="1">
      <c r="C999" s="37"/>
      <c r="D999" s="37"/>
    </row>
    <row r="1000" ht="15.75" customHeight="1">
      <c r="C1000" s="37"/>
      <c r="D1000" s="37"/>
    </row>
  </sheetData>
  <printOptions/>
  <pageMargins bottom="0.75" footer="0.0" header="0.0" left="0.7" right="0.7" top="0.75"/>
  <pageSetup paperSize="9"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.71"/>
    <col customWidth="1" min="4" max="4" width="8.86"/>
    <col customWidth="1" min="5" max="5" width="8.71"/>
    <col customWidth="1" min="6" max="6" width="11.14"/>
    <col customWidth="1" min="7" max="26" width="8.71"/>
  </cols>
  <sheetData>
    <row r="1">
      <c r="A1" s="4" t="s">
        <v>22</v>
      </c>
      <c r="B1" s="4" t="s">
        <v>29</v>
      </c>
      <c r="C1" s="4" t="s">
        <v>36</v>
      </c>
      <c r="D1" s="37" t="s">
        <v>77</v>
      </c>
      <c r="E1" s="4" t="s">
        <v>42</v>
      </c>
      <c r="G1" s="4" t="s">
        <v>78</v>
      </c>
      <c r="H1" s="4" t="s">
        <v>79</v>
      </c>
      <c r="I1" s="4" t="s">
        <v>80</v>
      </c>
      <c r="J1" s="4" t="s">
        <v>81</v>
      </c>
    </row>
    <row r="2">
      <c r="A2" s="4">
        <v>1972.0</v>
      </c>
      <c r="B2" s="4">
        <v>1.0</v>
      </c>
      <c r="C2" s="4">
        <v>6.0</v>
      </c>
      <c r="D2" s="37">
        <v>0.01</v>
      </c>
      <c r="E2" s="4">
        <v>0.744372632048139</v>
      </c>
      <c r="F2" s="4">
        <f t="shared" ref="F2:F31" si="1">B2-I2</f>
        <v>-4.971544743</v>
      </c>
      <c r="G2" s="4">
        <v>20.61728858947754</v>
      </c>
      <c r="H2" s="4">
        <v>9.500896453857422</v>
      </c>
      <c r="I2" s="4">
        <v>5.9715447425842285</v>
      </c>
      <c r="J2" s="4">
        <v>7.3250346183776855</v>
      </c>
    </row>
    <row r="3">
      <c r="A3" s="4">
        <v>1973.0</v>
      </c>
      <c r="B3" s="4">
        <v>4.0</v>
      </c>
      <c r="C3" s="4">
        <v>3.0</v>
      </c>
      <c r="D3" s="37">
        <v>0.01</v>
      </c>
      <c r="E3" s="4">
        <v>1.898334290637564</v>
      </c>
      <c r="F3" s="4">
        <f t="shared" si="1"/>
        <v>-0.5084347725</v>
      </c>
      <c r="G3" s="4">
        <v>35.000328063964844</v>
      </c>
      <c r="H3" s="4">
        <v>9.500896453857422</v>
      </c>
      <c r="I3" s="4">
        <v>4.508434772491455</v>
      </c>
      <c r="J3" s="4">
        <v>16.293115615844727</v>
      </c>
    </row>
    <row r="4">
      <c r="A4" s="4">
        <v>1977.0</v>
      </c>
      <c r="B4" s="4">
        <v>26.0</v>
      </c>
      <c r="C4" s="4">
        <v>12.0</v>
      </c>
      <c r="D4" s="37">
        <v>0.17</v>
      </c>
      <c r="E4" s="4">
        <v>1.2598904443091907</v>
      </c>
      <c r="F4" s="4">
        <f t="shared" si="1"/>
        <v>6.381004333</v>
      </c>
      <c r="G4" s="4">
        <v>27.0427303314209</v>
      </c>
      <c r="H4" s="4">
        <v>21.126596450805664</v>
      </c>
      <c r="I4" s="4">
        <v>19.618995666503906</v>
      </c>
      <c r="J4" s="4">
        <v>22.359207153320312</v>
      </c>
    </row>
    <row r="5">
      <c r="A5" s="4">
        <v>1982.0</v>
      </c>
      <c r="B5" s="4">
        <v>22.0</v>
      </c>
      <c r="C5" s="4">
        <v>25.0</v>
      </c>
      <c r="D5" s="37">
        <v>0.08</v>
      </c>
      <c r="E5" s="4">
        <v>1.0813621003379257</v>
      </c>
      <c r="F5" s="4">
        <f t="shared" si="1"/>
        <v>2.071554184</v>
      </c>
      <c r="G5" s="4">
        <v>24.817543029785156</v>
      </c>
      <c r="H5" s="4">
        <v>14.587140083312988</v>
      </c>
      <c r="I5" s="4">
        <v>19.92844581604004</v>
      </c>
      <c r="J5" s="4">
        <v>16.151826858520508</v>
      </c>
    </row>
    <row r="6">
      <c r="A6" s="4">
        <v>1983.0</v>
      </c>
      <c r="B6" s="4">
        <v>31.0</v>
      </c>
      <c r="C6" s="4">
        <v>21.0</v>
      </c>
      <c r="D6" s="37">
        <v>0.33</v>
      </c>
      <c r="E6" s="4">
        <v>1.9275319275319276</v>
      </c>
      <c r="F6" s="4">
        <f t="shared" si="1"/>
        <v>-3.729557037</v>
      </c>
      <c r="G6" s="4">
        <v>35.36425018310547</v>
      </c>
      <c r="H6" s="4">
        <v>32.752296447753906</v>
      </c>
      <c r="I6" s="4">
        <v>34.729557037353516</v>
      </c>
      <c r="J6" s="4">
        <v>38.85744857788086</v>
      </c>
    </row>
    <row r="7">
      <c r="A7" s="4">
        <v>1984.0</v>
      </c>
      <c r="B7" s="4">
        <v>50.0</v>
      </c>
      <c r="C7" s="4">
        <v>29.0</v>
      </c>
      <c r="D7" s="37">
        <v>0.1</v>
      </c>
      <c r="E7" s="4">
        <v>1.4114030184460593</v>
      </c>
      <c r="F7" s="4">
        <f t="shared" si="1"/>
        <v>26.78058624</v>
      </c>
      <c r="G7" s="4">
        <v>28.931190490722656</v>
      </c>
      <c r="H7" s="4">
        <v>16.04035186767578</v>
      </c>
      <c r="I7" s="4">
        <v>23.21941375732422</v>
      </c>
      <c r="J7" s="4">
        <v>20.422300338745117</v>
      </c>
    </row>
    <row r="8">
      <c r="A8" s="4">
        <v>1987.0</v>
      </c>
      <c r="B8" s="4">
        <v>24.0</v>
      </c>
      <c r="C8" s="4">
        <v>24.0</v>
      </c>
      <c r="D8" s="37">
        <v>0.4166666666666667</v>
      </c>
      <c r="E8" s="4">
        <v>1.3608314387788236</v>
      </c>
      <c r="F8" s="4">
        <f t="shared" si="1"/>
        <v>-18</v>
      </c>
      <c r="G8" s="4">
        <v>28.30086326599121</v>
      </c>
      <c r="H8" s="4">
        <v>39.0495491027832</v>
      </c>
      <c r="I8" s="4">
        <v>42.0</v>
      </c>
      <c r="J8" s="4">
        <v>40.22340393066406</v>
      </c>
    </row>
    <row r="9">
      <c r="A9" s="4">
        <v>1991.0</v>
      </c>
      <c r="B9" s="4">
        <v>10.0</v>
      </c>
      <c r="C9" s="4">
        <v>19.0</v>
      </c>
      <c r="D9" s="37">
        <v>0.23</v>
      </c>
      <c r="E9" s="4">
        <v>2.050704225352112</v>
      </c>
      <c r="F9" s="4">
        <f t="shared" si="1"/>
        <v>-17.05338097</v>
      </c>
      <c r="G9" s="4">
        <v>36.89947509765625</v>
      </c>
      <c r="H9" s="4">
        <v>25.48623275756836</v>
      </c>
      <c r="I9" s="4">
        <v>27.053380966186523</v>
      </c>
      <c r="J9" s="4">
        <v>33.163673400878906</v>
      </c>
    </row>
    <row r="10">
      <c r="A10" s="4">
        <v>1992.0</v>
      </c>
      <c r="B10" s="4">
        <v>5.0</v>
      </c>
      <c r="C10" s="4">
        <v>1.0</v>
      </c>
      <c r="D10" s="37">
        <v>0.01</v>
      </c>
      <c r="E10" s="4">
        <v>0.12414383561643832</v>
      </c>
      <c r="F10" s="4">
        <f t="shared" si="1"/>
        <v>1.466971874</v>
      </c>
      <c r="G10" s="4">
        <v>12.886723518371582</v>
      </c>
      <c r="H10" s="4">
        <v>9.500896453857422</v>
      </c>
      <c r="I10" s="4">
        <v>3.5330281257629395</v>
      </c>
      <c r="J10" s="4">
        <v>1.956048607826233</v>
      </c>
    </row>
    <row r="11">
      <c r="A11" s="4">
        <v>1993.0</v>
      </c>
      <c r="B11" s="4">
        <v>25.0</v>
      </c>
      <c r="C11" s="4">
        <v>25.0</v>
      </c>
      <c r="D11" s="37">
        <v>0.36</v>
      </c>
      <c r="E11" s="4">
        <v>1.3618441006976039</v>
      </c>
      <c r="F11" s="4">
        <f t="shared" si="1"/>
        <v>-13.69060135</v>
      </c>
      <c r="G11" s="4">
        <v>28.313486099243164</v>
      </c>
      <c r="H11" s="4">
        <v>34.93211364746094</v>
      </c>
      <c r="I11" s="4">
        <v>38.69060134887695</v>
      </c>
      <c r="J11" s="4">
        <v>36.62459182739258</v>
      </c>
    </row>
    <row r="12">
      <c r="A12" s="4">
        <v>1994.0</v>
      </c>
      <c r="B12" s="4">
        <v>17.0</v>
      </c>
      <c r="C12" s="4">
        <v>20.0</v>
      </c>
      <c r="D12" s="37">
        <v>0.2</v>
      </c>
      <c r="E12" s="4">
        <v>1.2424969987995198</v>
      </c>
      <c r="F12" s="4">
        <f t="shared" si="1"/>
        <v>-8.530853271</v>
      </c>
      <c r="G12" s="4">
        <v>26.825937271118164</v>
      </c>
      <c r="H12" s="4">
        <v>23.306413650512695</v>
      </c>
      <c r="I12" s="4">
        <v>25.530853271484375</v>
      </c>
      <c r="J12" s="4">
        <v>24.837770462036133</v>
      </c>
    </row>
    <row r="13">
      <c r="A13" s="4">
        <v>1995.0</v>
      </c>
      <c r="B13" s="4">
        <v>11.0</v>
      </c>
      <c r="C13" s="4">
        <v>18.0</v>
      </c>
      <c r="D13" s="37">
        <v>0.01</v>
      </c>
      <c r="E13" s="4">
        <v>0.7735961768219833</v>
      </c>
      <c r="F13" s="4">
        <f t="shared" si="1"/>
        <v>-0.8239841461</v>
      </c>
      <c r="G13" s="4">
        <v>20.981531143188477</v>
      </c>
      <c r="H13" s="4">
        <v>9.500896453857422</v>
      </c>
      <c r="I13" s="4">
        <v>11.823984146118164</v>
      </c>
      <c r="J13" s="4">
        <v>8.554471015930176</v>
      </c>
    </row>
    <row r="14">
      <c r="A14" s="4">
        <v>1996.0</v>
      </c>
      <c r="B14" s="4">
        <v>26.0</v>
      </c>
      <c r="C14" s="4">
        <v>20.0</v>
      </c>
      <c r="D14" s="37">
        <v>0.4</v>
      </c>
      <c r="E14" s="4">
        <v>0.5989304812834225</v>
      </c>
      <c r="F14" s="4">
        <f t="shared" si="1"/>
        <v>-12.93239212</v>
      </c>
      <c r="G14" s="4">
        <v>18.804489135742188</v>
      </c>
      <c r="H14" s="4">
        <v>37.838539123535156</v>
      </c>
      <c r="I14" s="4">
        <v>38.93239212036133</v>
      </c>
      <c r="J14" s="4">
        <v>32.7205696105957</v>
      </c>
    </row>
    <row r="15">
      <c r="A15" s="4">
        <v>1997.0</v>
      </c>
      <c r="B15" s="4">
        <v>1.0</v>
      </c>
      <c r="C15" s="4">
        <v>5.0</v>
      </c>
      <c r="D15" s="37">
        <v>0.01</v>
      </c>
      <c r="E15" s="4">
        <v>0.17518248175182483</v>
      </c>
      <c r="F15" s="4">
        <f t="shared" si="1"/>
        <v>-4.483841419</v>
      </c>
      <c r="G15" s="4">
        <v>13.522871971130371</v>
      </c>
      <c r="H15" s="4">
        <v>9.500896453857422</v>
      </c>
      <c r="I15" s="4">
        <v>5.483841419219971</v>
      </c>
      <c r="J15" s="4">
        <v>2.6957175731658936</v>
      </c>
    </row>
    <row r="16">
      <c r="A16" s="4">
        <v>1998.0</v>
      </c>
      <c r="B16" s="4">
        <v>18.0</v>
      </c>
      <c r="C16" s="4">
        <v>28.0</v>
      </c>
      <c r="D16" s="37">
        <v>0.32142857142857145</v>
      </c>
      <c r="E16" s="4">
        <v>1.9972752043596729</v>
      </c>
      <c r="F16" s="4">
        <f t="shared" si="1"/>
        <v>-19.56912994</v>
      </c>
      <c r="G16" s="4">
        <v>36.2335319519043</v>
      </c>
      <c r="H16" s="4">
        <v>32.12948989868164</v>
      </c>
      <c r="I16" s="4">
        <v>37.569129943847656</v>
      </c>
      <c r="J16" s="4">
        <v>39.43738555908203</v>
      </c>
    </row>
    <row r="17">
      <c r="A17" s="4">
        <v>2004.0</v>
      </c>
      <c r="B17" s="4">
        <v>62.0</v>
      </c>
      <c r="C17" s="4">
        <v>16.0</v>
      </c>
      <c r="D17" s="37">
        <v>0.1875</v>
      </c>
      <c r="E17" s="4">
        <v>1.9853905225697694</v>
      </c>
      <c r="F17" s="4">
        <f t="shared" si="1"/>
        <v>39.25755692</v>
      </c>
      <c r="G17" s="4">
        <v>36.08539962768555</v>
      </c>
      <c r="H17" s="4">
        <v>22.398157119750977</v>
      </c>
      <c r="I17" s="4">
        <v>22.742443084716797</v>
      </c>
      <c r="J17" s="4">
        <v>29.625558853149414</v>
      </c>
    </row>
    <row r="18">
      <c r="A18" s="4">
        <v>2005.0</v>
      </c>
      <c r="B18" s="4">
        <v>2.0</v>
      </c>
      <c r="C18" s="4">
        <v>11.0</v>
      </c>
      <c r="D18" s="37">
        <v>0.09090909090909091</v>
      </c>
      <c r="E18" s="4">
        <v>0.2850627137970354</v>
      </c>
      <c r="F18" s="4">
        <f t="shared" si="1"/>
        <v>-11.83159256</v>
      </c>
      <c r="G18" s="4">
        <v>14.892424583435059</v>
      </c>
      <c r="H18" s="4">
        <v>15.379801750183105</v>
      </c>
      <c r="I18" s="4">
        <v>13.831592559814453</v>
      </c>
      <c r="J18" s="4">
        <v>9.339847564697266</v>
      </c>
    </row>
    <row r="19">
      <c r="A19" s="4">
        <v>2006.0</v>
      </c>
      <c r="B19" s="4">
        <v>10.0</v>
      </c>
      <c r="C19" s="4">
        <v>15.0</v>
      </c>
      <c r="D19" s="37">
        <v>0.2</v>
      </c>
      <c r="E19" s="4">
        <v>0.4152580722442571</v>
      </c>
      <c r="F19" s="4">
        <f t="shared" si="1"/>
        <v>-13.09233665</v>
      </c>
      <c r="G19" s="4">
        <v>16.515186309814453</v>
      </c>
      <c r="H19" s="4">
        <v>23.306413650512695</v>
      </c>
      <c r="I19" s="4">
        <v>23.092336654663086</v>
      </c>
      <c r="J19" s="4">
        <v>17.815322875976562</v>
      </c>
    </row>
    <row r="20">
      <c r="A20" s="4">
        <v>2007.0</v>
      </c>
      <c r="B20" s="4">
        <v>13.0</v>
      </c>
      <c r="C20" s="4">
        <v>14.0</v>
      </c>
      <c r="D20" s="37">
        <v>0.2857142857142857</v>
      </c>
      <c r="E20" s="4">
        <v>0.7886435331230285</v>
      </c>
      <c r="F20" s="4">
        <f t="shared" si="1"/>
        <v>-15.34815025</v>
      </c>
      <c r="G20" s="4">
        <v>21.169082641601562</v>
      </c>
      <c r="H20" s="4">
        <v>29.534467697143555</v>
      </c>
      <c r="I20" s="4">
        <v>28.3481502532959</v>
      </c>
      <c r="J20" s="4">
        <v>26.296043395996094</v>
      </c>
    </row>
    <row r="21" ht="15.75" customHeight="1">
      <c r="A21" s="4">
        <v>2008.0</v>
      </c>
      <c r="B21" s="4">
        <v>39.0</v>
      </c>
      <c r="C21" s="4">
        <v>23.0</v>
      </c>
      <c r="D21" s="37">
        <v>0.17391304347826086</v>
      </c>
      <c r="E21" s="4">
        <v>2.7391487117722</v>
      </c>
      <c r="F21" s="4">
        <f t="shared" si="1"/>
        <v>13.75406456</v>
      </c>
      <c r="G21" s="4">
        <v>45.480281829833984</v>
      </c>
      <c r="H21" s="4">
        <v>21.410919189453125</v>
      </c>
      <c r="I21" s="4">
        <v>25.245935440063477</v>
      </c>
      <c r="J21" s="4">
        <v>35.34236526489258</v>
      </c>
    </row>
    <row r="22" ht="15.75" customHeight="1">
      <c r="A22" s="4">
        <v>2009.0</v>
      </c>
      <c r="B22" s="4">
        <v>16.0</v>
      </c>
      <c r="C22" s="4">
        <v>19.0</v>
      </c>
      <c r="D22" s="37">
        <v>0.15789473684210525</v>
      </c>
      <c r="E22" s="4">
        <v>0.8957444981827547</v>
      </c>
      <c r="F22" s="4">
        <f t="shared" si="1"/>
        <v>-6.221773148</v>
      </c>
      <c r="G22" s="4">
        <v>22.503995895385742</v>
      </c>
      <c r="H22" s="4">
        <v>20.247020721435547</v>
      </c>
      <c r="I22" s="4">
        <v>22.221773147583008</v>
      </c>
      <c r="J22" s="4">
        <v>19.2434139251709</v>
      </c>
    </row>
    <row r="23" ht="15.75" customHeight="1">
      <c r="A23" s="4">
        <v>2010.0</v>
      </c>
      <c r="B23" s="4">
        <v>1.0</v>
      </c>
      <c r="C23" s="4">
        <v>1.0</v>
      </c>
      <c r="D23" s="37">
        <v>0.01</v>
      </c>
      <c r="E23" s="4">
        <v>0.13660968904219534</v>
      </c>
      <c r="F23" s="4">
        <f t="shared" si="1"/>
        <v>-2.533028126</v>
      </c>
      <c r="G23" s="4">
        <v>13.042098045349121</v>
      </c>
      <c r="H23" s="4">
        <v>9.500896453857422</v>
      </c>
      <c r="I23" s="4">
        <v>3.5330281257629395</v>
      </c>
      <c r="J23" s="4">
        <v>2.055617570877075</v>
      </c>
    </row>
    <row r="24" ht="15.75" customHeight="1">
      <c r="A24" s="4">
        <v>2011.0</v>
      </c>
      <c r="B24" s="4">
        <v>7.0</v>
      </c>
      <c r="C24" s="4">
        <v>8.0</v>
      </c>
      <c r="D24" s="37">
        <v>0.01</v>
      </c>
      <c r="E24" s="4">
        <v>0.009013678256754627</v>
      </c>
      <c r="F24" s="4">
        <f t="shared" si="1"/>
        <v>0.05304861069</v>
      </c>
      <c r="G24" s="4">
        <v>11.45173454284668</v>
      </c>
      <c r="H24" s="4">
        <v>9.500896453857422</v>
      </c>
      <c r="I24" s="4">
        <v>6.946951389312744</v>
      </c>
      <c r="J24" s="4">
        <v>1.6174750328063965</v>
      </c>
    </row>
    <row r="25" ht="15.75" customHeight="1">
      <c r="A25" s="4">
        <v>2012.0</v>
      </c>
      <c r="B25" s="4">
        <v>61.0</v>
      </c>
      <c r="C25" s="4">
        <v>10.0</v>
      </c>
      <c r="D25" s="37">
        <v>0.6</v>
      </c>
      <c r="E25" s="4">
        <v>0.6822962088955009</v>
      </c>
      <c r="F25" s="4">
        <f t="shared" si="1"/>
        <v>13.54310226</v>
      </c>
      <c r="G25" s="4">
        <v>19.843564987182617</v>
      </c>
      <c r="H25" s="4">
        <v>52.370662689208984</v>
      </c>
      <c r="I25" s="4">
        <v>47.4568977355957</v>
      </c>
      <c r="J25" s="4">
        <v>45.57960891723633</v>
      </c>
    </row>
    <row r="26" ht="15.75" customHeight="1">
      <c r="A26" s="4">
        <v>2013.0</v>
      </c>
      <c r="B26" s="4">
        <v>66.0</v>
      </c>
      <c r="C26" s="4">
        <v>12.0</v>
      </c>
      <c r="D26" s="37">
        <v>0.8333333333333334</v>
      </c>
      <c r="E26" s="4">
        <v>0.8372450520189957</v>
      </c>
      <c r="F26" s="4">
        <f t="shared" si="1"/>
        <v>1.932563782</v>
      </c>
      <c r="G26" s="4">
        <v>21.77485466003418</v>
      </c>
      <c r="H26" s="4">
        <v>69.3248062133789</v>
      </c>
      <c r="I26" s="4">
        <v>64.06743621826172</v>
      </c>
      <c r="J26" s="4">
        <v>62.17695617675781</v>
      </c>
    </row>
    <row r="27" ht="15.75" customHeight="1">
      <c r="A27" s="4">
        <v>2014.0</v>
      </c>
      <c r="B27" s="4">
        <v>16.0</v>
      </c>
      <c r="C27" s="4">
        <v>14.0</v>
      </c>
      <c r="D27" s="37">
        <v>0.01</v>
      </c>
      <c r="E27" s="4">
        <v>0.17646020822304573</v>
      </c>
      <c r="F27" s="4">
        <f t="shared" si="1"/>
        <v>6.126829147</v>
      </c>
      <c r="G27" s="4">
        <v>13.538797378540039</v>
      </c>
      <c r="H27" s="4">
        <v>9.500896453857422</v>
      </c>
      <c r="I27" s="4">
        <v>9.873170852661133</v>
      </c>
      <c r="J27" s="4">
        <v>3.4529361724853516</v>
      </c>
    </row>
    <row r="28" ht="15.75" customHeight="1">
      <c r="A28" s="4">
        <v>2015.0</v>
      </c>
      <c r="B28" s="4">
        <v>57.0</v>
      </c>
      <c r="C28" s="4">
        <v>14.0</v>
      </c>
      <c r="D28" s="37">
        <v>0.6428571428571429</v>
      </c>
      <c r="E28" s="4">
        <v>0.7051225076289516</v>
      </c>
      <c r="F28" s="4">
        <f t="shared" si="1"/>
        <v>4.720531464</v>
      </c>
      <c r="G28" s="4">
        <v>20.12807273864746</v>
      </c>
      <c r="H28" s="4">
        <v>55.48468780517578</v>
      </c>
      <c r="I28" s="4">
        <v>52.27946853637695</v>
      </c>
      <c r="J28" s="4">
        <v>48.884620666503906</v>
      </c>
    </row>
    <row r="29" ht="15.75" customHeight="1">
      <c r="A29" s="4">
        <v>2016.0</v>
      </c>
      <c r="B29" s="4">
        <v>54.0</v>
      </c>
      <c r="C29" s="4">
        <v>12.0</v>
      </c>
      <c r="D29" s="37">
        <v>0.3333333333333333</v>
      </c>
      <c r="E29" s="4">
        <v>2.460507924787046</v>
      </c>
      <c r="F29" s="4">
        <f t="shared" si="1"/>
        <v>23.43641472</v>
      </c>
      <c r="G29" s="4">
        <v>42.00728988647461</v>
      </c>
      <c r="H29" s="4">
        <v>32.9944953918457</v>
      </c>
      <c r="I29" s="4">
        <v>30.56358528137207</v>
      </c>
      <c r="J29" s="4">
        <v>42.58454895019531</v>
      </c>
    </row>
    <row r="30" ht="15.75" customHeight="1">
      <c r="A30" s="4">
        <v>2017.0</v>
      </c>
      <c r="B30" s="4">
        <v>59.0</v>
      </c>
      <c r="C30" s="4">
        <v>32.0</v>
      </c>
      <c r="D30" s="37">
        <v>0.40625</v>
      </c>
      <c r="E30" s="4">
        <v>2.3816965681065194</v>
      </c>
      <c r="F30" s="4">
        <f t="shared" si="1"/>
        <v>13.79637146</v>
      </c>
      <c r="G30" s="4">
        <v>41.02498245239258</v>
      </c>
      <c r="H30" s="4">
        <v>38.292667388916016</v>
      </c>
      <c r="I30" s="4">
        <v>45.20362854003906</v>
      </c>
      <c r="J30" s="4">
        <v>48.363121032714844</v>
      </c>
    </row>
    <row r="31" ht="15.75" customHeight="1">
      <c r="A31" s="4">
        <v>2002.0</v>
      </c>
      <c r="B31" s="4">
        <v>3.0</v>
      </c>
      <c r="C31" s="4">
        <v>6.0</v>
      </c>
      <c r="D31" s="37">
        <v>0.01</v>
      </c>
      <c r="E31" s="4">
        <v>1.821258</v>
      </c>
      <c r="F31" s="4">
        <f t="shared" si="1"/>
        <v>-22.53085327</v>
      </c>
      <c r="G31" s="4">
        <v>26.2335319519042</v>
      </c>
      <c r="H31" s="4">
        <v>22.1294898986816</v>
      </c>
      <c r="I31" s="4">
        <v>25.530853271484375</v>
      </c>
      <c r="J31" s="4">
        <v>24.437385559082</v>
      </c>
    </row>
    <row r="32" ht="15.75" customHeight="1">
      <c r="D32" s="37"/>
    </row>
    <row r="33" ht="15.75" customHeight="1">
      <c r="D33" s="37"/>
    </row>
    <row r="34" ht="15.75" customHeight="1">
      <c r="D34" s="37"/>
    </row>
    <row r="35" ht="15.75" customHeight="1">
      <c r="D35" s="37"/>
    </row>
    <row r="36" ht="15.75" customHeight="1">
      <c r="D36" s="37"/>
    </row>
    <row r="37" ht="15.75" customHeight="1">
      <c r="D37" s="37"/>
    </row>
    <row r="38" ht="15.75" customHeight="1">
      <c r="D38" s="37"/>
    </row>
    <row r="39" ht="15.75" customHeight="1">
      <c r="D39" s="37"/>
    </row>
    <row r="40" ht="15.75" customHeight="1">
      <c r="D40" s="37"/>
    </row>
    <row r="41" ht="15.75" customHeight="1">
      <c r="D41" s="37"/>
    </row>
    <row r="42" ht="15.75" customHeight="1">
      <c r="D42" s="37"/>
    </row>
    <row r="43" ht="15.75" customHeight="1">
      <c r="D43" s="37"/>
    </row>
    <row r="44" ht="15.75" customHeight="1">
      <c r="D44" s="37"/>
    </row>
    <row r="45" ht="15.75" customHeight="1">
      <c r="D45" s="37"/>
    </row>
    <row r="46" ht="15.75" customHeight="1">
      <c r="D46" s="37"/>
    </row>
    <row r="47" ht="15.75" customHeight="1">
      <c r="D47" s="37"/>
    </row>
    <row r="48" ht="15.75" customHeight="1">
      <c r="D48" s="37"/>
    </row>
    <row r="49" ht="15.75" customHeight="1">
      <c r="D49" s="37"/>
    </row>
    <row r="50" ht="15.75" customHeight="1">
      <c r="D50" s="37"/>
    </row>
    <row r="51" ht="15.75" customHeight="1">
      <c r="D51" s="37"/>
    </row>
    <row r="52" ht="15.75" customHeight="1">
      <c r="D52" s="37"/>
    </row>
    <row r="53" ht="15.75" customHeight="1">
      <c r="D53" s="37"/>
    </row>
    <row r="54" ht="15.75" customHeight="1">
      <c r="D54" s="37"/>
    </row>
    <row r="55" ht="15.75" customHeight="1">
      <c r="D55" s="37"/>
    </row>
    <row r="56" ht="15.75" customHeight="1">
      <c r="D56" s="37"/>
    </row>
    <row r="57" ht="15.75" customHeight="1">
      <c r="D57" s="37"/>
    </row>
    <row r="58" ht="15.75" customHeight="1">
      <c r="D58" s="37"/>
    </row>
    <row r="59" ht="15.75" customHeight="1">
      <c r="D59" s="37"/>
    </row>
    <row r="60" ht="15.75" customHeight="1">
      <c r="D60" s="37"/>
    </row>
    <row r="61" ht="15.75" customHeight="1">
      <c r="D61" s="37"/>
    </row>
    <row r="62" ht="15.75" customHeight="1">
      <c r="D62" s="37"/>
    </row>
    <row r="63" ht="15.75" customHeight="1">
      <c r="D63" s="37"/>
    </row>
    <row r="64" ht="15.75" customHeight="1">
      <c r="D64" s="37"/>
    </row>
    <row r="65" ht="15.75" customHeight="1">
      <c r="D65" s="37"/>
    </row>
    <row r="66" ht="15.75" customHeight="1">
      <c r="D66" s="37"/>
    </row>
    <row r="67" ht="15.75" customHeight="1">
      <c r="D67" s="37"/>
    </row>
    <row r="68" ht="15.75" customHeight="1">
      <c r="D68" s="37"/>
    </row>
    <row r="69" ht="15.75" customHeight="1">
      <c r="D69" s="37"/>
    </row>
    <row r="70" ht="15.75" customHeight="1">
      <c r="D70" s="37"/>
    </row>
    <row r="71" ht="15.75" customHeight="1">
      <c r="D71" s="37"/>
    </row>
    <row r="72" ht="15.75" customHeight="1">
      <c r="D72" s="37"/>
    </row>
    <row r="73" ht="15.75" customHeight="1">
      <c r="D73" s="37"/>
    </row>
    <row r="74" ht="15.75" customHeight="1">
      <c r="D74" s="37"/>
    </row>
    <row r="75" ht="15.75" customHeight="1">
      <c r="D75" s="37"/>
    </row>
    <row r="76" ht="15.75" customHeight="1">
      <c r="D76" s="37"/>
    </row>
    <row r="77" ht="15.75" customHeight="1">
      <c r="D77" s="37"/>
    </row>
    <row r="78" ht="15.75" customHeight="1">
      <c r="D78" s="37"/>
    </row>
    <row r="79" ht="15.75" customHeight="1">
      <c r="D79" s="37"/>
    </row>
    <row r="80" ht="15.75" customHeight="1">
      <c r="D80" s="37"/>
    </row>
    <row r="81" ht="15.75" customHeight="1">
      <c r="D81" s="37"/>
    </row>
    <row r="82" ht="15.75" customHeight="1">
      <c r="D82" s="37"/>
    </row>
    <row r="83" ht="15.75" customHeight="1">
      <c r="D83" s="37"/>
    </row>
    <row r="84" ht="15.75" customHeight="1">
      <c r="D84" s="37"/>
    </row>
    <row r="85" ht="15.75" customHeight="1">
      <c r="D85" s="37"/>
    </row>
    <row r="86" ht="15.75" customHeight="1">
      <c r="D86" s="37"/>
    </row>
    <row r="87" ht="15.75" customHeight="1">
      <c r="D87" s="37"/>
    </row>
    <row r="88" ht="15.75" customHeight="1">
      <c r="D88" s="37"/>
    </row>
    <row r="89" ht="15.75" customHeight="1">
      <c r="D89" s="37"/>
    </row>
    <row r="90" ht="15.75" customHeight="1">
      <c r="D90" s="37"/>
    </row>
    <row r="91" ht="15.75" customHeight="1">
      <c r="D91" s="37"/>
    </row>
    <row r="92" ht="15.75" customHeight="1">
      <c r="D92" s="37"/>
    </row>
    <row r="93" ht="15.75" customHeight="1">
      <c r="D93" s="37"/>
    </row>
    <row r="94" ht="15.75" customHeight="1">
      <c r="D94" s="37"/>
    </row>
    <row r="95" ht="15.75" customHeight="1">
      <c r="D95" s="37"/>
    </row>
    <row r="96" ht="15.75" customHeight="1">
      <c r="D96" s="37"/>
    </row>
    <row r="97" ht="15.75" customHeight="1">
      <c r="D97" s="37"/>
    </row>
    <row r="98" ht="15.75" customHeight="1">
      <c r="D98" s="37"/>
    </row>
    <row r="99" ht="15.75" customHeight="1">
      <c r="D99" s="37"/>
    </row>
    <row r="100" ht="15.75" customHeight="1">
      <c r="D100" s="37"/>
    </row>
    <row r="101" ht="15.75" customHeight="1">
      <c r="D101" s="37"/>
    </row>
    <row r="102" ht="15.75" customHeight="1">
      <c r="D102" s="37"/>
    </row>
    <row r="103" ht="15.75" customHeight="1">
      <c r="D103" s="37"/>
    </row>
    <row r="104" ht="15.75" customHeight="1">
      <c r="D104" s="37"/>
    </row>
    <row r="105" ht="15.75" customHeight="1">
      <c r="D105" s="37"/>
    </row>
    <row r="106" ht="15.75" customHeight="1">
      <c r="D106" s="37"/>
    </row>
    <row r="107" ht="15.75" customHeight="1">
      <c r="D107" s="37"/>
    </row>
    <row r="108" ht="15.75" customHeight="1">
      <c r="D108" s="37"/>
    </row>
    <row r="109" ht="15.75" customHeight="1">
      <c r="D109" s="37"/>
    </row>
    <row r="110" ht="15.75" customHeight="1">
      <c r="D110" s="37"/>
    </row>
    <row r="111" ht="15.75" customHeight="1">
      <c r="D111" s="37"/>
    </row>
    <row r="112" ht="15.75" customHeight="1">
      <c r="D112" s="37"/>
    </row>
    <row r="113" ht="15.75" customHeight="1">
      <c r="D113" s="37"/>
    </row>
    <row r="114" ht="15.75" customHeight="1">
      <c r="D114" s="37"/>
    </row>
    <row r="115" ht="15.75" customHeight="1">
      <c r="D115" s="37"/>
    </row>
    <row r="116" ht="15.75" customHeight="1">
      <c r="D116" s="37"/>
    </row>
    <row r="117" ht="15.75" customHeight="1">
      <c r="D117" s="37"/>
    </row>
    <row r="118" ht="15.75" customHeight="1">
      <c r="D118" s="37"/>
    </row>
    <row r="119" ht="15.75" customHeight="1">
      <c r="D119" s="37"/>
    </row>
    <row r="120" ht="15.75" customHeight="1">
      <c r="D120" s="37"/>
    </row>
    <row r="121" ht="15.75" customHeight="1">
      <c r="D121" s="37"/>
    </row>
    <row r="122" ht="15.75" customHeight="1">
      <c r="D122" s="37"/>
    </row>
    <row r="123" ht="15.75" customHeight="1">
      <c r="D123" s="37"/>
    </row>
    <row r="124" ht="15.75" customHeight="1">
      <c r="D124" s="37"/>
    </row>
    <row r="125" ht="15.75" customHeight="1">
      <c r="D125" s="37"/>
    </row>
    <row r="126" ht="15.75" customHeight="1">
      <c r="D126" s="37"/>
    </row>
    <row r="127" ht="15.75" customHeight="1">
      <c r="D127" s="37"/>
    </row>
    <row r="128" ht="15.75" customHeight="1">
      <c r="D128" s="37"/>
    </row>
    <row r="129" ht="15.75" customHeight="1">
      <c r="D129" s="37"/>
    </row>
    <row r="130" ht="15.75" customHeight="1">
      <c r="D130" s="37"/>
    </row>
    <row r="131" ht="15.75" customHeight="1">
      <c r="D131" s="37"/>
    </row>
    <row r="132" ht="15.75" customHeight="1">
      <c r="D132" s="37"/>
    </row>
    <row r="133" ht="15.75" customHeight="1">
      <c r="D133" s="37"/>
    </row>
    <row r="134" ht="15.75" customHeight="1">
      <c r="D134" s="37"/>
    </row>
    <row r="135" ht="15.75" customHeight="1">
      <c r="D135" s="37"/>
    </row>
    <row r="136" ht="15.75" customHeight="1">
      <c r="D136" s="37"/>
    </row>
    <row r="137" ht="15.75" customHeight="1">
      <c r="D137" s="37"/>
    </row>
    <row r="138" ht="15.75" customHeight="1">
      <c r="D138" s="37"/>
    </row>
    <row r="139" ht="15.75" customHeight="1">
      <c r="D139" s="37"/>
    </row>
    <row r="140" ht="15.75" customHeight="1">
      <c r="D140" s="37"/>
    </row>
    <row r="141" ht="15.75" customHeight="1">
      <c r="D141" s="37"/>
    </row>
    <row r="142" ht="15.75" customHeight="1">
      <c r="D142" s="37"/>
    </row>
    <row r="143" ht="15.75" customHeight="1">
      <c r="D143" s="37"/>
    </row>
    <row r="144" ht="15.75" customHeight="1">
      <c r="D144" s="37"/>
    </row>
    <row r="145" ht="15.75" customHeight="1">
      <c r="D145" s="37"/>
    </row>
    <row r="146" ht="15.75" customHeight="1">
      <c r="D146" s="37"/>
    </row>
    <row r="147" ht="15.75" customHeight="1">
      <c r="D147" s="37"/>
    </row>
    <row r="148" ht="15.75" customHeight="1">
      <c r="D148" s="37"/>
    </row>
    <row r="149" ht="15.75" customHeight="1">
      <c r="D149" s="37"/>
    </row>
    <row r="150" ht="15.75" customHeight="1">
      <c r="D150" s="37"/>
    </row>
    <row r="151" ht="15.75" customHeight="1">
      <c r="D151" s="37"/>
    </row>
    <row r="152" ht="15.75" customHeight="1">
      <c r="D152" s="37"/>
    </row>
    <row r="153" ht="15.75" customHeight="1">
      <c r="D153" s="37"/>
    </row>
    <row r="154" ht="15.75" customHeight="1">
      <c r="D154" s="37"/>
    </row>
    <row r="155" ht="15.75" customHeight="1">
      <c r="D155" s="37"/>
    </row>
    <row r="156" ht="15.75" customHeight="1">
      <c r="D156" s="37"/>
    </row>
    <row r="157" ht="15.75" customHeight="1">
      <c r="D157" s="37"/>
    </row>
    <row r="158" ht="15.75" customHeight="1">
      <c r="D158" s="37"/>
    </row>
    <row r="159" ht="15.75" customHeight="1">
      <c r="D159" s="37"/>
    </row>
    <row r="160" ht="15.75" customHeight="1">
      <c r="D160" s="37"/>
    </row>
    <row r="161" ht="15.75" customHeight="1">
      <c r="D161" s="37"/>
    </row>
    <row r="162" ht="15.75" customHeight="1">
      <c r="D162" s="37"/>
    </row>
    <row r="163" ht="15.75" customHeight="1">
      <c r="D163" s="37"/>
    </row>
    <row r="164" ht="15.75" customHeight="1">
      <c r="D164" s="37"/>
    </row>
    <row r="165" ht="15.75" customHeight="1">
      <c r="D165" s="37"/>
    </row>
    <row r="166" ht="15.75" customHeight="1">
      <c r="D166" s="37"/>
    </row>
    <row r="167" ht="15.75" customHeight="1">
      <c r="D167" s="37"/>
    </row>
    <row r="168" ht="15.75" customHeight="1">
      <c r="D168" s="37"/>
    </row>
    <row r="169" ht="15.75" customHeight="1">
      <c r="D169" s="37"/>
    </row>
    <row r="170" ht="15.75" customHeight="1">
      <c r="D170" s="37"/>
    </row>
    <row r="171" ht="15.75" customHeight="1">
      <c r="D171" s="37"/>
    </row>
    <row r="172" ht="15.75" customHeight="1">
      <c r="D172" s="37"/>
    </row>
    <row r="173" ht="15.75" customHeight="1">
      <c r="D173" s="37"/>
    </row>
    <row r="174" ht="15.75" customHeight="1">
      <c r="D174" s="37"/>
    </row>
    <row r="175" ht="15.75" customHeight="1">
      <c r="D175" s="37"/>
    </row>
    <row r="176" ht="15.75" customHeight="1">
      <c r="D176" s="37"/>
    </row>
    <row r="177" ht="15.75" customHeight="1">
      <c r="D177" s="37"/>
    </row>
    <row r="178" ht="15.75" customHeight="1">
      <c r="D178" s="37"/>
    </row>
    <row r="179" ht="15.75" customHeight="1">
      <c r="D179" s="37"/>
    </row>
    <row r="180" ht="15.75" customHeight="1">
      <c r="D180" s="37"/>
    </row>
    <row r="181" ht="15.75" customHeight="1">
      <c r="D181" s="37"/>
    </row>
    <row r="182" ht="15.75" customHeight="1">
      <c r="D182" s="37"/>
    </row>
    <row r="183" ht="15.75" customHeight="1">
      <c r="D183" s="37"/>
    </row>
    <row r="184" ht="15.75" customHeight="1">
      <c r="D184" s="37"/>
    </row>
    <row r="185" ht="15.75" customHeight="1">
      <c r="D185" s="37"/>
    </row>
    <row r="186" ht="15.75" customHeight="1">
      <c r="D186" s="37"/>
    </row>
    <row r="187" ht="15.75" customHeight="1">
      <c r="D187" s="37"/>
    </row>
    <row r="188" ht="15.75" customHeight="1">
      <c r="D188" s="37"/>
    </row>
    <row r="189" ht="15.75" customHeight="1">
      <c r="D189" s="37"/>
    </row>
    <row r="190" ht="15.75" customHeight="1">
      <c r="D190" s="37"/>
    </row>
    <row r="191" ht="15.75" customHeight="1">
      <c r="D191" s="37"/>
    </row>
    <row r="192" ht="15.75" customHeight="1">
      <c r="D192" s="37"/>
    </row>
    <row r="193" ht="15.75" customHeight="1">
      <c r="D193" s="37"/>
    </row>
    <row r="194" ht="15.75" customHeight="1">
      <c r="D194" s="37"/>
    </row>
    <row r="195" ht="15.75" customHeight="1">
      <c r="D195" s="37"/>
    </row>
    <row r="196" ht="15.75" customHeight="1">
      <c r="D196" s="37"/>
    </row>
    <row r="197" ht="15.75" customHeight="1">
      <c r="D197" s="37"/>
    </row>
    <row r="198" ht="15.75" customHeight="1">
      <c r="D198" s="37"/>
    </row>
    <row r="199" ht="15.75" customHeight="1">
      <c r="D199" s="37"/>
    </row>
    <row r="200" ht="15.75" customHeight="1">
      <c r="D200" s="37"/>
    </row>
    <row r="201" ht="15.75" customHeight="1">
      <c r="D201" s="37"/>
    </row>
    <row r="202" ht="15.75" customHeight="1">
      <c r="D202" s="37"/>
    </row>
    <row r="203" ht="15.75" customHeight="1">
      <c r="D203" s="37"/>
    </row>
    <row r="204" ht="15.75" customHeight="1">
      <c r="D204" s="37"/>
    </row>
    <row r="205" ht="15.75" customHeight="1">
      <c r="D205" s="37"/>
    </row>
    <row r="206" ht="15.75" customHeight="1">
      <c r="D206" s="37"/>
    </row>
    <row r="207" ht="15.75" customHeight="1">
      <c r="D207" s="37"/>
    </row>
    <row r="208" ht="15.75" customHeight="1">
      <c r="D208" s="37"/>
    </row>
    <row r="209" ht="15.75" customHeight="1">
      <c r="D209" s="37"/>
    </row>
    <row r="210" ht="15.75" customHeight="1">
      <c r="D210" s="37"/>
    </row>
    <row r="211" ht="15.75" customHeight="1">
      <c r="D211" s="37"/>
    </row>
    <row r="212" ht="15.75" customHeight="1">
      <c r="D212" s="37"/>
    </row>
    <row r="213" ht="15.75" customHeight="1">
      <c r="D213" s="37"/>
    </row>
    <row r="214" ht="15.75" customHeight="1">
      <c r="D214" s="37"/>
    </row>
    <row r="215" ht="15.75" customHeight="1">
      <c r="D215" s="37"/>
    </row>
    <row r="216" ht="15.75" customHeight="1">
      <c r="D216" s="37"/>
    </row>
    <row r="217" ht="15.75" customHeight="1">
      <c r="D217" s="37"/>
    </row>
    <row r="218" ht="15.75" customHeight="1">
      <c r="D218" s="37"/>
    </row>
    <row r="219" ht="15.75" customHeight="1">
      <c r="D219" s="37"/>
    </row>
    <row r="220" ht="15.75" customHeight="1">
      <c r="D220" s="37"/>
    </row>
    <row r="221" ht="15.75" customHeight="1">
      <c r="D221" s="37"/>
    </row>
    <row r="222" ht="15.75" customHeight="1">
      <c r="D222" s="37"/>
    </row>
    <row r="223" ht="15.75" customHeight="1">
      <c r="D223" s="37"/>
    </row>
    <row r="224" ht="15.75" customHeight="1">
      <c r="D224" s="37"/>
    </row>
    <row r="225" ht="15.75" customHeight="1">
      <c r="D225" s="37"/>
    </row>
    <row r="226" ht="15.75" customHeight="1">
      <c r="D226" s="37"/>
    </row>
    <row r="227" ht="15.75" customHeight="1">
      <c r="D227" s="37"/>
    </row>
    <row r="228" ht="15.75" customHeight="1">
      <c r="D228" s="37"/>
    </row>
    <row r="229" ht="15.75" customHeight="1">
      <c r="D229" s="37"/>
    </row>
    <row r="230" ht="15.75" customHeight="1">
      <c r="D230" s="37"/>
    </row>
    <row r="231" ht="15.75" customHeight="1">
      <c r="D231" s="37"/>
    </row>
    <row r="232" ht="15.75" customHeight="1">
      <c r="D232" s="37"/>
    </row>
    <row r="233" ht="15.75" customHeight="1">
      <c r="D233" s="37"/>
    </row>
    <row r="234" ht="15.75" customHeight="1">
      <c r="D234" s="37"/>
    </row>
    <row r="235" ht="15.75" customHeight="1">
      <c r="D235" s="37"/>
    </row>
    <row r="236" ht="15.75" customHeight="1">
      <c r="D236" s="37"/>
    </row>
    <row r="237" ht="15.75" customHeight="1">
      <c r="D237" s="37"/>
    </row>
    <row r="238" ht="15.75" customHeight="1">
      <c r="D238" s="37"/>
    </row>
    <row r="239" ht="15.75" customHeight="1">
      <c r="D239" s="37"/>
    </row>
    <row r="240" ht="15.75" customHeight="1">
      <c r="D240" s="37"/>
    </row>
    <row r="241" ht="15.75" customHeight="1">
      <c r="D241" s="37"/>
    </row>
    <row r="242" ht="15.75" customHeight="1">
      <c r="D242" s="37"/>
    </row>
    <row r="243" ht="15.75" customHeight="1">
      <c r="D243" s="37"/>
    </row>
    <row r="244" ht="15.75" customHeight="1">
      <c r="D244" s="37"/>
    </row>
    <row r="245" ht="15.75" customHeight="1">
      <c r="D245" s="37"/>
    </row>
    <row r="246" ht="15.75" customHeight="1">
      <c r="D246" s="37"/>
    </row>
    <row r="247" ht="15.75" customHeight="1">
      <c r="D247" s="37"/>
    </row>
    <row r="248" ht="15.75" customHeight="1">
      <c r="D248" s="37"/>
    </row>
    <row r="249" ht="15.75" customHeight="1">
      <c r="D249" s="37"/>
    </row>
    <row r="250" ht="15.75" customHeight="1">
      <c r="D250" s="37"/>
    </row>
    <row r="251" ht="15.75" customHeight="1">
      <c r="D251" s="37"/>
    </row>
    <row r="252" ht="15.75" customHeight="1">
      <c r="D252" s="37"/>
    </row>
    <row r="253" ht="15.75" customHeight="1">
      <c r="D253" s="37"/>
    </row>
    <row r="254" ht="15.75" customHeight="1">
      <c r="D254" s="37"/>
    </row>
    <row r="255" ht="15.75" customHeight="1">
      <c r="D255" s="37"/>
    </row>
    <row r="256" ht="15.75" customHeight="1">
      <c r="D256" s="37"/>
    </row>
    <row r="257" ht="15.75" customHeight="1">
      <c r="D257" s="37"/>
    </row>
    <row r="258" ht="15.75" customHeight="1">
      <c r="D258" s="37"/>
    </row>
    <row r="259" ht="15.75" customHeight="1">
      <c r="D259" s="37"/>
    </row>
    <row r="260" ht="15.75" customHeight="1">
      <c r="D260" s="37"/>
    </row>
    <row r="261" ht="15.75" customHeight="1">
      <c r="D261" s="37"/>
    </row>
    <row r="262" ht="15.75" customHeight="1">
      <c r="D262" s="37"/>
    </row>
    <row r="263" ht="15.75" customHeight="1">
      <c r="D263" s="37"/>
    </row>
    <row r="264" ht="15.75" customHeight="1">
      <c r="D264" s="37"/>
    </row>
    <row r="265" ht="15.75" customHeight="1">
      <c r="D265" s="37"/>
    </row>
    <row r="266" ht="15.75" customHeight="1">
      <c r="D266" s="37"/>
    </row>
    <row r="267" ht="15.75" customHeight="1">
      <c r="D267" s="37"/>
    </row>
    <row r="268" ht="15.75" customHeight="1">
      <c r="D268" s="37"/>
    </row>
    <row r="269" ht="15.75" customHeight="1">
      <c r="D269" s="37"/>
    </row>
    <row r="270" ht="15.75" customHeight="1">
      <c r="D270" s="37"/>
    </row>
    <row r="271" ht="15.75" customHeight="1">
      <c r="D271" s="37"/>
    </row>
    <row r="272" ht="15.75" customHeight="1">
      <c r="D272" s="37"/>
    </row>
    <row r="273" ht="15.75" customHeight="1">
      <c r="D273" s="37"/>
    </row>
    <row r="274" ht="15.75" customHeight="1">
      <c r="D274" s="37"/>
    </row>
    <row r="275" ht="15.75" customHeight="1">
      <c r="D275" s="37"/>
    </row>
    <row r="276" ht="15.75" customHeight="1">
      <c r="D276" s="37"/>
    </row>
    <row r="277" ht="15.75" customHeight="1">
      <c r="D277" s="37"/>
    </row>
    <row r="278" ht="15.75" customHeight="1">
      <c r="D278" s="37"/>
    </row>
    <row r="279" ht="15.75" customHeight="1">
      <c r="D279" s="37"/>
    </row>
    <row r="280" ht="15.75" customHeight="1">
      <c r="D280" s="37"/>
    </row>
    <row r="281" ht="15.75" customHeight="1">
      <c r="D281" s="37"/>
    </row>
    <row r="282" ht="15.75" customHeight="1">
      <c r="D282" s="37"/>
    </row>
    <row r="283" ht="15.75" customHeight="1">
      <c r="D283" s="37"/>
    </row>
    <row r="284" ht="15.75" customHeight="1">
      <c r="D284" s="37"/>
    </row>
    <row r="285" ht="15.75" customHeight="1">
      <c r="D285" s="37"/>
    </row>
    <row r="286" ht="15.75" customHeight="1">
      <c r="D286" s="37"/>
    </row>
    <row r="287" ht="15.75" customHeight="1">
      <c r="D287" s="37"/>
    </row>
    <row r="288" ht="15.75" customHeight="1">
      <c r="D288" s="37"/>
    </row>
    <row r="289" ht="15.75" customHeight="1">
      <c r="D289" s="37"/>
    </row>
    <row r="290" ht="15.75" customHeight="1">
      <c r="D290" s="37"/>
    </row>
    <row r="291" ht="15.75" customHeight="1">
      <c r="D291" s="37"/>
    </row>
    <row r="292" ht="15.75" customHeight="1">
      <c r="D292" s="37"/>
    </row>
    <row r="293" ht="15.75" customHeight="1">
      <c r="D293" s="37"/>
    </row>
    <row r="294" ht="15.75" customHeight="1">
      <c r="D294" s="37"/>
    </row>
    <row r="295" ht="15.75" customHeight="1">
      <c r="D295" s="37"/>
    </row>
    <row r="296" ht="15.75" customHeight="1">
      <c r="D296" s="37"/>
    </row>
    <row r="297" ht="15.75" customHeight="1">
      <c r="D297" s="37"/>
    </row>
    <row r="298" ht="15.75" customHeight="1">
      <c r="D298" s="37"/>
    </row>
    <row r="299" ht="15.75" customHeight="1">
      <c r="D299" s="37"/>
    </row>
    <row r="300" ht="15.75" customHeight="1">
      <c r="D300" s="37"/>
    </row>
    <row r="301" ht="15.75" customHeight="1">
      <c r="D301" s="37"/>
    </row>
    <row r="302" ht="15.75" customHeight="1">
      <c r="D302" s="37"/>
    </row>
    <row r="303" ht="15.75" customHeight="1">
      <c r="D303" s="37"/>
    </row>
    <row r="304" ht="15.75" customHeight="1">
      <c r="D304" s="37"/>
    </row>
    <row r="305" ht="15.75" customHeight="1">
      <c r="D305" s="37"/>
    </row>
    <row r="306" ht="15.75" customHeight="1">
      <c r="D306" s="37"/>
    </row>
    <row r="307" ht="15.75" customHeight="1">
      <c r="D307" s="37"/>
    </row>
    <row r="308" ht="15.75" customHeight="1">
      <c r="D308" s="37"/>
    </row>
    <row r="309" ht="15.75" customHeight="1">
      <c r="D309" s="37"/>
    </row>
    <row r="310" ht="15.75" customHeight="1">
      <c r="D310" s="37"/>
    </row>
    <row r="311" ht="15.75" customHeight="1">
      <c r="D311" s="37"/>
    </row>
    <row r="312" ht="15.75" customHeight="1">
      <c r="D312" s="37"/>
    </row>
    <row r="313" ht="15.75" customHeight="1">
      <c r="D313" s="37"/>
    </row>
    <row r="314" ht="15.75" customHeight="1">
      <c r="D314" s="37"/>
    </row>
    <row r="315" ht="15.75" customHeight="1">
      <c r="D315" s="37"/>
    </row>
    <row r="316" ht="15.75" customHeight="1">
      <c r="D316" s="37"/>
    </row>
    <row r="317" ht="15.75" customHeight="1">
      <c r="D317" s="37"/>
    </row>
    <row r="318" ht="15.75" customHeight="1">
      <c r="D318" s="37"/>
    </row>
    <row r="319" ht="15.75" customHeight="1">
      <c r="D319" s="37"/>
    </row>
    <row r="320" ht="15.75" customHeight="1">
      <c r="D320" s="37"/>
    </row>
    <row r="321" ht="15.75" customHeight="1">
      <c r="D321" s="37"/>
    </row>
    <row r="322" ht="15.75" customHeight="1">
      <c r="D322" s="37"/>
    </row>
    <row r="323" ht="15.75" customHeight="1">
      <c r="D323" s="37"/>
    </row>
    <row r="324" ht="15.75" customHeight="1">
      <c r="D324" s="37"/>
    </row>
    <row r="325" ht="15.75" customHeight="1">
      <c r="D325" s="37"/>
    </row>
    <row r="326" ht="15.75" customHeight="1">
      <c r="D326" s="37"/>
    </row>
    <row r="327" ht="15.75" customHeight="1">
      <c r="D327" s="37"/>
    </row>
    <row r="328" ht="15.75" customHeight="1">
      <c r="D328" s="37"/>
    </row>
    <row r="329" ht="15.75" customHeight="1">
      <c r="D329" s="37"/>
    </row>
    <row r="330" ht="15.75" customHeight="1">
      <c r="D330" s="37"/>
    </row>
    <row r="331" ht="15.75" customHeight="1">
      <c r="D331" s="37"/>
    </row>
    <row r="332" ht="15.75" customHeight="1">
      <c r="D332" s="37"/>
    </row>
    <row r="333" ht="15.75" customHeight="1">
      <c r="D333" s="37"/>
    </row>
    <row r="334" ht="15.75" customHeight="1">
      <c r="D334" s="37"/>
    </row>
    <row r="335" ht="15.75" customHeight="1">
      <c r="D335" s="37"/>
    </row>
    <row r="336" ht="15.75" customHeight="1">
      <c r="D336" s="37"/>
    </row>
    <row r="337" ht="15.75" customHeight="1">
      <c r="D337" s="37"/>
    </row>
    <row r="338" ht="15.75" customHeight="1">
      <c r="D338" s="37"/>
    </row>
    <row r="339" ht="15.75" customHeight="1">
      <c r="D339" s="37"/>
    </row>
    <row r="340" ht="15.75" customHeight="1">
      <c r="D340" s="37"/>
    </row>
    <row r="341" ht="15.75" customHeight="1">
      <c r="D341" s="37"/>
    </row>
    <row r="342" ht="15.75" customHeight="1">
      <c r="D342" s="37"/>
    </row>
    <row r="343" ht="15.75" customHeight="1">
      <c r="D343" s="37"/>
    </row>
    <row r="344" ht="15.75" customHeight="1">
      <c r="D344" s="37"/>
    </row>
    <row r="345" ht="15.75" customHeight="1">
      <c r="D345" s="37"/>
    </row>
    <row r="346" ht="15.75" customHeight="1">
      <c r="D346" s="37"/>
    </row>
    <row r="347" ht="15.75" customHeight="1">
      <c r="D347" s="37"/>
    </row>
    <row r="348" ht="15.75" customHeight="1">
      <c r="D348" s="37"/>
    </row>
    <row r="349" ht="15.75" customHeight="1">
      <c r="D349" s="37"/>
    </row>
    <row r="350" ht="15.75" customHeight="1">
      <c r="D350" s="37"/>
    </row>
    <row r="351" ht="15.75" customHeight="1">
      <c r="D351" s="37"/>
    </row>
    <row r="352" ht="15.75" customHeight="1">
      <c r="D352" s="37"/>
    </row>
    <row r="353" ht="15.75" customHeight="1">
      <c r="D353" s="37"/>
    </row>
    <row r="354" ht="15.75" customHeight="1">
      <c r="D354" s="37"/>
    </row>
    <row r="355" ht="15.75" customHeight="1">
      <c r="D355" s="37"/>
    </row>
    <row r="356" ht="15.75" customHeight="1">
      <c r="D356" s="37"/>
    </row>
    <row r="357" ht="15.75" customHeight="1">
      <c r="D357" s="37"/>
    </row>
    <row r="358" ht="15.75" customHeight="1">
      <c r="D358" s="37"/>
    </row>
    <row r="359" ht="15.75" customHeight="1">
      <c r="D359" s="37"/>
    </row>
    <row r="360" ht="15.75" customHeight="1">
      <c r="D360" s="37"/>
    </row>
    <row r="361" ht="15.75" customHeight="1">
      <c r="D361" s="37"/>
    </row>
    <row r="362" ht="15.75" customHeight="1">
      <c r="D362" s="37"/>
    </row>
    <row r="363" ht="15.75" customHeight="1">
      <c r="D363" s="37"/>
    </row>
    <row r="364" ht="15.75" customHeight="1">
      <c r="D364" s="37"/>
    </row>
    <row r="365" ht="15.75" customHeight="1">
      <c r="D365" s="37"/>
    </row>
    <row r="366" ht="15.75" customHeight="1">
      <c r="D366" s="37"/>
    </row>
    <row r="367" ht="15.75" customHeight="1">
      <c r="D367" s="37"/>
    </row>
    <row r="368" ht="15.75" customHeight="1">
      <c r="D368" s="37"/>
    </row>
    <row r="369" ht="15.75" customHeight="1">
      <c r="D369" s="37"/>
    </row>
    <row r="370" ht="15.75" customHeight="1">
      <c r="D370" s="37"/>
    </row>
    <row r="371" ht="15.75" customHeight="1">
      <c r="D371" s="37"/>
    </row>
    <row r="372" ht="15.75" customHeight="1">
      <c r="D372" s="37"/>
    </row>
    <row r="373" ht="15.75" customHeight="1">
      <c r="D373" s="37"/>
    </row>
    <row r="374" ht="15.75" customHeight="1">
      <c r="D374" s="37"/>
    </row>
    <row r="375" ht="15.75" customHeight="1">
      <c r="D375" s="37"/>
    </row>
    <row r="376" ht="15.75" customHeight="1">
      <c r="D376" s="37"/>
    </row>
    <row r="377" ht="15.75" customHeight="1">
      <c r="D377" s="37"/>
    </row>
    <row r="378" ht="15.75" customHeight="1">
      <c r="D378" s="37"/>
    </row>
    <row r="379" ht="15.75" customHeight="1">
      <c r="D379" s="37"/>
    </row>
    <row r="380" ht="15.75" customHeight="1">
      <c r="D380" s="37"/>
    </row>
    <row r="381" ht="15.75" customHeight="1">
      <c r="D381" s="37"/>
    </row>
    <row r="382" ht="15.75" customHeight="1">
      <c r="D382" s="37"/>
    </row>
    <row r="383" ht="15.75" customHeight="1">
      <c r="D383" s="37"/>
    </row>
    <row r="384" ht="15.75" customHeight="1">
      <c r="D384" s="37"/>
    </row>
    <row r="385" ht="15.75" customHeight="1">
      <c r="D385" s="37"/>
    </row>
    <row r="386" ht="15.75" customHeight="1">
      <c r="D386" s="37"/>
    </row>
    <row r="387" ht="15.75" customHeight="1">
      <c r="D387" s="37"/>
    </row>
    <row r="388" ht="15.75" customHeight="1">
      <c r="D388" s="37"/>
    </row>
    <row r="389" ht="15.75" customHeight="1">
      <c r="D389" s="37"/>
    </row>
    <row r="390" ht="15.75" customHeight="1">
      <c r="D390" s="37"/>
    </row>
    <row r="391" ht="15.75" customHeight="1">
      <c r="D391" s="37"/>
    </row>
    <row r="392" ht="15.75" customHeight="1">
      <c r="D392" s="37"/>
    </row>
    <row r="393" ht="15.75" customHeight="1">
      <c r="D393" s="37"/>
    </row>
    <row r="394" ht="15.75" customHeight="1">
      <c r="D394" s="37"/>
    </row>
    <row r="395" ht="15.75" customHeight="1">
      <c r="D395" s="37"/>
    </row>
    <row r="396" ht="15.75" customHeight="1">
      <c r="D396" s="37"/>
    </row>
    <row r="397" ht="15.75" customHeight="1">
      <c r="D397" s="37"/>
    </row>
    <row r="398" ht="15.75" customHeight="1">
      <c r="D398" s="37"/>
    </row>
    <row r="399" ht="15.75" customHeight="1">
      <c r="D399" s="37"/>
    </row>
    <row r="400" ht="15.75" customHeight="1">
      <c r="D400" s="37"/>
    </row>
    <row r="401" ht="15.75" customHeight="1">
      <c r="D401" s="37"/>
    </row>
    <row r="402" ht="15.75" customHeight="1">
      <c r="D402" s="37"/>
    </row>
    <row r="403" ht="15.75" customHeight="1">
      <c r="D403" s="37"/>
    </row>
    <row r="404" ht="15.75" customHeight="1">
      <c r="D404" s="37"/>
    </row>
    <row r="405" ht="15.75" customHeight="1">
      <c r="D405" s="37"/>
    </row>
    <row r="406" ht="15.75" customHeight="1">
      <c r="D406" s="37"/>
    </row>
    <row r="407" ht="15.75" customHeight="1">
      <c r="D407" s="37"/>
    </row>
    <row r="408" ht="15.75" customHeight="1">
      <c r="D408" s="37"/>
    </row>
    <row r="409" ht="15.75" customHeight="1">
      <c r="D409" s="37"/>
    </row>
    <row r="410" ht="15.75" customHeight="1">
      <c r="D410" s="37"/>
    </row>
    <row r="411" ht="15.75" customHeight="1">
      <c r="D411" s="37"/>
    </row>
    <row r="412" ht="15.75" customHeight="1">
      <c r="D412" s="37"/>
    </row>
    <row r="413" ht="15.75" customHeight="1">
      <c r="D413" s="37"/>
    </row>
    <row r="414" ht="15.75" customHeight="1">
      <c r="D414" s="37"/>
    </row>
    <row r="415" ht="15.75" customHeight="1">
      <c r="D415" s="37"/>
    </row>
    <row r="416" ht="15.75" customHeight="1">
      <c r="D416" s="37"/>
    </row>
    <row r="417" ht="15.75" customHeight="1">
      <c r="D417" s="37"/>
    </row>
    <row r="418" ht="15.75" customHeight="1">
      <c r="D418" s="37"/>
    </row>
    <row r="419" ht="15.75" customHeight="1">
      <c r="D419" s="37"/>
    </row>
    <row r="420" ht="15.75" customHeight="1">
      <c r="D420" s="37"/>
    </row>
    <row r="421" ht="15.75" customHeight="1">
      <c r="D421" s="37"/>
    </row>
    <row r="422" ht="15.75" customHeight="1">
      <c r="D422" s="37"/>
    </row>
    <row r="423" ht="15.75" customHeight="1">
      <c r="D423" s="37"/>
    </row>
    <row r="424" ht="15.75" customHeight="1">
      <c r="D424" s="37"/>
    </row>
    <row r="425" ht="15.75" customHeight="1">
      <c r="D425" s="37"/>
    </row>
    <row r="426" ht="15.75" customHeight="1">
      <c r="D426" s="37"/>
    </row>
    <row r="427" ht="15.75" customHeight="1">
      <c r="D427" s="37"/>
    </row>
    <row r="428" ht="15.75" customHeight="1">
      <c r="D428" s="37"/>
    </row>
    <row r="429" ht="15.75" customHeight="1">
      <c r="D429" s="37"/>
    </row>
    <row r="430" ht="15.75" customHeight="1">
      <c r="D430" s="37"/>
    </row>
    <row r="431" ht="15.75" customHeight="1">
      <c r="D431" s="37"/>
    </row>
    <row r="432" ht="15.75" customHeight="1">
      <c r="D432" s="37"/>
    </row>
    <row r="433" ht="15.75" customHeight="1">
      <c r="D433" s="37"/>
    </row>
    <row r="434" ht="15.75" customHeight="1">
      <c r="D434" s="37"/>
    </row>
    <row r="435" ht="15.75" customHeight="1">
      <c r="D435" s="37"/>
    </row>
    <row r="436" ht="15.75" customHeight="1">
      <c r="D436" s="37"/>
    </row>
    <row r="437" ht="15.75" customHeight="1">
      <c r="D437" s="37"/>
    </row>
    <row r="438" ht="15.75" customHeight="1">
      <c r="D438" s="37"/>
    </row>
    <row r="439" ht="15.75" customHeight="1">
      <c r="D439" s="37"/>
    </row>
    <row r="440" ht="15.75" customHeight="1">
      <c r="D440" s="37"/>
    </row>
    <row r="441" ht="15.75" customHeight="1">
      <c r="D441" s="37"/>
    </row>
    <row r="442" ht="15.75" customHeight="1">
      <c r="D442" s="37"/>
    </row>
    <row r="443" ht="15.75" customHeight="1">
      <c r="D443" s="37"/>
    </row>
    <row r="444" ht="15.75" customHeight="1">
      <c r="D444" s="37"/>
    </row>
    <row r="445" ht="15.75" customHeight="1">
      <c r="D445" s="37"/>
    </row>
    <row r="446" ht="15.75" customHeight="1">
      <c r="D446" s="37"/>
    </row>
    <row r="447" ht="15.75" customHeight="1">
      <c r="D447" s="37"/>
    </row>
    <row r="448" ht="15.75" customHeight="1">
      <c r="D448" s="37"/>
    </row>
    <row r="449" ht="15.75" customHeight="1">
      <c r="D449" s="37"/>
    </row>
    <row r="450" ht="15.75" customHeight="1">
      <c r="D450" s="37"/>
    </row>
    <row r="451" ht="15.75" customHeight="1">
      <c r="D451" s="37"/>
    </row>
    <row r="452" ht="15.75" customHeight="1">
      <c r="D452" s="37"/>
    </row>
    <row r="453" ht="15.75" customHeight="1">
      <c r="D453" s="37"/>
    </row>
    <row r="454" ht="15.75" customHeight="1">
      <c r="D454" s="37"/>
    </row>
    <row r="455" ht="15.75" customHeight="1">
      <c r="D455" s="37"/>
    </row>
    <row r="456" ht="15.75" customHeight="1">
      <c r="D456" s="37"/>
    </row>
    <row r="457" ht="15.75" customHeight="1">
      <c r="D457" s="37"/>
    </row>
    <row r="458" ht="15.75" customHeight="1">
      <c r="D458" s="37"/>
    </row>
    <row r="459" ht="15.75" customHeight="1">
      <c r="D459" s="37"/>
    </row>
    <row r="460" ht="15.75" customHeight="1">
      <c r="D460" s="37"/>
    </row>
    <row r="461" ht="15.75" customHeight="1">
      <c r="D461" s="37"/>
    </row>
    <row r="462" ht="15.75" customHeight="1">
      <c r="D462" s="37"/>
    </row>
    <row r="463" ht="15.75" customHeight="1">
      <c r="D463" s="37"/>
    </row>
    <row r="464" ht="15.75" customHeight="1">
      <c r="D464" s="37"/>
    </row>
    <row r="465" ht="15.75" customHeight="1">
      <c r="D465" s="37"/>
    </row>
    <row r="466" ht="15.75" customHeight="1">
      <c r="D466" s="37"/>
    </row>
    <row r="467" ht="15.75" customHeight="1">
      <c r="D467" s="37"/>
    </row>
    <row r="468" ht="15.75" customHeight="1">
      <c r="D468" s="37"/>
    </row>
    <row r="469" ht="15.75" customHeight="1">
      <c r="D469" s="37"/>
    </row>
    <row r="470" ht="15.75" customHeight="1">
      <c r="D470" s="37"/>
    </row>
    <row r="471" ht="15.75" customHeight="1">
      <c r="D471" s="37"/>
    </row>
    <row r="472" ht="15.75" customHeight="1">
      <c r="D472" s="37"/>
    </row>
    <row r="473" ht="15.75" customHeight="1">
      <c r="D473" s="37"/>
    </row>
    <row r="474" ht="15.75" customHeight="1">
      <c r="D474" s="37"/>
    </row>
    <row r="475" ht="15.75" customHeight="1">
      <c r="D475" s="37"/>
    </row>
    <row r="476" ht="15.75" customHeight="1">
      <c r="D476" s="37"/>
    </row>
    <row r="477" ht="15.75" customHeight="1">
      <c r="D477" s="37"/>
    </row>
    <row r="478" ht="15.75" customHeight="1">
      <c r="D478" s="37"/>
    </row>
    <row r="479" ht="15.75" customHeight="1">
      <c r="D479" s="37"/>
    </row>
    <row r="480" ht="15.75" customHeight="1">
      <c r="D480" s="37"/>
    </row>
    <row r="481" ht="15.75" customHeight="1">
      <c r="D481" s="37"/>
    </row>
    <row r="482" ht="15.75" customHeight="1">
      <c r="D482" s="37"/>
    </row>
    <row r="483" ht="15.75" customHeight="1">
      <c r="D483" s="37"/>
    </row>
    <row r="484" ht="15.75" customHeight="1">
      <c r="D484" s="37"/>
    </row>
    <row r="485" ht="15.75" customHeight="1">
      <c r="D485" s="37"/>
    </row>
    <row r="486" ht="15.75" customHeight="1">
      <c r="D486" s="37"/>
    </row>
    <row r="487" ht="15.75" customHeight="1">
      <c r="D487" s="37"/>
    </row>
    <row r="488" ht="15.75" customHeight="1">
      <c r="D488" s="37"/>
    </row>
    <row r="489" ht="15.75" customHeight="1">
      <c r="D489" s="37"/>
    </row>
    <row r="490" ht="15.75" customHeight="1">
      <c r="D490" s="37"/>
    </row>
    <row r="491" ht="15.75" customHeight="1">
      <c r="D491" s="37"/>
    </row>
    <row r="492" ht="15.75" customHeight="1">
      <c r="D492" s="37"/>
    </row>
    <row r="493" ht="15.75" customHeight="1">
      <c r="D493" s="37"/>
    </row>
    <row r="494" ht="15.75" customHeight="1">
      <c r="D494" s="37"/>
    </row>
    <row r="495" ht="15.75" customHeight="1">
      <c r="D495" s="37"/>
    </row>
    <row r="496" ht="15.75" customHeight="1">
      <c r="D496" s="37"/>
    </row>
    <row r="497" ht="15.75" customHeight="1">
      <c r="D497" s="37"/>
    </row>
    <row r="498" ht="15.75" customHeight="1">
      <c r="D498" s="37"/>
    </row>
    <row r="499" ht="15.75" customHeight="1">
      <c r="D499" s="37"/>
    </row>
    <row r="500" ht="15.75" customHeight="1">
      <c r="D500" s="37"/>
    </row>
    <row r="501" ht="15.75" customHeight="1">
      <c r="D501" s="37"/>
    </row>
    <row r="502" ht="15.75" customHeight="1">
      <c r="D502" s="37"/>
    </row>
    <row r="503" ht="15.75" customHeight="1">
      <c r="D503" s="37"/>
    </row>
    <row r="504" ht="15.75" customHeight="1">
      <c r="D504" s="37"/>
    </row>
    <row r="505" ht="15.75" customHeight="1">
      <c r="D505" s="37"/>
    </row>
    <row r="506" ht="15.75" customHeight="1">
      <c r="D506" s="37"/>
    </row>
    <row r="507" ht="15.75" customHeight="1">
      <c r="D507" s="37"/>
    </row>
    <row r="508" ht="15.75" customHeight="1">
      <c r="D508" s="37"/>
    </row>
    <row r="509" ht="15.75" customHeight="1">
      <c r="D509" s="37"/>
    </row>
    <row r="510" ht="15.75" customHeight="1">
      <c r="D510" s="37"/>
    </row>
    <row r="511" ht="15.75" customHeight="1">
      <c r="D511" s="37"/>
    </row>
    <row r="512" ht="15.75" customHeight="1">
      <c r="D512" s="37"/>
    </row>
    <row r="513" ht="15.75" customHeight="1">
      <c r="D513" s="37"/>
    </row>
    <row r="514" ht="15.75" customHeight="1">
      <c r="D514" s="37"/>
    </row>
    <row r="515" ht="15.75" customHeight="1">
      <c r="D515" s="37"/>
    </row>
    <row r="516" ht="15.75" customHeight="1">
      <c r="D516" s="37"/>
    </row>
    <row r="517" ht="15.75" customHeight="1">
      <c r="D517" s="37"/>
    </row>
    <row r="518" ht="15.75" customHeight="1">
      <c r="D518" s="37"/>
    </row>
    <row r="519" ht="15.75" customHeight="1">
      <c r="D519" s="37"/>
    </row>
    <row r="520" ht="15.75" customHeight="1">
      <c r="D520" s="37"/>
    </row>
    <row r="521" ht="15.75" customHeight="1">
      <c r="D521" s="37"/>
    </row>
    <row r="522" ht="15.75" customHeight="1">
      <c r="D522" s="37"/>
    </row>
    <row r="523" ht="15.75" customHeight="1">
      <c r="D523" s="37"/>
    </row>
    <row r="524" ht="15.75" customHeight="1">
      <c r="D524" s="37"/>
    </row>
    <row r="525" ht="15.75" customHeight="1">
      <c r="D525" s="37"/>
    </row>
    <row r="526" ht="15.75" customHeight="1">
      <c r="D526" s="37"/>
    </row>
    <row r="527" ht="15.75" customHeight="1">
      <c r="D527" s="37"/>
    </row>
    <row r="528" ht="15.75" customHeight="1">
      <c r="D528" s="37"/>
    </row>
    <row r="529" ht="15.75" customHeight="1">
      <c r="D529" s="37"/>
    </row>
    <row r="530" ht="15.75" customHeight="1">
      <c r="D530" s="37"/>
    </row>
    <row r="531" ht="15.75" customHeight="1">
      <c r="D531" s="37"/>
    </row>
    <row r="532" ht="15.75" customHeight="1">
      <c r="D532" s="37"/>
    </row>
    <row r="533" ht="15.75" customHeight="1">
      <c r="D533" s="37"/>
    </row>
    <row r="534" ht="15.75" customHeight="1">
      <c r="D534" s="37"/>
    </row>
    <row r="535" ht="15.75" customHeight="1">
      <c r="D535" s="37"/>
    </row>
    <row r="536" ht="15.75" customHeight="1">
      <c r="D536" s="37"/>
    </row>
    <row r="537" ht="15.75" customHeight="1">
      <c r="D537" s="37"/>
    </row>
    <row r="538" ht="15.75" customHeight="1">
      <c r="D538" s="37"/>
    </row>
    <row r="539" ht="15.75" customHeight="1">
      <c r="D539" s="37"/>
    </row>
    <row r="540" ht="15.75" customHeight="1">
      <c r="D540" s="37"/>
    </row>
    <row r="541" ht="15.75" customHeight="1">
      <c r="D541" s="37"/>
    </row>
    <row r="542" ht="15.75" customHeight="1">
      <c r="D542" s="37"/>
    </row>
    <row r="543" ht="15.75" customHeight="1">
      <c r="D543" s="37"/>
    </row>
    <row r="544" ht="15.75" customHeight="1">
      <c r="D544" s="37"/>
    </row>
    <row r="545" ht="15.75" customHeight="1">
      <c r="D545" s="37"/>
    </row>
    <row r="546" ht="15.75" customHeight="1">
      <c r="D546" s="37"/>
    </row>
    <row r="547" ht="15.75" customHeight="1">
      <c r="D547" s="37"/>
    </row>
    <row r="548" ht="15.75" customHeight="1">
      <c r="D548" s="37"/>
    </row>
    <row r="549" ht="15.75" customHeight="1">
      <c r="D549" s="37"/>
    </row>
    <row r="550" ht="15.75" customHeight="1">
      <c r="D550" s="37"/>
    </row>
    <row r="551" ht="15.75" customHeight="1">
      <c r="D551" s="37"/>
    </row>
    <row r="552" ht="15.75" customHeight="1">
      <c r="D552" s="37"/>
    </row>
    <row r="553" ht="15.75" customHeight="1">
      <c r="D553" s="37"/>
    </row>
    <row r="554" ht="15.75" customHeight="1">
      <c r="D554" s="37"/>
    </row>
    <row r="555" ht="15.75" customHeight="1">
      <c r="D555" s="37"/>
    </row>
    <row r="556" ht="15.75" customHeight="1">
      <c r="D556" s="37"/>
    </row>
    <row r="557" ht="15.75" customHeight="1">
      <c r="D557" s="37"/>
    </row>
    <row r="558" ht="15.75" customHeight="1">
      <c r="D558" s="37"/>
    </row>
    <row r="559" ht="15.75" customHeight="1">
      <c r="D559" s="37"/>
    </row>
    <row r="560" ht="15.75" customHeight="1">
      <c r="D560" s="37"/>
    </row>
    <row r="561" ht="15.75" customHeight="1">
      <c r="D561" s="37"/>
    </row>
    <row r="562" ht="15.75" customHeight="1">
      <c r="D562" s="37"/>
    </row>
    <row r="563" ht="15.75" customHeight="1">
      <c r="D563" s="37"/>
    </row>
    <row r="564" ht="15.75" customHeight="1">
      <c r="D564" s="37"/>
    </row>
    <row r="565" ht="15.75" customHeight="1">
      <c r="D565" s="37"/>
    </row>
    <row r="566" ht="15.75" customHeight="1">
      <c r="D566" s="37"/>
    </row>
    <row r="567" ht="15.75" customHeight="1">
      <c r="D567" s="37"/>
    </row>
    <row r="568" ht="15.75" customHeight="1">
      <c r="D568" s="37"/>
    </row>
    <row r="569" ht="15.75" customHeight="1">
      <c r="D569" s="37"/>
    </row>
    <row r="570" ht="15.75" customHeight="1">
      <c r="D570" s="37"/>
    </row>
    <row r="571" ht="15.75" customHeight="1">
      <c r="D571" s="37"/>
    </row>
    <row r="572" ht="15.75" customHeight="1">
      <c r="D572" s="37"/>
    </row>
    <row r="573" ht="15.75" customHeight="1">
      <c r="D573" s="37"/>
    </row>
    <row r="574" ht="15.75" customHeight="1">
      <c r="D574" s="37"/>
    </row>
    <row r="575" ht="15.75" customHeight="1">
      <c r="D575" s="37"/>
    </row>
    <row r="576" ht="15.75" customHeight="1">
      <c r="D576" s="37"/>
    </row>
    <row r="577" ht="15.75" customHeight="1">
      <c r="D577" s="37"/>
    </row>
    <row r="578" ht="15.75" customHeight="1">
      <c r="D578" s="37"/>
    </row>
    <row r="579" ht="15.75" customHeight="1">
      <c r="D579" s="37"/>
    </row>
    <row r="580" ht="15.75" customHeight="1">
      <c r="D580" s="37"/>
    </row>
    <row r="581" ht="15.75" customHeight="1">
      <c r="D581" s="37"/>
    </row>
    <row r="582" ht="15.75" customHeight="1">
      <c r="D582" s="37"/>
    </row>
    <row r="583" ht="15.75" customHeight="1">
      <c r="D583" s="37"/>
    </row>
    <row r="584" ht="15.75" customHeight="1">
      <c r="D584" s="37"/>
    </row>
    <row r="585" ht="15.75" customHeight="1">
      <c r="D585" s="37"/>
    </row>
    <row r="586" ht="15.75" customHeight="1">
      <c r="D586" s="37"/>
    </row>
    <row r="587" ht="15.75" customHeight="1">
      <c r="D587" s="37"/>
    </row>
    <row r="588" ht="15.75" customHeight="1">
      <c r="D588" s="37"/>
    </row>
    <row r="589" ht="15.75" customHeight="1">
      <c r="D589" s="37"/>
    </row>
    <row r="590" ht="15.75" customHeight="1">
      <c r="D590" s="37"/>
    </row>
    <row r="591" ht="15.75" customHeight="1">
      <c r="D591" s="37"/>
    </row>
    <row r="592" ht="15.75" customHeight="1">
      <c r="D592" s="37"/>
    </row>
    <row r="593" ht="15.75" customHeight="1">
      <c r="D593" s="37"/>
    </row>
    <row r="594" ht="15.75" customHeight="1">
      <c r="D594" s="37"/>
    </row>
    <row r="595" ht="15.75" customHeight="1">
      <c r="D595" s="37"/>
    </row>
    <row r="596" ht="15.75" customHeight="1">
      <c r="D596" s="37"/>
    </row>
    <row r="597" ht="15.75" customHeight="1">
      <c r="D597" s="37"/>
    </row>
    <row r="598" ht="15.75" customHeight="1">
      <c r="D598" s="37"/>
    </row>
    <row r="599" ht="15.75" customHeight="1">
      <c r="D599" s="37"/>
    </row>
    <row r="600" ht="15.75" customHeight="1">
      <c r="D600" s="37"/>
    </row>
    <row r="601" ht="15.75" customHeight="1">
      <c r="D601" s="37"/>
    </row>
    <row r="602" ht="15.75" customHeight="1">
      <c r="D602" s="37"/>
    </row>
    <row r="603" ht="15.75" customHeight="1">
      <c r="D603" s="37"/>
    </row>
    <row r="604" ht="15.75" customHeight="1">
      <c r="D604" s="37"/>
    </row>
    <row r="605" ht="15.75" customHeight="1">
      <c r="D605" s="37"/>
    </row>
    <row r="606" ht="15.75" customHeight="1">
      <c r="D606" s="37"/>
    </row>
    <row r="607" ht="15.75" customHeight="1">
      <c r="D607" s="37"/>
    </row>
    <row r="608" ht="15.75" customHeight="1">
      <c r="D608" s="37"/>
    </row>
    <row r="609" ht="15.75" customHeight="1">
      <c r="D609" s="37"/>
    </row>
    <row r="610" ht="15.75" customHeight="1">
      <c r="D610" s="37"/>
    </row>
    <row r="611" ht="15.75" customHeight="1">
      <c r="D611" s="37"/>
    </row>
    <row r="612" ht="15.75" customHeight="1">
      <c r="D612" s="37"/>
    </row>
    <row r="613" ht="15.75" customHeight="1">
      <c r="D613" s="37"/>
    </row>
    <row r="614" ht="15.75" customHeight="1">
      <c r="D614" s="37"/>
    </row>
    <row r="615" ht="15.75" customHeight="1">
      <c r="D615" s="37"/>
    </row>
    <row r="616" ht="15.75" customHeight="1">
      <c r="D616" s="37"/>
    </row>
    <row r="617" ht="15.75" customHeight="1">
      <c r="D617" s="37"/>
    </row>
    <row r="618" ht="15.75" customHeight="1">
      <c r="D618" s="37"/>
    </row>
    <row r="619" ht="15.75" customHeight="1">
      <c r="D619" s="37"/>
    </row>
    <row r="620" ht="15.75" customHeight="1">
      <c r="D620" s="37"/>
    </row>
    <row r="621" ht="15.75" customHeight="1">
      <c r="D621" s="37"/>
    </row>
    <row r="622" ht="15.75" customHeight="1">
      <c r="D622" s="37"/>
    </row>
    <row r="623" ht="15.75" customHeight="1">
      <c r="D623" s="37"/>
    </row>
    <row r="624" ht="15.75" customHeight="1">
      <c r="D624" s="37"/>
    </row>
    <row r="625" ht="15.75" customHeight="1">
      <c r="D625" s="37"/>
    </row>
    <row r="626" ht="15.75" customHeight="1">
      <c r="D626" s="37"/>
    </row>
    <row r="627" ht="15.75" customHeight="1">
      <c r="D627" s="37"/>
    </row>
    <row r="628" ht="15.75" customHeight="1">
      <c r="D628" s="37"/>
    </row>
    <row r="629" ht="15.75" customHeight="1">
      <c r="D629" s="37"/>
    </row>
    <row r="630" ht="15.75" customHeight="1">
      <c r="D630" s="37"/>
    </row>
    <row r="631" ht="15.75" customHeight="1">
      <c r="D631" s="37"/>
    </row>
    <row r="632" ht="15.75" customHeight="1">
      <c r="D632" s="37"/>
    </row>
    <row r="633" ht="15.75" customHeight="1">
      <c r="D633" s="37"/>
    </row>
    <row r="634" ht="15.75" customHeight="1">
      <c r="D634" s="37"/>
    </row>
    <row r="635" ht="15.75" customHeight="1">
      <c r="D635" s="37"/>
    </row>
    <row r="636" ht="15.75" customHeight="1">
      <c r="D636" s="37"/>
    </row>
    <row r="637" ht="15.75" customHeight="1">
      <c r="D637" s="37"/>
    </row>
    <row r="638" ht="15.75" customHeight="1">
      <c r="D638" s="37"/>
    </row>
    <row r="639" ht="15.75" customHeight="1">
      <c r="D639" s="37"/>
    </row>
    <row r="640" ht="15.75" customHeight="1">
      <c r="D640" s="37"/>
    </row>
    <row r="641" ht="15.75" customHeight="1">
      <c r="D641" s="37"/>
    </row>
    <row r="642" ht="15.75" customHeight="1">
      <c r="D642" s="37"/>
    </row>
    <row r="643" ht="15.75" customHeight="1">
      <c r="D643" s="37"/>
    </row>
    <row r="644" ht="15.75" customHeight="1">
      <c r="D644" s="37"/>
    </row>
    <row r="645" ht="15.75" customHeight="1">
      <c r="D645" s="37"/>
    </row>
    <row r="646" ht="15.75" customHeight="1">
      <c r="D646" s="37"/>
    </row>
    <row r="647" ht="15.75" customHeight="1">
      <c r="D647" s="37"/>
    </row>
    <row r="648" ht="15.75" customHeight="1">
      <c r="D648" s="37"/>
    </row>
    <row r="649" ht="15.75" customHeight="1">
      <c r="D649" s="37"/>
    </row>
    <row r="650" ht="15.75" customHeight="1">
      <c r="D650" s="37"/>
    </row>
    <row r="651" ht="15.75" customHeight="1">
      <c r="D651" s="37"/>
    </row>
    <row r="652" ht="15.75" customHeight="1">
      <c r="D652" s="37"/>
    </row>
    <row r="653" ht="15.75" customHeight="1">
      <c r="D653" s="37"/>
    </row>
    <row r="654" ht="15.75" customHeight="1">
      <c r="D654" s="37"/>
    </row>
    <row r="655" ht="15.75" customHeight="1">
      <c r="D655" s="37"/>
    </row>
    <row r="656" ht="15.75" customHeight="1">
      <c r="D656" s="37"/>
    </row>
    <row r="657" ht="15.75" customHeight="1">
      <c r="D657" s="37"/>
    </row>
    <row r="658" ht="15.75" customHeight="1">
      <c r="D658" s="37"/>
    </row>
    <row r="659" ht="15.75" customHeight="1">
      <c r="D659" s="37"/>
    </row>
    <row r="660" ht="15.75" customHeight="1">
      <c r="D660" s="37"/>
    </row>
    <row r="661" ht="15.75" customHeight="1">
      <c r="D661" s="37"/>
    </row>
    <row r="662" ht="15.75" customHeight="1">
      <c r="D662" s="37"/>
    </row>
    <row r="663" ht="15.75" customHeight="1">
      <c r="D663" s="37"/>
    </row>
    <row r="664" ht="15.75" customHeight="1">
      <c r="D664" s="37"/>
    </row>
    <row r="665" ht="15.75" customHeight="1">
      <c r="D665" s="37"/>
    </row>
    <row r="666" ht="15.75" customHeight="1">
      <c r="D666" s="37"/>
    </row>
    <row r="667" ht="15.75" customHeight="1">
      <c r="D667" s="37"/>
    </row>
    <row r="668" ht="15.75" customHeight="1">
      <c r="D668" s="37"/>
    </row>
    <row r="669" ht="15.75" customHeight="1">
      <c r="D669" s="37"/>
    </row>
    <row r="670" ht="15.75" customHeight="1">
      <c r="D670" s="37"/>
    </row>
    <row r="671" ht="15.75" customHeight="1">
      <c r="D671" s="37"/>
    </row>
    <row r="672" ht="15.75" customHeight="1">
      <c r="D672" s="37"/>
    </row>
    <row r="673" ht="15.75" customHeight="1">
      <c r="D673" s="37"/>
    </row>
    <row r="674" ht="15.75" customHeight="1">
      <c r="D674" s="37"/>
    </row>
    <row r="675" ht="15.75" customHeight="1">
      <c r="D675" s="37"/>
    </row>
    <row r="676" ht="15.75" customHeight="1">
      <c r="D676" s="37"/>
    </row>
    <row r="677" ht="15.75" customHeight="1">
      <c r="D677" s="37"/>
    </row>
    <row r="678" ht="15.75" customHeight="1">
      <c r="D678" s="37"/>
    </row>
    <row r="679" ht="15.75" customHeight="1">
      <c r="D679" s="37"/>
    </row>
    <row r="680" ht="15.75" customHeight="1">
      <c r="D680" s="37"/>
    </row>
    <row r="681" ht="15.75" customHeight="1">
      <c r="D681" s="37"/>
    </row>
    <row r="682" ht="15.75" customHeight="1">
      <c r="D682" s="37"/>
    </row>
    <row r="683" ht="15.75" customHeight="1">
      <c r="D683" s="37"/>
    </row>
    <row r="684" ht="15.75" customHeight="1">
      <c r="D684" s="37"/>
    </row>
    <row r="685" ht="15.75" customHeight="1">
      <c r="D685" s="37"/>
    </row>
    <row r="686" ht="15.75" customHeight="1">
      <c r="D686" s="37"/>
    </row>
    <row r="687" ht="15.75" customHeight="1">
      <c r="D687" s="37"/>
    </row>
    <row r="688" ht="15.75" customHeight="1">
      <c r="D688" s="37"/>
    </row>
    <row r="689" ht="15.75" customHeight="1">
      <c r="D689" s="37"/>
    </row>
    <row r="690" ht="15.75" customHeight="1">
      <c r="D690" s="37"/>
    </row>
    <row r="691" ht="15.75" customHeight="1">
      <c r="D691" s="37"/>
    </row>
    <row r="692" ht="15.75" customHeight="1">
      <c r="D692" s="37"/>
    </row>
    <row r="693" ht="15.75" customHeight="1">
      <c r="D693" s="37"/>
    </row>
    <row r="694" ht="15.75" customHeight="1">
      <c r="D694" s="37"/>
    </row>
    <row r="695" ht="15.75" customHeight="1">
      <c r="D695" s="37"/>
    </row>
    <row r="696" ht="15.75" customHeight="1">
      <c r="D696" s="37"/>
    </row>
    <row r="697" ht="15.75" customHeight="1">
      <c r="D697" s="37"/>
    </row>
    <row r="698" ht="15.75" customHeight="1">
      <c r="D698" s="37"/>
    </row>
    <row r="699" ht="15.75" customHeight="1">
      <c r="D699" s="37"/>
    </row>
    <row r="700" ht="15.75" customHeight="1">
      <c r="D700" s="37"/>
    </row>
    <row r="701" ht="15.75" customHeight="1">
      <c r="D701" s="37"/>
    </row>
    <row r="702" ht="15.75" customHeight="1">
      <c r="D702" s="37"/>
    </row>
    <row r="703" ht="15.75" customHeight="1">
      <c r="D703" s="37"/>
    </row>
    <row r="704" ht="15.75" customHeight="1">
      <c r="D704" s="37"/>
    </row>
    <row r="705" ht="15.75" customHeight="1">
      <c r="D705" s="37"/>
    </row>
    <row r="706" ht="15.75" customHeight="1">
      <c r="D706" s="37"/>
    </row>
    <row r="707" ht="15.75" customHeight="1">
      <c r="D707" s="37"/>
    </row>
    <row r="708" ht="15.75" customHeight="1">
      <c r="D708" s="37"/>
    </row>
    <row r="709" ht="15.75" customHeight="1">
      <c r="D709" s="37"/>
    </row>
    <row r="710" ht="15.75" customHeight="1">
      <c r="D710" s="37"/>
    </row>
    <row r="711" ht="15.75" customHeight="1">
      <c r="D711" s="37"/>
    </row>
    <row r="712" ht="15.75" customHeight="1">
      <c r="D712" s="37"/>
    </row>
    <row r="713" ht="15.75" customHeight="1">
      <c r="D713" s="37"/>
    </row>
    <row r="714" ht="15.75" customHeight="1">
      <c r="D714" s="37"/>
    </row>
    <row r="715" ht="15.75" customHeight="1">
      <c r="D715" s="37"/>
    </row>
    <row r="716" ht="15.75" customHeight="1">
      <c r="D716" s="37"/>
    </row>
    <row r="717" ht="15.75" customHeight="1">
      <c r="D717" s="37"/>
    </row>
    <row r="718" ht="15.75" customHeight="1">
      <c r="D718" s="37"/>
    </row>
    <row r="719" ht="15.75" customHeight="1">
      <c r="D719" s="37"/>
    </row>
    <row r="720" ht="15.75" customHeight="1">
      <c r="D720" s="37"/>
    </row>
    <row r="721" ht="15.75" customHeight="1">
      <c r="D721" s="37"/>
    </row>
    <row r="722" ht="15.75" customHeight="1">
      <c r="D722" s="37"/>
    </row>
    <row r="723" ht="15.75" customHeight="1">
      <c r="D723" s="37"/>
    </row>
    <row r="724" ht="15.75" customHeight="1">
      <c r="D724" s="37"/>
    </row>
    <row r="725" ht="15.75" customHeight="1">
      <c r="D725" s="37"/>
    </row>
    <row r="726" ht="15.75" customHeight="1">
      <c r="D726" s="37"/>
    </row>
    <row r="727" ht="15.75" customHeight="1">
      <c r="D727" s="37"/>
    </row>
    <row r="728" ht="15.75" customHeight="1">
      <c r="D728" s="37"/>
    </row>
    <row r="729" ht="15.75" customHeight="1">
      <c r="D729" s="37"/>
    </row>
    <row r="730" ht="15.75" customHeight="1">
      <c r="D730" s="37"/>
    </row>
    <row r="731" ht="15.75" customHeight="1">
      <c r="D731" s="37"/>
    </row>
    <row r="732" ht="15.75" customHeight="1">
      <c r="D732" s="37"/>
    </row>
    <row r="733" ht="15.75" customHeight="1">
      <c r="D733" s="37"/>
    </row>
    <row r="734" ht="15.75" customHeight="1">
      <c r="D734" s="37"/>
    </row>
    <row r="735" ht="15.75" customHeight="1">
      <c r="D735" s="37"/>
    </row>
    <row r="736" ht="15.75" customHeight="1">
      <c r="D736" s="37"/>
    </row>
    <row r="737" ht="15.75" customHeight="1">
      <c r="D737" s="37"/>
    </row>
    <row r="738" ht="15.75" customHeight="1">
      <c r="D738" s="37"/>
    </row>
    <row r="739" ht="15.75" customHeight="1">
      <c r="D739" s="37"/>
    </row>
    <row r="740" ht="15.75" customHeight="1">
      <c r="D740" s="37"/>
    </row>
    <row r="741" ht="15.75" customHeight="1">
      <c r="D741" s="37"/>
    </row>
    <row r="742" ht="15.75" customHeight="1">
      <c r="D742" s="37"/>
    </row>
    <row r="743" ht="15.75" customHeight="1">
      <c r="D743" s="37"/>
    </row>
    <row r="744" ht="15.75" customHeight="1">
      <c r="D744" s="37"/>
    </row>
    <row r="745" ht="15.75" customHeight="1">
      <c r="D745" s="37"/>
    </row>
    <row r="746" ht="15.75" customHeight="1">
      <c r="D746" s="37"/>
    </row>
    <row r="747" ht="15.75" customHeight="1">
      <c r="D747" s="37"/>
    </row>
    <row r="748" ht="15.75" customHeight="1">
      <c r="D748" s="37"/>
    </row>
    <row r="749" ht="15.75" customHeight="1">
      <c r="D749" s="37"/>
    </row>
    <row r="750" ht="15.75" customHeight="1">
      <c r="D750" s="37"/>
    </row>
    <row r="751" ht="15.75" customHeight="1">
      <c r="D751" s="37"/>
    </row>
    <row r="752" ht="15.75" customHeight="1">
      <c r="D752" s="37"/>
    </row>
    <row r="753" ht="15.75" customHeight="1">
      <c r="D753" s="37"/>
    </row>
    <row r="754" ht="15.75" customHeight="1">
      <c r="D754" s="37"/>
    </row>
    <row r="755" ht="15.75" customHeight="1">
      <c r="D755" s="37"/>
    </row>
    <row r="756" ht="15.75" customHeight="1">
      <c r="D756" s="37"/>
    </row>
    <row r="757" ht="15.75" customHeight="1">
      <c r="D757" s="37"/>
    </row>
    <row r="758" ht="15.75" customHeight="1">
      <c r="D758" s="37"/>
    </row>
    <row r="759" ht="15.75" customHeight="1">
      <c r="D759" s="37"/>
    </row>
    <row r="760" ht="15.75" customHeight="1">
      <c r="D760" s="37"/>
    </row>
    <row r="761" ht="15.75" customHeight="1">
      <c r="D761" s="37"/>
    </row>
    <row r="762" ht="15.75" customHeight="1">
      <c r="D762" s="37"/>
    </row>
    <row r="763" ht="15.75" customHeight="1">
      <c r="D763" s="37"/>
    </row>
    <row r="764" ht="15.75" customHeight="1">
      <c r="D764" s="37"/>
    </row>
    <row r="765" ht="15.75" customHeight="1">
      <c r="D765" s="37"/>
    </row>
    <row r="766" ht="15.75" customHeight="1">
      <c r="D766" s="37"/>
    </row>
    <row r="767" ht="15.75" customHeight="1">
      <c r="D767" s="37"/>
    </row>
    <row r="768" ht="15.75" customHeight="1">
      <c r="D768" s="37"/>
    </row>
    <row r="769" ht="15.75" customHeight="1">
      <c r="D769" s="37"/>
    </row>
    <row r="770" ht="15.75" customHeight="1">
      <c r="D770" s="37"/>
    </row>
    <row r="771" ht="15.75" customHeight="1">
      <c r="D771" s="37"/>
    </row>
    <row r="772" ht="15.75" customHeight="1">
      <c r="D772" s="37"/>
    </row>
    <row r="773" ht="15.75" customHeight="1">
      <c r="D773" s="37"/>
    </row>
    <row r="774" ht="15.75" customHeight="1">
      <c r="D774" s="37"/>
    </row>
    <row r="775" ht="15.75" customHeight="1">
      <c r="D775" s="37"/>
    </row>
    <row r="776" ht="15.75" customHeight="1">
      <c r="D776" s="37"/>
    </row>
    <row r="777" ht="15.75" customHeight="1">
      <c r="D777" s="37"/>
    </row>
    <row r="778" ht="15.75" customHeight="1">
      <c r="D778" s="37"/>
    </row>
    <row r="779" ht="15.75" customHeight="1">
      <c r="D779" s="37"/>
    </row>
    <row r="780" ht="15.75" customHeight="1">
      <c r="D780" s="37"/>
    </row>
    <row r="781" ht="15.75" customHeight="1">
      <c r="D781" s="37"/>
    </row>
    <row r="782" ht="15.75" customHeight="1">
      <c r="D782" s="37"/>
    </row>
    <row r="783" ht="15.75" customHeight="1">
      <c r="D783" s="37"/>
    </row>
    <row r="784" ht="15.75" customHeight="1">
      <c r="D784" s="37"/>
    </row>
    <row r="785" ht="15.75" customHeight="1">
      <c r="D785" s="37"/>
    </row>
    <row r="786" ht="15.75" customHeight="1">
      <c r="D786" s="37"/>
    </row>
    <row r="787" ht="15.75" customHeight="1">
      <c r="D787" s="37"/>
    </row>
    <row r="788" ht="15.75" customHeight="1">
      <c r="D788" s="37"/>
    </row>
    <row r="789" ht="15.75" customHeight="1">
      <c r="D789" s="37"/>
    </row>
    <row r="790" ht="15.75" customHeight="1">
      <c r="D790" s="37"/>
    </row>
    <row r="791" ht="15.75" customHeight="1">
      <c r="D791" s="37"/>
    </row>
    <row r="792" ht="15.75" customHeight="1">
      <c r="D792" s="37"/>
    </row>
    <row r="793" ht="15.75" customHeight="1">
      <c r="D793" s="37"/>
    </row>
    <row r="794" ht="15.75" customHeight="1">
      <c r="D794" s="37"/>
    </row>
    <row r="795" ht="15.75" customHeight="1">
      <c r="D795" s="37"/>
    </row>
    <row r="796" ht="15.75" customHeight="1">
      <c r="D796" s="37"/>
    </row>
    <row r="797" ht="15.75" customHeight="1">
      <c r="D797" s="37"/>
    </row>
    <row r="798" ht="15.75" customHeight="1">
      <c r="D798" s="37"/>
    </row>
    <row r="799" ht="15.75" customHeight="1">
      <c r="D799" s="37"/>
    </row>
    <row r="800" ht="15.75" customHeight="1">
      <c r="D800" s="37"/>
    </row>
    <row r="801" ht="15.75" customHeight="1">
      <c r="D801" s="37"/>
    </row>
    <row r="802" ht="15.75" customHeight="1">
      <c r="D802" s="37"/>
    </row>
    <row r="803" ht="15.75" customHeight="1">
      <c r="D803" s="37"/>
    </row>
    <row r="804" ht="15.75" customHeight="1">
      <c r="D804" s="37"/>
    </row>
    <row r="805" ht="15.75" customHeight="1">
      <c r="D805" s="37"/>
    </row>
    <row r="806" ht="15.75" customHeight="1">
      <c r="D806" s="37"/>
    </row>
    <row r="807" ht="15.75" customHeight="1">
      <c r="D807" s="37"/>
    </row>
    <row r="808" ht="15.75" customHeight="1">
      <c r="D808" s="37"/>
    </row>
    <row r="809" ht="15.75" customHeight="1">
      <c r="D809" s="37"/>
    </row>
    <row r="810" ht="15.75" customHeight="1">
      <c r="D810" s="37"/>
    </row>
    <row r="811" ht="15.75" customHeight="1">
      <c r="D811" s="37"/>
    </row>
    <row r="812" ht="15.75" customHeight="1">
      <c r="D812" s="37"/>
    </row>
    <row r="813" ht="15.75" customHeight="1">
      <c r="D813" s="37"/>
    </row>
    <row r="814" ht="15.75" customHeight="1">
      <c r="D814" s="37"/>
    </row>
    <row r="815" ht="15.75" customHeight="1">
      <c r="D815" s="37"/>
    </row>
    <row r="816" ht="15.75" customHeight="1">
      <c r="D816" s="37"/>
    </row>
    <row r="817" ht="15.75" customHeight="1">
      <c r="D817" s="37"/>
    </row>
    <row r="818" ht="15.75" customHeight="1">
      <c r="D818" s="37"/>
    </row>
    <row r="819" ht="15.75" customHeight="1">
      <c r="D819" s="37"/>
    </row>
    <row r="820" ht="15.75" customHeight="1">
      <c r="D820" s="37"/>
    </row>
    <row r="821" ht="15.75" customHeight="1">
      <c r="D821" s="37"/>
    </row>
    <row r="822" ht="15.75" customHeight="1">
      <c r="D822" s="37"/>
    </row>
    <row r="823" ht="15.75" customHeight="1">
      <c r="D823" s="37"/>
    </row>
    <row r="824" ht="15.75" customHeight="1">
      <c r="D824" s="37"/>
    </row>
    <row r="825" ht="15.75" customHeight="1">
      <c r="D825" s="37"/>
    </row>
    <row r="826" ht="15.75" customHeight="1">
      <c r="D826" s="37"/>
    </row>
    <row r="827" ht="15.75" customHeight="1">
      <c r="D827" s="37"/>
    </row>
    <row r="828" ht="15.75" customHeight="1">
      <c r="D828" s="37"/>
    </row>
    <row r="829" ht="15.75" customHeight="1">
      <c r="D829" s="37"/>
    </row>
    <row r="830" ht="15.75" customHeight="1">
      <c r="D830" s="37"/>
    </row>
    <row r="831" ht="15.75" customHeight="1">
      <c r="D831" s="37"/>
    </row>
    <row r="832" ht="15.75" customHeight="1">
      <c r="D832" s="37"/>
    </row>
    <row r="833" ht="15.75" customHeight="1">
      <c r="D833" s="37"/>
    </row>
    <row r="834" ht="15.75" customHeight="1">
      <c r="D834" s="37"/>
    </row>
    <row r="835" ht="15.75" customHeight="1">
      <c r="D835" s="37"/>
    </row>
    <row r="836" ht="15.75" customHeight="1">
      <c r="D836" s="37"/>
    </row>
    <row r="837" ht="15.75" customHeight="1">
      <c r="D837" s="37"/>
    </row>
    <row r="838" ht="15.75" customHeight="1">
      <c r="D838" s="37"/>
    </row>
    <row r="839" ht="15.75" customHeight="1">
      <c r="D839" s="37"/>
    </row>
    <row r="840" ht="15.75" customHeight="1">
      <c r="D840" s="37"/>
    </row>
    <row r="841" ht="15.75" customHeight="1">
      <c r="D841" s="37"/>
    </row>
    <row r="842" ht="15.75" customHeight="1">
      <c r="D842" s="37"/>
    </row>
    <row r="843" ht="15.75" customHeight="1">
      <c r="D843" s="37"/>
    </row>
    <row r="844" ht="15.75" customHeight="1">
      <c r="D844" s="37"/>
    </row>
    <row r="845" ht="15.75" customHeight="1">
      <c r="D845" s="37"/>
    </row>
    <row r="846" ht="15.75" customHeight="1">
      <c r="D846" s="37"/>
    </row>
    <row r="847" ht="15.75" customHeight="1">
      <c r="D847" s="37"/>
    </row>
    <row r="848" ht="15.75" customHeight="1">
      <c r="D848" s="37"/>
    </row>
    <row r="849" ht="15.75" customHeight="1">
      <c r="D849" s="37"/>
    </row>
    <row r="850" ht="15.75" customHeight="1">
      <c r="D850" s="37"/>
    </row>
    <row r="851" ht="15.75" customHeight="1">
      <c r="D851" s="37"/>
    </row>
    <row r="852" ht="15.75" customHeight="1">
      <c r="D852" s="37"/>
    </row>
    <row r="853" ht="15.75" customHeight="1">
      <c r="D853" s="37"/>
    </row>
    <row r="854" ht="15.75" customHeight="1">
      <c r="D854" s="37"/>
    </row>
    <row r="855" ht="15.75" customHeight="1">
      <c r="D855" s="37"/>
    </row>
    <row r="856" ht="15.75" customHeight="1">
      <c r="D856" s="37"/>
    </row>
    <row r="857" ht="15.75" customHeight="1">
      <c r="D857" s="37"/>
    </row>
    <row r="858" ht="15.75" customHeight="1">
      <c r="D858" s="37"/>
    </row>
    <row r="859" ht="15.75" customHeight="1">
      <c r="D859" s="37"/>
    </row>
    <row r="860" ht="15.75" customHeight="1">
      <c r="D860" s="37"/>
    </row>
    <row r="861" ht="15.75" customHeight="1">
      <c r="D861" s="37"/>
    </row>
    <row r="862" ht="15.75" customHeight="1">
      <c r="D862" s="37"/>
    </row>
    <row r="863" ht="15.75" customHeight="1">
      <c r="D863" s="37"/>
    </row>
    <row r="864" ht="15.75" customHeight="1">
      <c r="D864" s="37"/>
    </row>
    <row r="865" ht="15.75" customHeight="1">
      <c r="D865" s="37"/>
    </row>
    <row r="866" ht="15.75" customHeight="1">
      <c r="D866" s="37"/>
    </row>
    <row r="867" ht="15.75" customHeight="1">
      <c r="D867" s="37"/>
    </row>
    <row r="868" ht="15.75" customHeight="1">
      <c r="D868" s="37"/>
    </row>
    <row r="869" ht="15.75" customHeight="1">
      <c r="D869" s="37"/>
    </row>
    <row r="870" ht="15.75" customHeight="1">
      <c r="D870" s="37"/>
    </row>
    <row r="871" ht="15.75" customHeight="1">
      <c r="D871" s="37"/>
    </row>
    <row r="872" ht="15.75" customHeight="1">
      <c r="D872" s="37"/>
    </row>
    <row r="873" ht="15.75" customHeight="1">
      <c r="D873" s="37"/>
    </row>
    <row r="874" ht="15.75" customHeight="1">
      <c r="D874" s="37"/>
    </row>
    <row r="875" ht="15.75" customHeight="1">
      <c r="D875" s="37"/>
    </row>
    <row r="876" ht="15.75" customHeight="1">
      <c r="D876" s="37"/>
    </row>
    <row r="877" ht="15.75" customHeight="1">
      <c r="D877" s="37"/>
    </row>
    <row r="878" ht="15.75" customHeight="1">
      <c r="D878" s="37"/>
    </row>
    <row r="879" ht="15.75" customHeight="1">
      <c r="D879" s="37"/>
    </row>
    <row r="880" ht="15.75" customHeight="1">
      <c r="D880" s="37"/>
    </row>
    <row r="881" ht="15.75" customHeight="1">
      <c r="D881" s="37"/>
    </row>
    <row r="882" ht="15.75" customHeight="1">
      <c r="D882" s="37"/>
    </row>
    <row r="883" ht="15.75" customHeight="1">
      <c r="D883" s="37"/>
    </row>
    <row r="884" ht="15.75" customHeight="1">
      <c r="D884" s="37"/>
    </row>
    <row r="885" ht="15.75" customHeight="1">
      <c r="D885" s="37"/>
    </row>
    <row r="886" ht="15.75" customHeight="1">
      <c r="D886" s="37"/>
    </row>
    <row r="887" ht="15.75" customHeight="1">
      <c r="D887" s="37"/>
    </row>
    <row r="888" ht="15.75" customHeight="1">
      <c r="D888" s="37"/>
    </row>
    <row r="889" ht="15.75" customHeight="1">
      <c r="D889" s="37"/>
    </row>
    <row r="890" ht="15.75" customHeight="1">
      <c r="D890" s="37"/>
    </row>
    <row r="891" ht="15.75" customHeight="1">
      <c r="D891" s="37"/>
    </row>
    <row r="892" ht="15.75" customHeight="1">
      <c r="D892" s="37"/>
    </row>
    <row r="893" ht="15.75" customHeight="1">
      <c r="D893" s="37"/>
    </row>
    <row r="894" ht="15.75" customHeight="1">
      <c r="D894" s="37"/>
    </row>
    <row r="895" ht="15.75" customHeight="1">
      <c r="D895" s="37"/>
    </row>
    <row r="896" ht="15.75" customHeight="1">
      <c r="D896" s="37"/>
    </row>
    <row r="897" ht="15.75" customHeight="1">
      <c r="D897" s="37"/>
    </row>
    <row r="898" ht="15.75" customHeight="1">
      <c r="D898" s="37"/>
    </row>
    <row r="899" ht="15.75" customHeight="1">
      <c r="D899" s="37"/>
    </row>
    <row r="900" ht="15.75" customHeight="1">
      <c r="D900" s="37"/>
    </row>
    <row r="901" ht="15.75" customHeight="1">
      <c r="D901" s="37"/>
    </row>
    <row r="902" ht="15.75" customHeight="1">
      <c r="D902" s="37"/>
    </row>
    <row r="903" ht="15.75" customHeight="1">
      <c r="D903" s="37"/>
    </row>
    <row r="904" ht="15.75" customHeight="1">
      <c r="D904" s="37"/>
    </row>
    <row r="905" ht="15.75" customHeight="1">
      <c r="D905" s="37"/>
    </row>
    <row r="906" ht="15.75" customHeight="1">
      <c r="D906" s="37"/>
    </row>
    <row r="907" ht="15.75" customHeight="1">
      <c r="D907" s="37"/>
    </row>
    <row r="908" ht="15.75" customHeight="1">
      <c r="D908" s="37"/>
    </row>
    <row r="909" ht="15.75" customHeight="1">
      <c r="D909" s="37"/>
    </row>
    <row r="910" ht="15.75" customHeight="1">
      <c r="D910" s="37"/>
    </row>
    <row r="911" ht="15.75" customHeight="1">
      <c r="D911" s="37"/>
    </row>
    <row r="912" ht="15.75" customHeight="1">
      <c r="D912" s="37"/>
    </row>
    <row r="913" ht="15.75" customHeight="1">
      <c r="D913" s="37"/>
    </row>
    <row r="914" ht="15.75" customHeight="1">
      <c r="D914" s="37"/>
    </row>
    <row r="915" ht="15.75" customHeight="1">
      <c r="D915" s="37"/>
    </row>
    <row r="916" ht="15.75" customHeight="1">
      <c r="D916" s="37"/>
    </row>
    <row r="917" ht="15.75" customHeight="1">
      <c r="D917" s="37"/>
    </row>
    <row r="918" ht="15.75" customHeight="1">
      <c r="D918" s="37"/>
    </row>
    <row r="919" ht="15.75" customHeight="1">
      <c r="D919" s="37"/>
    </row>
    <row r="920" ht="15.75" customHeight="1">
      <c r="D920" s="37"/>
    </row>
    <row r="921" ht="15.75" customHeight="1">
      <c r="D921" s="37"/>
    </row>
    <row r="922" ht="15.75" customHeight="1">
      <c r="D922" s="37"/>
    </row>
    <row r="923" ht="15.75" customHeight="1">
      <c r="D923" s="37"/>
    </row>
    <row r="924" ht="15.75" customHeight="1">
      <c r="D924" s="37"/>
    </row>
    <row r="925" ht="15.75" customHeight="1">
      <c r="D925" s="37"/>
    </row>
    <row r="926" ht="15.75" customHeight="1">
      <c r="D926" s="37"/>
    </row>
    <row r="927" ht="15.75" customHeight="1">
      <c r="D927" s="37"/>
    </row>
    <row r="928" ht="15.75" customHeight="1">
      <c r="D928" s="37"/>
    </row>
    <row r="929" ht="15.75" customHeight="1">
      <c r="D929" s="37"/>
    </row>
    <row r="930" ht="15.75" customHeight="1">
      <c r="D930" s="37"/>
    </row>
    <row r="931" ht="15.75" customHeight="1">
      <c r="D931" s="37"/>
    </row>
    <row r="932" ht="15.75" customHeight="1">
      <c r="D932" s="37"/>
    </row>
    <row r="933" ht="15.75" customHeight="1">
      <c r="D933" s="37"/>
    </row>
    <row r="934" ht="15.75" customHeight="1">
      <c r="D934" s="37"/>
    </row>
    <row r="935" ht="15.75" customHeight="1">
      <c r="D935" s="37"/>
    </row>
    <row r="936" ht="15.75" customHeight="1">
      <c r="D936" s="37"/>
    </row>
    <row r="937" ht="15.75" customHeight="1">
      <c r="D937" s="37"/>
    </row>
    <row r="938" ht="15.75" customHeight="1">
      <c r="D938" s="37"/>
    </row>
    <row r="939" ht="15.75" customHeight="1">
      <c r="D939" s="37"/>
    </row>
    <row r="940" ht="15.75" customHeight="1">
      <c r="D940" s="37"/>
    </row>
    <row r="941" ht="15.75" customHeight="1">
      <c r="D941" s="37"/>
    </row>
    <row r="942" ht="15.75" customHeight="1">
      <c r="D942" s="37"/>
    </row>
    <row r="943" ht="15.75" customHeight="1">
      <c r="D943" s="37"/>
    </row>
    <row r="944" ht="15.75" customHeight="1">
      <c r="D944" s="37"/>
    </row>
    <row r="945" ht="15.75" customHeight="1">
      <c r="D945" s="37"/>
    </row>
    <row r="946" ht="15.75" customHeight="1">
      <c r="D946" s="37"/>
    </row>
    <row r="947" ht="15.75" customHeight="1">
      <c r="D947" s="37"/>
    </row>
    <row r="948" ht="15.75" customHeight="1">
      <c r="D948" s="37"/>
    </row>
    <row r="949" ht="15.75" customHeight="1">
      <c r="D949" s="37"/>
    </row>
    <row r="950" ht="15.75" customHeight="1">
      <c r="D950" s="37"/>
    </row>
    <row r="951" ht="15.75" customHeight="1">
      <c r="D951" s="37"/>
    </row>
    <row r="952" ht="15.75" customHeight="1">
      <c r="D952" s="37"/>
    </row>
    <row r="953" ht="15.75" customHeight="1">
      <c r="D953" s="37"/>
    </row>
    <row r="954" ht="15.75" customHeight="1">
      <c r="D954" s="37"/>
    </row>
    <row r="955" ht="15.75" customHeight="1">
      <c r="D955" s="37"/>
    </row>
    <row r="956" ht="15.75" customHeight="1">
      <c r="D956" s="37"/>
    </row>
    <row r="957" ht="15.75" customHeight="1">
      <c r="D957" s="37"/>
    </row>
    <row r="958" ht="15.75" customHeight="1">
      <c r="D958" s="37"/>
    </row>
    <row r="959" ht="15.75" customHeight="1">
      <c r="D959" s="37"/>
    </row>
    <row r="960" ht="15.75" customHeight="1">
      <c r="D960" s="37"/>
    </row>
    <row r="961" ht="15.75" customHeight="1">
      <c r="D961" s="37"/>
    </row>
    <row r="962" ht="15.75" customHeight="1">
      <c r="D962" s="37"/>
    </row>
    <row r="963" ht="15.75" customHeight="1">
      <c r="D963" s="37"/>
    </row>
    <row r="964" ht="15.75" customHeight="1">
      <c r="D964" s="37"/>
    </row>
    <row r="965" ht="15.75" customHeight="1">
      <c r="D965" s="37"/>
    </row>
    <row r="966" ht="15.75" customHeight="1">
      <c r="D966" s="37"/>
    </row>
    <row r="967" ht="15.75" customHeight="1">
      <c r="D967" s="37"/>
    </row>
    <row r="968" ht="15.75" customHeight="1">
      <c r="D968" s="37"/>
    </row>
    <row r="969" ht="15.75" customHeight="1">
      <c r="D969" s="37"/>
    </row>
    <row r="970" ht="15.75" customHeight="1">
      <c r="D970" s="37"/>
    </row>
    <row r="971" ht="15.75" customHeight="1">
      <c r="D971" s="37"/>
    </row>
    <row r="972" ht="15.75" customHeight="1">
      <c r="D972" s="37"/>
    </row>
    <row r="973" ht="15.75" customHeight="1">
      <c r="D973" s="37"/>
    </row>
    <row r="974" ht="15.75" customHeight="1">
      <c r="D974" s="37"/>
    </row>
    <row r="975" ht="15.75" customHeight="1">
      <c r="D975" s="37"/>
    </row>
    <row r="976" ht="15.75" customHeight="1">
      <c r="D976" s="37"/>
    </row>
    <row r="977" ht="15.75" customHeight="1">
      <c r="D977" s="37"/>
    </row>
    <row r="978" ht="15.75" customHeight="1">
      <c r="D978" s="37"/>
    </row>
    <row r="979" ht="15.75" customHeight="1">
      <c r="D979" s="37"/>
    </row>
    <row r="980" ht="15.75" customHeight="1">
      <c r="D980" s="37"/>
    </row>
    <row r="981" ht="15.75" customHeight="1">
      <c r="D981" s="37"/>
    </row>
    <row r="982" ht="15.75" customHeight="1">
      <c r="D982" s="37"/>
    </row>
    <row r="983" ht="15.75" customHeight="1">
      <c r="D983" s="37"/>
    </row>
    <row r="984" ht="15.75" customHeight="1">
      <c r="D984" s="37"/>
    </row>
    <row r="985" ht="15.75" customHeight="1">
      <c r="D985" s="37"/>
    </row>
    <row r="986" ht="15.75" customHeight="1">
      <c r="D986" s="37"/>
    </row>
    <row r="987" ht="15.75" customHeight="1">
      <c r="D987" s="37"/>
    </row>
    <row r="988" ht="15.75" customHeight="1">
      <c r="D988" s="37"/>
    </row>
    <row r="989" ht="15.75" customHeight="1">
      <c r="D989" s="37"/>
    </row>
    <row r="990" ht="15.75" customHeight="1">
      <c r="D990" s="37"/>
    </row>
    <row r="991" ht="15.75" customHeight="1">
      <c r="D991" s="37"/>
    </row>
    <row r="992" ht="15.75" customHeight="1">
      <c r="D992" s="37"/>
    </row>
    <row r="993" ht="15.75" customHeight="1">
      <c r="D993" s="37"/>
    </row>
    <row r="994" ht="15.75" customHeight="1">
      <c r="D994" s="37"/>
    </row>
    <row r="995" ht="15.75" customHeight="1">
      <c r="D995" s="37"/>
    </row>
    <row r="996" ht="15.75" customHeight="1">
      <c r="D996" s="37"/>
    </row>
    <row r="997" ht="15.75" customHeight="1">
      <c r="D997" s="37"/>
    </row>
    <row r="998" ht="15.75" customHeight="1">
      <c r="D998" s="37"/>
    </row>
    <row r="999" ht="15.75" customHeight="1">
      <c r="D999" s="37"/>
    </row>
    <row r="1000" ht="15.75" customHeight="1">
      <c r="D1000" s="37"/>
    </row>
  </sheetData>
  <printOptions/>
  <pageMargins bottom="0.75" footer="0.0" header="0.0" left="0.7" right="0.7" top="0.75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4" t="s">
        <v>82</v>
      </c>
      <c r="B1" s="4">
        <v>1.0</v>
      </c>
    </row>
    <row r="2">
      <c r="A2" s="24" t="s">
        <v>83</v>
      </c>
      <c r="B2" s="4">
        <v>4.0</v>
      </c>
    </row>
    <row r="3">
      <c r="A3" s="24" t="s">
        <v>84</v>
      </c>
      <c r="B3" s="4">
        <v>26.0</v>
      </c>
    </row>
    <row r="4">
      <c r="A4" s="24">
        <v>1982.0</v>
      </c>
      <c r="B4" s="4">
        <v>22.0</v>
      </c>
    </row>
    <row r="5">
      <c r="A5" s="24">
        <v>1983.0</v>
      </c>
      <c r="B5" s="4">
        <v>31.0</v>
      </c>
    </row>
    <row r="6">
      <c r="A6" s="24" t="s">
        <v>85</v>
      </c>
      <c r="B6" s="4">
        <v>50.0</v>
      </c>
    </row>
    <row r="7">
      <c r="A7" s="24">
        <v>1987.0</v>
      </c>
      <c r="B7" s="4">
        <v>24.0</v>
      </c>
    </row>
    <row r="8">
      <c r="A8" s="24">
        <v>1991.0</v>
      </c>
      <c r="B8" s="4">
        <v>10.0</v>
      </c>
    </row>
    <row r="9">
      <c r="A9" s="24">
        <v>1992.0</v>
      </c>
      <c r="B9" s="4">
        <v>5.0</v>
      </c>
    </row>
    <row r="10">
      <c r="A10" s="24">
        <v>1993.0</v>
      </c>
      <c r="B10" s="4">
        <v>25.0</v>
      </c>
    </row>
    <row r="11">
      <c r="A11" s="24">
        <v>1994.0</v>
      </c>
      <c r="B11" s="4">
        <v>17.0</v>
      </c>
    </row>
    <row r="12">
      <c r="A12" s="24">
        <v>1995.0</v>
      </c>
      <c r="B12" s="4">
        <v>11.0</v>
      </c>
    </row>
    <row r="13">
      <c r="A13" s="24">
        <v>1996.0</v>
      </c>
      <c r="B13" s="4">
        <v>26.0</v>
      </c>
    </row>
    <row r="14">
      <c r="A14" s="24">
        <v>1997.0</v>
      </c>
      <c r="B14" s="4">
        <v>1.0</v>
      </c>
    </row>
    <row r="15">
      <c r="A15" s="24">
        <v>1998.0</v>
      </c>
      <c r="B15" s="4">
        <v>18.0</v>
      </c>
    </row>
    <row r="16">
      <c r="A16" s="24" t="s">
        <v>86</v>
      </c>
      <c r="B16" s="4">
        <v>3.0</v>
      </c>
    </row>
    <row r="17">
      <c r="A17" s="24" t="s">
        <v>87</v>
      </c>
      <c r="B17" s="4">
        <v>62.0</v>
      </c>
    </row>
    <row r="18">
      <c r="A18" s="24">
        <v>2005.0</v>
      </c>
      <c r="B18" s="4">
        <v>2.0</v>
      </c>
    </row>
    <row r="19">
      <c r="A19" s="24">
        <v>2006.0</v>
      </c>
      <c r="B19" s="4">
        <v>10.0</v>
      </c>
    </row>
    <row r="20">
      <c r="A20" s="24">
        <v>2007.0</v>
      </c>
      <c r="B20" s="4">
        <v>13.0</v>
      </c>
    </row>
    <row r="21" ht="15.75" customHeight="1">
      <c r="A21" s="24" t="s">
        <v>88</v>
      </c>
      <c r="B21" s="4">
        <v>34.0</v>
      </c>
    </row>
    <row r="22" ht="15.75" customHeight="1">
      <c r="A22" s="24">
        <v>2009.0</v>
      </c>
      <c r="B22" s="4">
        <v>16.0</v>
      </c>
    </row>
    <row r="23" ht="15.75" customHeight="1">
      <c r="A23" s="24">
        <v>2010.0</v>
      </c>
      <c r="B23" s="4">
        <v>1.0</v>
      </c>
    </row>
    <row r="24" ht="15.75" customHeight="1">
      <c r="A24" s="24">
        <v>2011.0</v>
      </c>
      <c r="B24" s="4">
        <v>7.0</v>
      </c>
    </row>
    <row r="25" ht="15.75" customHeight="1">
      <c r="A25" s="24">
        <v>2012.0</v>
      </c>
      <c r="B25" s="4">
        <v>61.0</v>
      </c>
    </row>
    <row r="26" ht="15.75" customHeight="1">
      <c r="A26" s="24">
        <v>2013.0</v>
      </c>
      <c r="B26" s="4">
        <v>66.0</v>
      </c>
    </row>
    <row r="27" ht="15.75" customHeight="1">
      <c r="A27" s="24">
        <v>2014.0</v>
      </c>
      <c r="B27" s="4">
        <v>16.0</v>
      </c>
    </row>
    <row r="28" ht="15.75" customHeight="1">
      <c r="A28" s="24">
        <v>2015.0</v>
      </c>
      <c r="B28" s="4">
        <v>57.0</v>
      </c>
    </row>
    <row r="29" ht="15.75" customHeight="1">
      <c r="A29" s="24">
        <v>2016.0</v>
      </c>
      <c r="B29" s="4">
        <v>54.0</v>
      </c>
    </row>
    <row r="30" ht="15.75" customHeight="1">
      <c r="A30" s="24">
        <v>2017.0</v>
      </c>
      <c r="B30" s="4">
        <v>59.0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scale="95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" t="s">
        <v>89</v>
      </c>
      <c r="B1" s="4" t="s">
        <v>90</v>
      </c>
      <c r="D1" s="4" t="s">
        <v>78</v>
      </c>
      <c r="E1" s="4" t="s">
        <v>91</v>
      </c>
      <c r="G1" s="4" t="s">
        <v>92</v>
      </c>
      <c r="H1" s="4" t="s">
        <v>93</v>
      </c>
    </row>
    <row r="2">
      <c r="A2" s="4">
        <v>2011.0</v>
      </c>
      <c r="B2" s="4">
        <v>49.0</v>
      </c>
      <c r="D2" s="38">
        <f t="shared" ref="D2:D6" si="1">95*G2+0.0224</f>
        <v>45.6224</v>
      </c>
      <c r="E2" s="38">
        <f t="shared" ref="E2:E6" si="2">2.37525+0.4877*H2+67*G2</f>
        <v>49.65395</v>
      </c>
      <c r="G2" s="4">
        <v>0.48</v>
      </c>
      <c r="H2" s="4">
        <v>31.0</v>
      </c>
    </row>
    <row r="3">
      <c r="A3" s="4">
        <v>2012.0</v>
      </c>
      <c r="B3" s="4">
        <v>29.0</v>
      </c>
      <c r="D3" s="38">
        <f t="shared" si="1"/>
        <v>41.8224</v>
      </c>
      <c r="E3" s="38">
        <f t="shared" si="2"/>
        <v>40.63385</v>
      </c>
      <c r="G3" s="4">
        <v>0.44</v>
      </c>
      <c r="H3" s="4">
        <v>18.0</v>
      </c>
    </row>
    <row r="4">
      <c r="A4" s="4">
        <v>2014.0</v>
      </c>
      <c r="B4" s="4">
        <v>26.0</v>
      </c>
      <c r="D4" s="38">
        <f t="shared" si="1"/>
        <v>24.7224</v>
      </c>
      <c r="E4" s="38">
        <f t="shared" si="2"/>
        <v>32.96315</v>
      </c>
      <c r="G4" s="4">
        <v>0.26</v>
      </c>
      <c r="H4" s="4">
        <v>27.0</v>
      </c>
    </row>
    <row r="5">
      <c r="A5" s="4">
        <v>2015.0</v>
      </c>
      <c r="B5" s="4">
        <v>42.0</v>
      </c>
      <c r="D5" s="38">
        <f t="shared" si="1"/>
        <v>38.9724</v>
      </c>
      <c r="E5" s="38">
        <f t="shared" si="2"/>
        <v>40.57465</v>
      </c>
      <c r="G5" s="4">
        <v>0.41</v>
      </c>
      <c r="H5" s="4">
        <v>22.0</v>
      </c>
    </row>
    <row r="6">
      <c r="B6" s="4">
        <v>3.0</v>
      </c>
      <c r="D6" s="38">
        <f t="shared" si="1"/>
        <v>0.9724</v>
      </c>
      <c r="E6" s="38">
        <f t="shared" si="2"/>
        <v>5.48375</v>
      </c>
      <c r="G6" s="4">
        <v>0.01</v>
      </c>
      <c r="H6" s="4">
        <v>5.0</v>
      </c>
    </row>
    <row r="7">
      <c r="E7" s="38"/>
    </row>
    <row r="10">
      <c r="I10" s="4">
        <v>8.0</v>
      </c>
    </row>
    <row r="13">
      <c r="B13" s="4" t="s">
        <v>94</v>
      </c>
      <c r="D13" s="4" t="s">
        <v>95</v>
      </c>
      <c r="G13" s="4" t="s">
        <v>96</v>
      </c>
      <c r="H13" s="4" t="s">
        <v>97</v>
      </c>
    </row>
    <row r="14">
      <c r="D14" s="4" t="s">
        <v>98</v>
      </c>
    </row>
    <row r="15">
      <c r="E15" s="4" t="s">
        <v>99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